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uzi\Downloads\DATA FIL ROUGE\"/>
    </mc:Choice>
  </mc:AlternateContent>
  <xr:revisionPtr revIDLastSave="0" documentId="13_ncr:1_{18AD7482-730A-4878-B8A9-E8CDA24137F7}" xr6:coauthVersionLast="47" xr6:coauthVersionMax="47" xr10:uidLastSave="{00000000-0000-0000-0000-000000000000}"/>
  <bookViews>
    <workbookView xWindow="-110" yWindow="-110" windowWidth="19420" windowHeight="10300" firstSheet="1" activeTab="1" xr2:uid="{995543D4-23AF-4387-884F-E466C845FBA7}"/>
  </bookViews>
  <sheets>
    <sheet name="Logs_Registre" sheetId="6" r:id="rId1"/>
    <sheet name="TCD_CLIENT" sheetId="22" r:id="rId2"/>
    <sheet name="CLIENT" sheetId="12" r:id="rId3"/>
    <sheet name="ANT_Non_Loc" sheetId="7" r:id="rId4"/>
    <sheet name="LOGS" sheetId="3" r:id="rId5"/>
    <sheet name="REGISTRE" sheetId="4" r:id="rId6"/>
    <sheet name="TCD_Logs_Registre" sheetId="21" r:id="rId7"/>
  </sheets>
  <definedNames>
    <definedName name="_xlcn.WorksheetConnection_KADEA_TELCO.xlsxLOGS_Rx51" hidden="1">LOGS_Rx5[]</definedName>
    <definedName name="DonnéesExternes_1" localSheetId="2" hidden="1">'CLIENT'!$A$1:$H$679</definedName>
    <definedName name="DonnéesExternes_1" localSheetId="4" hidden="1">LOGS!$A$1:$E$1069</definedName>
    <definedName name="DonnéesExternes_1" localSheetId="0" hidden="1">Logs_Registre!$A$1:$E$548</definedName>
    <definedName name="DonnéesExternes_1" localSheetId="5" hidden="1">REGISTRE!$A$1:$G$499</definedName>
    <definedName name="Segment_Province_Client">#N/A</definedName>
    <definedName name="Segment_Province_RDC">#N/A</definedName>
  </definedNames>
  <calcPr calcId="191029"/>
  <pivotCaches>
    <pivotCache cacheId="0" r:id="rId8"/>
    <pivotCache cacheId="92" r:id="rId9"/>
    <pivotCache cacheId="93" r:id="rId10"/>
    <pivotCache cacheId="94" r:id="rId11"/>
    <pivotCache cacheId="139" r:id="rId12"/>
  </pivotCaches>
  <extLst>
    <ext xmlns:x14="http://schemas.microsoft.com/office/spreadsheetml/2009/9/main" uri="{876F7934-8845-4945-9796-88D515C7AA90}">
      <x14:pivotCaches>
        <pivotCache cacheId="4" r:id="rId13"/>
      </x14:pivotCaches>
    </ext>
    <ext xmlns:x14="http://schemas.microsoft.com/office/spreadsheetml/2009/9/main" uri="{BBE1A952-AA13-448e-AADC-164F8A28A991}">
      <x14:slicerCaches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OGS_Rx5" name="LOGS_Rx5" connection="WorksheetConnection_KADEA_TELCO.xlsx!LOGS_Rx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L64" i="12"/>
  <c r="M64" i="12" s="1"/>
  <c r="L128" i="12"/>
  <c r="L188" i="12"/>
  <c r="M188" i="12" s="1"/>
  <c r="L192" i="12"/>
  <c r="M192" i="12" s="1"/>
  <c r="L252" i="12"/>
  <c r="M252" i="12" s="1"/>
  <c r="L256" i="12"/>
  <c r="M256" i="12" s="1"/>
  <c r="L320" i="12"/>
  <c r="M320" i="12" s="1"/>
  <c r="L352" i="12"/>
  <c r="L368" i="12"/>
  <c r="M368" i="12" s="1"/>
  <c r="L384" i="12"/>
  <c r="M384" i="12" s="1"/>
  <c r="L400" i="12"/>
  <c r="M400" i="12" s="1"/>
  <c r="L416" i="12"/>
  <c r="M416" i="12" s="1"/>
  <c r="L432" i="12"/>
  <c r="M432" i="12" s="1"/>
  <c r="L448" i="12"/>
  <c r="L464" i="12"/>
  <c r="M464" i="12" s="1"/>
  <c r="L480" i="12"/>
  <c r="L496" i="12"/>
  <c r="M496" i="12" s="1"/>
  <c r="L512" i="12"/>
  <c r="M512" i="12" s="1"/>
  <c r="L528" i="12"/>
  <c r="L544" i="12"/>
  <c r="M544" i="12" s="1"/>
  <c r="L560" i="12"/>
  <c r="M560" i="12" s="1"/>
  <c r="L576" i="12"/>
  <c r="M576" i="12" s="1"/>
  <c r="L592" i="12"/>
  <c r="M592" i="12" s="1"/>
  <c r="L608" i="12"/>
  <c r="M608" i="12" s="1"/>
  <c r="L624" i="12"/>
  <c r="M624" i="12" s="1"/>
  <c r="L640" i="12"/>
  <c r="M640" i="12" s="1"/>
  <c r="L656" i="12"/>
  <c r="M656" i="12" s="1"/>
  <c r="L672" i="12"/>
  <c r="M672" i="12" s="1"/>
  <c r="M565" i="12"/>
  <c r="M448" i="12"/>
  <c r="M352" i="12"/>
  <c r="M290" i="12"/>
  <c r="M232" i="12"/>
  <c r="M230" i="12"/>
  <c r="M164" i="12"/>
  <c r="M56" i="12"/>
  <c r="M77" i="12"/>
  <c r="M354" i="12"/>
  <c r="M522" i="12"/>
  <c r="M566" i="12"/>
  <c r="M670" i="12"/>
  <c r="M222" i="12"/>
  <c r="M398" i="12"/>
  <c r="M510" i="12"/>
  <c r="M634" i="12"/>
  <c r="M104" i="12"/>
  <c r="M128" i="12"/>
  <c r="M356" i="12"/>
  <c r="M480" i="12"/>
  <c r="M628" i="12"/>
  <c r="M242" i="12"/>
  <c r="M362" i="12"/>
  <c r="M518" i="12"/>
  <c r="M204" i="12"/>
  <c r="M528" i="12"/>
  <c r="M660" i="12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4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59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678" i="12"/>
  <c r="K679" i="12"/>
  <c r="J2" i="12"/>
  <c r="J3" i="12"/>
  <c r="J4" i="12"/>
  <c r="J5" i="12"/>
  <c r="J6" i="12"/>
  <c r="J7" i="12"/>
  <c r="J8" i="12"/>
  <c r="L8" i="12" s="1"/>
  <c r="M8" i="12" s="1"/>
  <c r="J9" i="12"/>
  <c r="J10" i="12"/>
  <c r="J11" i="12"/>
  <c r="J12" i="12"/>
  <c r="J13" i="12"/>
  <c r="J14" i="12"/>
  <c r="J15" i="12"/>
  <c r="J16" i="12"/>
  <c r="L16" i="12" s="1"/>
  <c r="M16" i="12" s="1"/>
  <c r="J17" i="12"/>
  <c r="J18" i="12"/>
  <c r="J19" i="12"/>
  <c r="J20" i="12"/>
  <c r="J21" i="12"/>
  <c r="L21" i="12" s="1"/>
  <c r="M21" i="12" s="1"/>
  <c r="J22" i="12"/>
  <c r="J23" i="12"/>
  <c r="J24" i="12"/>
  <c r="L24" i="12" s="1"/>
  <c r="M24" i="12" s="1"/>
  <c r="J25" i="12"/>
  <c r="L25" i="12" s="1"/>
  <c r="M25" i="12" s="1"/>
  <c r="J26" i="12"/>
  <c r="J27" i="12"/>
  <c r="J28" i="12"/>
  <c r="L28" i="12" s="1"/>
  <c r="M28" i="12" s="1"/>
  <c r="J29" i="12"/>
  <c r="L29" i="12" s="1"/>
  <c r="M29" i="12" s="1"/>
  <c r="J30" i="12"/>
  <c r="J31" i="12"/>
  <c r="J32" i="12"/>
  <c r="L32" i="12" s="1"/>
  <c r="M32" i="12" s="1"/>
  <c r="J33" i="12"/>
  <c r="L33" i="12" s="1"/>
  <c r="M33" i="12" s="1"/>
  <c r="J34" i="12"/>
  <c r="J35" i="12"/>
  <c r="J36" i="12"/>
  <c r="J37" i="12"/>
  <c r="L37" i="12" s="1"/>
  <c r="M37" i="12" s="1"/>
  <c r="J38" i="12"/>
  <c r="J39" i="12"/>
  <c r="J40" i="12"/>
  <c r="L40" i="12" s="1"/>
  <c r="M40" i="12" s="1"/>
  <c r="J41" i="12"/>
  <c r="L41" i="12" s="1"/>
  <c r="M41" i="12" s="1"/>
  <c r="J42" i="12"/>
  <c r="J43" i="12"/>
  <c r="J44" i="12"/>
  <c r="L44" i="12" s="1"/>
  <c r="M44" i="12" s="1"/>
  <c r="J45" i="12"/>
  <c r="J46" i="12"/>
  <c r="J47" i="12"/>
  <c r="J48" i="12"/>
  <c r="L48" i="12" s="1"/>
  <c r="M48" i="12" s="1"/>
  <c r="J49" i="12"/>
  <c r="J50" i="12"/>
  <c r="J51" i="12"/>
  <c r="J52" i="12"/>
  <c r="J53" i="12"/>
  <c r="J54" i="12"/>
  <c r="J55" i="12"/>
  <c r="J56" i="12"/>
  <c r="L56" i="12" s="1"/>
  <c r="J57" i="12"/>
  <c r="J58" i="12"/>
  <c r="J59" i="12"/>
  <c r="J60" i="12"/>
  <c r="J61" i="12"/>
  <c r="J62" i="12"/>
  <c r="J63" i="12"/>
  <c r="J64" i="12"/>
  <c r="J65" i="12"/>
  <c r="L65" i="12" s="1"/>
  <c r="M65" i="12" s="1"/>
  <c r="J66" i="12"/>
  <c r="J67" i="12"/>
  <c r="J68" i="12"/>
  <c r="L68" i="12" s="1"/>
  <c r="M68" i="12" s="1"/>
  <c r="J69" i="12"/>
  <c r="J70" i="12"/>
  <c r="J71" i="12"/>
  <c r="J72" i="12"/>
  <c r="J73" i="12"/>
  <c r="J74" i="12"/>
  <c r="J75" i="12"/>
  <c r="J76" i="12"/>
  <c r="J77" i="12"/>
  <c r="L77" i="12" s="1"/>
  <c r="J78" i="12"/>
  <c r="J79" i="12"/>
  <c r="J80" i="12"/>
  <c r="L80" i="12" s="1"/>
  <c r="M80" i="12" s="1"/>
  <c r="J81" i="12"/>
  <c r="L81" i="12" s="1"/>
  <c r="M81" i="12" s="1"/>
  <c r="J82" i="12"/>
  <c r="J83" i="12"/>
  <c r="J84" i="12"/>
  <c r="J85" i="12"/>
  <c r="L85" i="12" s="1"/>
  <c r="M85" i="12" s="1"/>
  <c r="J86" i="12"/>
  <c r="J87" i="12"/>
  <c r="J88" i="12"/>
  <c r="J89" i="12"/>
  <c r="L89" i="12" s="1"/>
  <c r="M89" i="12" s="1"/>
  <c r="J90" i="12"/>
  <c r="J91" i="12"/>
  <c r="J92" i="12"/>
  <c r="L92" i="12" s="1"/>
  <c r="M92" i="12" s="1"/>
  <c r="J93" i="12"/>
  <c r="J94" i="12"/>
  <c r="J95" i="12"/>
  <c r="J96" i="12"/>
  <c r="L96" i="12" s="1"/>
  <c r="M96" i="12" s="1"/>
  <c r="J97" i="12"/>
  <c r="L97" i="12" s="1"/>
  <c r="M97" i="12" s="1"/>
  <c r="J98" i="12"/>
  <c r="J99" i="12"/>
  <c r="J100" i="12"/>
  <c r="L100" i="12" s="1"/>
  <c r="M100" i="12" s="1"/>
  <c r="J101" i="12"/>
  <c r="L101" i="12" s="1"/>
  <c r="M101" i="12" s="1"/>
  <c r="J102" i="12"/>
  <c r="J103" i="12"/>
  <c r="J104" i="12"/>
  <c r="L104" i="12" s="1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L120" i="12" s="1"/>
  <c r="M120" i="12" s="1"/>
  <c r="J121" i="12"/>
  <c r="J122" i="12"/>
  <c r="J123" i="12"/>
  <c r="J124" i="12"/>
  <c r="J125" i="12"/>
  <c r="L125" i="12" s="1"/>
  <c r="M125" i="12" s="1"/>
  <c r="J126" i="12"/>
  <c r="J127" i="12"/>
  <c r="J128" i="12"/>
  <c r="J129" i="12"/>
  <c r="L129" i="12" s="1"/>
  <c r="M129" i="12" s="1"/>
  <c r="J130" i="12"/>
  <c r="J131" i="12"/>
  <c r="J132" i="12"/>
  <c r="L132" i="12" s="1"/>
  <c r="M132" i="12" s="1"/>
  <c r="J133" i="12"/>
  <c r="J134" i="12"/>
  <c r="J135" i="12"/>
  <c r="J136" i="12"/>
  <c r="L136" i="12" s="1"/>
  <c r="M136" i="12" s="1"/>
  <c r="J137" i="12"/>
  <c r="J138" i="12"/>
  <c r="J139" i="12"/>
  <c r="J140" i="12"/>
  <c r="J141" i="12"/>
  <c r="L141" i="12" s="1"/>
  <c r="M141" i="12" s="1"/>
  <c r="J142" i="12"/>
  <c r="J143" i="12"/>
  <c r="L143" i="12" s="1"/>
  <c r="M143" i="12" s="1"/>
  <c r="J144" i="12"/>
  <c r="L144" i="12" s="1"/>
  <c r="M144" i="12" s="1"/>
  <c r="J145" i="12"/>
  <c r="L145" i="12" s="1"/>
  <c r="M145" i="12" s="1"/>
  <c r="J146" i="12"/>
  <c r="J147" i="12"/>
  <c r="L147" i="12" s="1"/>
  <c r="M147" i="12" s="1"/>
  <c r="J148" i="12"/>
  <c r="L148" i="12" s="1"/>
  <c r="M148" i="12" s="1"/>
  <c r="J149" i="12"/>
  <c r="J150" i="12"/>
  <c r="J151" i="12"/>
  <c r="L151" i="12" s="1"/>
  <c r="M151" i="12" s="1"/>
  <c r="J152" i="12"/>
  <c r="L152" i="12" s="1"/>
  <c r="M152" i="12" s="1"/>
  <c r="J153" i="12"/>
  <c r="L153" i="12" s="1"/>
  <c r="M153" i="12" s="1"/>
  <c r="J154" i="12"/>
  <c r="J155" i="12"/>
  <c r="L155" i="12" s="1"/>
  <c r="M155" i="12" s="1"/>
  <c r="J156" i="12"/>
  <c r="L156" i="12" s="1"/>
  <c r="M156" i="12" s="1"/>
  <c r="J157" i="12"/>
  <c r="L157" i="12" s="1"/>
  <c r="M157" i="12" s="1"/>
  <c r="J158" i="12"/>
  <c r="J159" i="12"/>
  <c r="L159" i="12" s="1"/>
  <c r="M159" i="12" s="1"/>
  <c r="J160" i="12"/>
  <c r="L160" i="12" s="1"/>
  <c r="M160" i="12" s="1"/>
  <c r="J161" i="12"/>
  <c r="J162" i="12"/>
  <c r="J163" i="12"/>
  <c r="L163" i="12" s="1"/>
  <c r="M163" i="12" s="1"/>
  <c r="J164" i="12"/>
  <c r="L164" i="12" s="1"/>
  <c r="J165" i="12"/>
  <c r="L165" i="12" s="1"/>
  <c r="M165" i="12" s="1"/>
  <c r="J166" i="12"/>
  <c r="J167" i="12"/>
  <c r="L167" i="12" s="1"/>
  <c r="M167" i="12" s="1"/>
  <c r="J168" i="12"/>
  <c r="J169" i="12"/>
  <c r="J170" i="12"/>
  <c r="L170" i="12" s="1"/>
  <c r="M170" i="12" s="1"/>
  <c r="J171" i="12"/>
  <c r="L171" i="12" s="1"/>
  <c r="M171" i="12" s="1"/>
  <c r="J172" i="12"/>
  <c r="J173" i="12"/>
  <c r="J174" i="12"/>
  <c r="L174" i="12" s="1"/>
  <c r="M174" i="12" s="1"/>
  <c r="J175" i="12"/>
  <c r="L175" i="12" s="1"/>
  <c r="M175" i="12" s="1"/>
  <c r="J176" i="12"/>
  <c r="L176" i="12" s="1"/>
  <c r="M176" i="12" s="1"/>
  <c r="J177" i="12"/>
  <c r="L177" i="12" s="1"/>
  <c r="M177" i="12" s="1"/>
  <c r="J178" i="12"/>
  <c r="J179" i="12"/>
  <c r="L179" i="12" s="1"/>
  <c r="M179" i="12" s="1"/>
  <c r="J180" i="12"/>
  <c r="L180" i="12" s="1"/>
  <c r="M180" i="12" s="1"/>
  <c r="J181" i="12"/>
  <c r="L181" i="12" s="1"/>
  <c r="M181" i="12" s="1"/>
  <c r="J182" i="12"/>
  <c r="L182" i="12" s="1"/>
  <c r="M182" i="12" s="1"/>
  <c r="J183" i="12"/>
  <c r="L183" i="12" s="1"/>
  <c r="M183" i="12" s="1"/>
  <c r="J184" i="12"/>
  <c r="L184" i="12" s="1"/>
  <c r="M184" i="12" s="1"/>
  <c r="J185" i="12"/>
  <c r="J186" i="12"/>
  <c r="L186" i="12" s="1"/>
  <c r="M186" i="12" s="1"/>
  <c r="J187" i="12"/>
  <c r="L187" i="12" s="1"/>
  <c r="M187" i="12" s="1"/>
  <c r="J188" i="12"/>
  <c r="J189" i="12"/>
  <c r="L189" i="12" s="1"/>
  <c r="M189" i="12" s="1"/>
  <c r="J190" i="12"/>
  <c r="L190" i="12" s="1"/>
  <c r="M190" i="12" s="1"/>
  <c r="J191" i="12"/>
  <c r="L191" i="12" s="1"/>
  <c r="M191" i="12" s="1"/>
  <c r="J192" i="12"/>
  <c r="J193" i="12"/>
  <c r="L193" i="12" s="1"/>
  <c r="M193" i="12" s="1"/>
  <c r="J194" i="12"/>
  <c r="L194" i="12" s="1"/>
  <c r="M194" i="12" s="1"/>
  <c r="J195" i="12"/>
  <c r="L195" i="12" s="1"/>
  <c r="M195" i="12" s="1"/>
  <c r="J196" i="12"/>
  <c r="L196" i="12" s="1"/>
  <c r="M196" i="12" s="1"/>
  <c r="J197" i="12"/>
  <c r="J198" i="12"/>
  <c r="J199" i="12"/>
  <c r="L199" i="12" s="1"/>
  <c r="M199" i="12" s="1"/>
  <c r="J200" i="12"/>
  <c r="L200" i="12" s="1"/>
  <c r="M200" i="12" s="1"/>
  <c r="J201" i="12"/>
  <c r="L201" i="12" s="1"/>
  <c r="M201" i="12" s="1"/>
  <c r="J202" i="12"/>
  <c r="L202" i="12" s="1"/>
  <c r="M202" i="12" s="1"/>
  <c r="J203" i="12"/>
  <c r="L203" i="12" s="1"/>
  <c r="M203" i="12" s="1"/>
  <c r="J204" i="12"/>
  <c r="L204" i="12" s="1"/>
  <c r="J205" i="12"/>
  <c r="J206" i="12"/>
  <c r="L206" i="12" s="1"/>
  <c r="M206" i="12" s="1"/>
  <c r="J207" i="12"/>
  <c r="L207" i="12" s="1"/>
  <c r="M207" i="12" s="1"/>
  <c r="J208" i="12"/>
  <c r="L208" i="12" s="1"/>
  <c r="M208" i="12" s="1"/>
  <c r="J209" i="12"/>
  <c r="J210" i="12"/>
  <c r="L210" i="12" s="1"/>
  <c r="M210" i="12" s="1"/>
  <c r="J211" i="12"/>
  <c r="L211" i="12" s="1"/>
  <c r="M211" i="12" s="1"/>
  <c r="J212" i="12"/>
  <c r="J213" i="12"/>
  <c r="J214" i="12"/>
  <c r="L214" i="12" s="1"/>
  <c r="M214" i="12" s="1"/>
  <c r="J215" i="12"/>
  <c r="L215" i="12" s="1"/>
  <c r="M215" i="12" s="1"/>
  <c r="J216" i="12"/>
  <c r="L216" i="12" s="1"/>
  <c r="M216" i="12" s="1"/>
  <c r="J217" i="12"/>
  <c r="L217" i="12" s="1"/>
  <c r="M217" i="12" s="1"/>
  <c r="J218" i="12"/>
  <c r="L218" i="12" s="1"/>
  <c r="M218" i="12" s="1"/>
  <c r="J219" i="12"/>
  <c r="L219" i="12" s="1"/>
  <c r="M219" i="12" s="1"/>
  <c r="J220" i="12"/>
  <c r="L220" i="12" s="1"/>
  <c r="M220" i="12" s="1"/>
  <c r="J221" i="12"/>
  <c r="L221" i="12" s="1"/>
  <c r="M221" i="12" s="1"/>
  <c r="J222" i="12"/>
  <c r="L222" i="12" s="1"/>
  <c r="J223" i="12"/>
  <c r="L223" i="12" s="1"/>
  <c r="M223" i="12" s="1"/>
  <c r="J224" i="12"/>
  <c r="L224" i="12" s="1"/>
  <c r="M224" i="12" s="1"/>
  <c r="J225" i="12"/>
  <c r="J226" i="12"/>
  <c r="L226" i="12" s="1"/>
  <c r="M226" i="12" s="1"/>
  <c r="J227" i="12"/>
  <c r="L227" i="12" s="1"/>
  <c r="M227" i="12" s="1"/>
  <c r="J228" i="12"/>
  <c r="J229" i="12"/>
  <c r="L229" i="12" s="1"/>
  <c r="M229" i="12" s="1"/>
  <c r="J230" i="12"/>
  <c r="L230" i="12" s="1"/>
  <c r="J231" i="12"/>
  <c r="L231" i="12" s="1"/>
  <c r="M231" i="12" s="1"/>
  <c r="J232" i="12"/>
  <c r="L232" i="12" s="1"/>
  <c r="J233" i="12"/>
  <c r="J234" i="12"/>
  <c r="L234" i="12" s="1"/>
  <c r="M234" i="12" s="1"/>
  <c r="J235" i="12"/>
  <c r="L235" i="12" s="1"/>
  <c r="M235" i="12" s="1"/>
  <c r="J236" i="12"/>
  <c r="J237" i="12"/>
  <c r="L237" i="12" s="1"/>
  <c r="M237" i="12" s="1"/>
  <c r="J238" i="12"/>
  <c r="J239" i="12"/>
  <c r="L239" i="12" s="1"/>
  <c r="M239" i="12" s="1"/>
  <c r="J240" i="12"/>
  <c r="L240" i="12" s="1"/>
  <c r="M240" i="12" s="1"/>
  <c r="J241" i="12"/>
  <c r="L241" i="12" s="1"/>
  <c r="M241" i="12" s="1"/>
  <c r="J242" i="12"/>
  <c r="L242" i="12" s="1"/>
  <c r="J243" i="12"/>
  <c r="L243" i="12" s="1"/>
  <c r="M243" i="12" s="1"/>
  <c r="J244" i="12"/>
  <c r="J245" i="12"/>
  <c r="L245" i="12" s="1"/>
  <c r="M245" i="12" s="1"/>
  <c r="J246" i="12"/>
  <c r="L246" i="12" s="1"/>
  <c r="M246" i="12" s="1"/>
  <c r="J247" i="12"/>
  <c r="L247" i="12" s="1"/>
  <c r="M247" i="12" s="1"/>
  <c r="J248" i="12"/>
  <c r="L248" i="12" s="1"/>
  <c r="M248" i="12" s="1"/>
  <c r="J249" i="12"/>
  <c r="L249" i="12" s="1"/>
  <c r="M249" i="12" s="1"/>
  <c r="J250" i="12"/>
  <c r="J251" i="12"/>
  <c r="L251" i="12" s="1"/>
  <c r="M251" i="12" s="1"/>
  <c r="J252" i="12"/>
  <c r="J253" i="12"/>
  <c r="J254" i="12"/>
  <c r="J255" i="12"/>
  <c r="L255" i="12" s="1"/>
  <c r="M255" i="12" s="1"/>
  <c r="J256" i="12"/>
  <c r="J257" i="12"/>
  <c r="J258" i="12"/>
  <c r="L258" i="12" s="1"/>
  <c r="M258" i="12" s="1"/>
  <c r="J259" i="12"/>
  <c r="L259" i="12" s="1"/>
  <c r="M259" i="12" s="1"/>
  <c r="J260" i="12"/>
  <c r="L260" i="12" s="1"/>
  <c r="M260" i="12" s="1"/>
  <c r="J261" i="12"/>
  <c r="J262" i="12"/>
  <c r="L262" i="12" s="1"/>
  <c r="M262" i="12" s="1"/>
  <c r="J263" i="12"/>
  <c r="L263" i="12" s="1"/>
  <c r="M263" i="12" s="1"/>
  <c r="J264" i="12"/>
  <c r="L264" i="12" s="1"/>
  <c r="M264" i="12" s="1"/>
  <c r="J265" i="12"/>
  <c r="L265" i="12" s="1"/>
  <c r="M265" i="12" s="1"/>
  <c r="J266" i="12"/>
  <c r="L266" i="12" s="1"/>
  <c r="M266" i="12" s="1"/>
  <c r="J267" i="12"/>
  <c r="L267" i="12" s="1"/>
  <c r="M267" i="12" s="1"/>
  <c r="J268" i="12"/>
  <c r="L268" i="12" s="1"/>
  <c r="M268" i="12" s="1"/>
  <c r="J269" i="12"/>
  <c r="J270" i="12"/>
  <c r="L270" i="12" s="1"/>
  <c r="M270" i="12" s="1"/>
  <c r="J271" i="12"/>
  <c r="L271" i="12" s="1"/>
  <c r="M271" i="12" s="1"/>
  <c r="J272" i="12"/>
  <c r="J273" i="12"/>
  <c r="J274" i="12"/>
  <c r="L274" i="12" s="1"/>
  <c r="M274" i="12" s="1"/>
  <c r="J275" i="12"/>
  <c r="L275" i="12" s="1"/>
  <c r="M275" i="12" s="1"/>
  <c r="J276" i="12"/>
  <c r="J277" i="12"/>
  <c r="L277" i="12" s="1"/>
  <c r="M277" i="12" s="1"/>
  <c r="J278" i="12"/>
  <c r="L278" i="12" s="1"/>
  <c r="M278" i="12" s="1"/>
  <c r="J279" i="12"/>
  <c r="L279" i="12" s="1"/>
  <c r="M279" i="12" s="1"/>
  <c r="J280" i="12"/>
  <c r="L280" i="12" s="1"/>
  <c r="M280" i="12" s="1"/>
  <c r="J281" i="12"/>
  <c r="J282" i="12"/>
  <c r="L282" i="12" s="1"/>
  <c r="M282" i="12" s="1"/>
  <c r="J283" i="12"/>
  <c r="L283" i="12" s="1"/>
  <c r="M283" i="12" s="1"/>
  <c r="J284" i="12"/>
  <c r="L284" i="12" s="1"/>
  <c r="M284" i="12" s="1"/>
  <c r="J285" i="12"/>
  <c r="L285" i="12" s="1"/>
  <c r="M285" i="12" s="1"/>
  <c r="J286" i="12"/>
  <c r="L286" i="12" s="1"/>
  <c r="M286" i="12" s="1"/>
  <c r="J287" i="12"/>
  <c r="L287" i="12" s="1"/>
  <c r="M287" i="12" s="1"/>
  <c r="J288" i="12"/>
  <c r="L288" i="12" s="1"/>
  <c r="M288" i="12" s="1"/>
  <c r="J289" i="12"/>
  <c r="J290" i="12"/>
  <c r="L290" i="12" s="1"/>
  <c r="J291" i="12"/>
  <c r="L291" i="12" s="1"/>
  <c r="M291" i="12" s="1"/>
  <c r="J292" i="12"/>
  <c r="J293" i="12"/>
  <c r="L293" i="12" s="1"/>
  <c r="M293" i="12" s="1"/>
  <c r="J294" i="12"/>
  <c r="L294" i="12" s="1"/>
  <c r="M294" i="12" s="1"/>
  <c r="J295" i="12"/>
  <c r="L295" i="12" s="1"/>
  <c r="M295" i="12" s="1"/>
  <c r="J296" i="12"/>
  <c r="J297" i="12"/>
  <c r="J298" i="12"/>
  <c r="L298" i="12" s="1"/>
  <c r="M298" i="12" s="1"/>
  <c r="J299" i="12"/>
  <c r="L299" i="12" s="1"/>
  <c r="M299" i="12" s="1"/>
  <c r="J300" i="12"/>
  <c r="J301" i="12"/>
  <c r="J302" i="12"/>
  <c r="L302" i="12" s="1"/>
  <c r="M302" i="12" s="1"/>
  <c r="J303" i="12"/>
  <c r="L303" i="12" s="1"/>
  <c r="M303" i="12" s="1"/>
  <c r="J304" i="12"/>
  <c r="J305" i="12"/>
  <c r="L305" i="12" s="1"/>
  <c r="M305" i="12" s="1"/>
  <c r="J306" i="12"/>
  <c r="L306" i="12" s="1"/>
  <c r="M306" i="12" s="1"/>
  <c r="J307" i="12"/>
  <c r="L307" i="12" s="1"/>
  <c r="M307" i="12" s="1"/>
  <c r="J308" i="12"/>
  <c r="J309" i="12"/>
  <c r="J310" i="12"/>
  <c r="L310" i="12" s="1"/>
  <c r="M310" i="12" s="1"/>
  <c r="J311" i="12"/>
  <c r="L311" i="12" s="1"/>
  <c r="M311" i="12" s="1"/>
  <c r="J312" i="12"/>
  <c r="J313" i="12"/>
  <c r="L313" i="12" s="1"/>
  <c r="M313" i="12" s="1"/>
  <c r="J314" i="12"/>
  <c r="L314" i="12" s="1"/>
  <c r="M314" i="12" s="1"/>
  <c r="J315" i="12"/>
  <c r="L315" i="12" s="1"/>
  <c r="M315" i="12" s="1"/>
  <c r="J316" i="12"/>
  <c r="L316" i="12" s="1"/>
  <c r="M316" i="12" s="1"/>
  <c r="J317" i="12"/>
  <c r="L317" i="12" s="1"/>
  <c r="M317" i="12" s="1"/>
  <c r="J318" i="12"/>
  <c r="L318" i="12" s="1"/>
  <c r="M318" i="12" s="1"/>
  <c r="J319" i="12"/>
  <c r="L319" i="12" s="1"/>
  <c r="M319" i="12" s="1"/>
  <c r="J320" i="12"/>
  <c r="J321" i="12"/>
  <c r="J322" i="12"/>
  <c r="L322" i="12" s="1"/>
  <c r="M322" i="12" s="1"/>
  <c r="J323" i="12"/>
  <c r="L323" i="12" s="1"/>
  <c r="M323" i="12" s="1"/>
  <c r="J324" i="12"/>
  <c r="L324" i="12" s="1"/>
  <c r="M324" i="12" s="1"/>
  <c r="J325" i="12"/>
  <c r="J326" i="12"/>
  <c r="L326" i="12" s="1"/>
  <c r="M326" i="12" s="1"/>
  <c r="J327" i="12"/>
  <c r="L327" i="12" s="1"/>
  <c r="M327" i="12" s="1"/>
  <c r="J328" i="12"/>
  <c r="J329" i="12"/>
  <c r="J330" i="12"/>
  <c r="L330" i="12" s="1"/>
  <c r="M330" i="12" s="1"/>
  <c r="J331" i="12"/>
  <c r="L331" i="12" s="1"/>
  <c r="M331" i="12" s="1"/>
  <c r="J332" i="12"/>
  <c r="J333" i="12"/>
  <c r="L333" i="12" s="1"/>
  <c r="M333" i="12" s="1"/>
  <c r="J334" i="12"/>
  <c r="L334" i="12" s="1"/>
  <c r="M334" i="12" s="1"/>
  <c r="J335" i="12"/>
  <c r="L335" i="12" s="1"/>
  <c r="M335" i="12" s="1"/>
  <c r="J336" i="12"/>
  <c r="L336" i="12" s="1"/>
  <c r="M336" i="12" s="1"/>
  <c r="J337" i="12"/>
  <c r="J338" i="12"/>
  <c r="L338" i="12" s="1"/>
  <c r="M338" i="12" s="1"/>
  <c r="J339" i="12"/>
  <c r="L339" i="12" s="1"/>
  <c r="M339" i="12" s="1"/>
  <c r="J340" i="12"/>
  <c r="J341" i="12"/>
  <c r="L341" i="12" s="1"/>
  <c r="M341" i="12" s="1"/>
  <c r="J342" i="12"/>
  <c r="L342" i="12" s="1"/>
  <c r="M342" i="12" s="1"/>
  <c r="J343" i="12"/>
  <c r="L343" i="12" s="1"/>
  <c r="M343" i="12" s="1"/>
  <c r="J344" i="12"/>
  <c r="L344" i="12" s="1"/>
  <c r="M344" i="12" s="1"/>
  <c r="J345" i="12"/>
  <c r="J346" i="12"/>
  <c r="L346" i="12" s="1"/>
  <c r="M346" i="12" s="1"/>
  <c r="J347" i="12"/>
  <c r="L347" i="12" s="1"/>
  <c r="M347" i="12" s="1"/>
  <c r="J348" i="12"/>
  <c r="J349" i="12"/>
  <c r="J350" i="12"/>
  <c r="L350" i="12" s="1"/>
  <c r="M350" i="12" s="1"/>
  <c r="J351" i="12"/>
  <c r="L351" i="12" s="1"/>
  <c r="M351" i="12" s="1"/>
  <c r="J352" i="12"/>
  <c r="J353" i="12"/>
  <c r="L353" i="12" s="1"/>
  <c r="M353" i="12" s="1"/>
  <c r="J354" i="12"/>
  <c r="L354" i="12" s="1"/>
  <c r="J355" i="12"/>
  <c r="L355" i="12" s="1"/>
  <c r="M355" i="12" s="1"/>
  <c r="J356" i="12"/>
  <c r="L356" i="12" s="1"/>
  <c r="J357" i="12"/>
  <c r="J358" i="12"/>
  <c r="L358" i="12" s="1"/>
  <c r="M358" i="12" s="1"/>
  <c r="J359" i="12"/>
  <c r="L359" i="12" s="1"/>
  <c r="M359" i="12" s="1"/>
  <c r="J360" i="12"/>
  <c r="L360" i="12" s="1"/>
  <c r="M360" i="12" s="1"/>
  <c r="J361" i="12"/>
  <c r="J362" i="12"/>
  <c r="L362" i="12" s="1"/>
  <c r="J363" i="12"/>
  <c r="L363" i="12" s="1"/>
  <c r="M363" i="12" s="1"/>
  <c r="J364" i="12"/>
  <c r="J365" i="12"/>
  <c r="L365" i="12" s="1"/>
  <c r="M365" i="12" s="1"/>
  <c r="J366" i="12"/>
  <c r="L366" i="12" s="1"/>
  <c r="M366" i="12" s="1"/>
  <c r="J367" i="12"/>
  <c r="L367" i="12" s="1"/>
  <c r="M367" i="12" s="1"/>
  <c r="J368" i="12"/>
  <c r="J369" i="12"/>
  <c r="L369" i="12" s="1"/>
  <c r="M369" i="12" s="1"/>
  <c r="J370" i="12"/>
  <c r="L370" i="12" s="1"/>
  <c r="M370" i="12" s="1"/>
  <c r="J371" i="12"/>
  <c r="L371" i="12" s="1"/>
  <c r="M371" i="12" s="1"/>
  <c r="J372" i="12"/>
  <c r="L372" i="12" s="1"/>
  <c r="M372" i="12" s="1"/>
  <c r="J373" i="12"/>
  <c r="J374" i="12"/>
  <c r="L374" i="12" s="1"/>
  <c r="M374" i="12" s="1"/>
  <c r="J375" i="12"/>
  <c r="L375" i="12" s="1"/>
  <c r="M375" i="12" s="1"/>
  <c r="J376" i="12"/>
  <c r="L376" i="12" s="1"/>
  <c r="M376" i="12" s="1"/>
  <c r="J377" i="12"/>
  <c r="L377" i="12" s="1"/>
  <c r="M377" i="12" s="1"/>
  <c r="J378" i="12"/>
  <c r="L378" i="12" s="1"/>
  <c r="M378" i="12" s="1"/>
  <c r="J379" i="12"/>
  <c r="L379" i="12" s="1"/>
  <c r="M379" i="12" s="1"/>
  <c r="J380" i="12"/>
  <c r="L380" i="12" s="1"/>
  <c r="M380" i="12" s="1"/>
  <c r="J381" i="12"/>
  <c r="L381" i="12" s="1"/>
  <c r="M381" i="12" s="1"/>
  <c r="J382" i="12"/>
  <c r="L382" i="12" s="1"/>
  <c r="M382" i="12" s="1"/>
  <c r="J383" i="12"/>
  <c r="L383" i="12" s="1"/>
  <c r="M383" i="12" s="1"/>
  <c r="J384" i="12"/>
  <c r="J385" i="12"/>
  <c r="L385" i="12" s="1"/>
  <c r="M385" i="12" s="1"/>
  <c r="J386" i="12"/>
  <c r="L386" i="12" s="1"/>
  <c r="M386" i="12" s="1"/>
  <c r="J387" i="12"/>
  <c r="L387" i="12" s="1"/>
  <c r="M387" i="12" s="1"/>
  <c r="J388" i="12"/>
  <c r="L388" i="12" s="1"/>
  <c r="M388" i="12" s="1"/>
  <c r="J389" i="12"/>
  <c r="J390" i="12"/>
  <c r="L390" i="12" s="1"/>
  <c r="M390" i="12" s="1"/>
  <c r="J391" i="12"/>
  <c r="L391" i="12" s="1"/>
  <c r="M391" i="12" s="1"/>
  <c r="J392" i="12"/>
  <c r="L392" i="12" s="1"/>
  <c r="M392" i="12" s="1"/>
  <c r="J393" i="12"/>
  <c r="L393" i="12" s="1"/>
  <c r="M393" i="12" s="1"/>
  <c r="J394" i="12"/>
  <c r="L394" i="12" s="1"/>
  <c r="M394" i="12" s="1"/>
  <c r="J395" i="12"/>
  <c r="L395" i="12" s="1"/>
  <c r="M395" i="12" s="1"/>
  <c r="J396" i="12"/>
  <c r="L396" i="12" s="1"/>
  <c r="M396" i="12" s="1"/>
  <c r="J397" i="12"/>
  <c r="L397" i="12" s="1"/>
  <c r="M397" i="12" s="1"/>
  <c r="J398" i="12"/>
  <c r="L398" i="12" s="1"/>
  <c r="J399" i="12"/>
  <c r="L399" i="12" s="1"/>
  <c r="M399" i="12" s="1"/>
  <c r="J400" i="12"/>
  <c r="J401" i="12"/>
  <c r="J402" i="12"/>
  <c r="L402" i="12" s="1"/>
  <c r="M402" i="12" s="1"/>
  <c r="J403" i="12"/>
  <c r="L403" i="12" s="1"/>
  <c r="M403" i="12" s="1"/>
  <c r="J404" i="12"/>
  <c r="J405" i="12"/>
  <c r="L405" i="12" s="1"/>
  <c r="M405" i="12" s="1"/>
  <c r="J406" i="12"/>
  <c r="L406" i="12" s="1"/>
  <c r="M406" i="12" s="1"/>
  <c r="J407" i="12"/>
  <c r="L407" i="12" s="1"/>
  <c r="M407" i="12" s="1"/>
  <c r="J408" i="12"/>
  <c r="L408" i="12" s="1"/>
  <c r="M408" i="12" s="1"/>
  <c r="J409" i="12"/>
  <c r="J410" i="12"/>
  <c r="L410" i="12" s="1"/>
  <c r="M410" i="12" s="1"/>
  <c r="J411" i="12"/>
  <c r="L411" i="12" s="1"/>
  <c r="M411" i="12" s="1"/>
  <c r="J412" i="12"/>
  <c r="J413" i="12"/>
  <c r="L413" i="12" s="1"/>
  <c r="M413" i="12" s="1"/>
  <c r="J414" i="12"/>
  <c r="L414" i="12" s="1"/>
  <c r="M414" i="12" s="1"/>
  <c r="J415" i="12"/>
  <c r="L415" i="12" s="1"/>
  <c r="M415" i="12" s="1"/>
  <c r="J416" i="12"/>
  <c r="J417" i="12"/>
  <c r="J418" i="12"/>
  <c r="L418" i="12" s="1"/>
  <c r="M418" i="12" s="1"/>
  <c r="J419" i="12"/>
  <c r="L419" i="12" s="1"/>
  <c r="M419" i="12" s="1"/>
  <c r="J420" i="12"/>
  <c r="J421" i="12"/>
  <c r="L421" i="12" s="1"/>
  <c r="M421" i="12" s="1"/>
  <c r="J422" i="12"/>
  <c r="L422" i="12" s="1"/>
  <c r="M422" i="12" s="1"/>
  <c r="J423" i="12"/>
  <c r="L423" i="12" s="1"/>
  <c r="M423" i="12" s="1"/>
  <c r="J424" i="12"/>
  <c r="L424" i="12" s="1"/>
  <c r="M424" i="12" s="1"/>
  <c r="J425" i="12"/>
  <c r="L425" i="12" s="1"/>
  <c r="M425" i="12" s="1"/>
  <c r="J426" i="12"/>
  <c r="L426" i="12" s="1"/>
  <c r="M426" i="12" s="1"/>
  <c r="J427" i="12"/>
  <c r="L427" i="12" s="1"/>
  <c r="M427" i="12" s="1"/>
  <c r="J428" i="12"/>
  <c r="J429" i="12"/>
  <c r="L429" i="12" s="1"/>
  <c r="M429" i="12" s="1"/>
  <c r="J430" i="12"/>
  <c r="L430" i="12" s="1"/>
  <c r="M430" i="12" s="1"/>
  <c r="J431" i="12"/>
  <c r="L431" i="12" s="1"/>
  <c r="M431" i="12" s="1"/>
  <c r="J432" i="12"/>
  <c r="J433" i="12"/>
  <c r="J434" i="12"/>
  <c r="L434" i="12" s="1"/>
  <c r="M434" i="12" s="1"/>
  <c r="J435" i="12"/>
  <c r="L435" i="12" s="1"/>
  <c r="M435" i="12" s="1"/>
  <c r="J436" i="12"/>
  <c r="L436" i="12" s="1"/>
  <c r="M436" i="12" s="1"/>
  <c r="J437" i="12"/>
  <c r="J438" i="12"/>
  <c r="L438" i="12" s="1"/>
  <c r="M438" i="12" s="1"/>
  <c r="J439" i="12"/>
  <c r="L439" i="12" s="1"/>
  <c r="M439" i="12" s="1"/>
  <c r="J440" i="12"/>
  <c r="L440" i="12" s="1"/>
  <c r="M440" i="12" s="1"/>
  <c r="J441" i="12"/>
  <c r="J442" i="12"/>
  <c r="L442" i="12" s="1"/>
  <c r="M442" i="12" s="1"/>
  <c r="J443" i="12"/>
  <c r="L443" i="12" s="1"/>
  <c r="M443" i="12" s="1"/>
  <c r="J444" i="12"/>
  <c r="J445" i="12"/>
  <c r="J446" i="12"/>
  <c r="L446" i="12" s="1"/>
  <c r="M446" i="12" s="1"/>
  <c r="J447" i="12"/>
  <c r="L447" i="12" s="1"/>
  <c r="M447" i="12" s="1"/>
  <c r="J448" i="12"/>
  <c r="J449" i="12"/>
  <c r="L449" i="12" s="1"/>
  <c r="M449" i="12" s="1"/>
  <c r="J450" i="12"/>
  <c r="L450" i="12" s="1"/>
  <c r="M450" i="12" s="1"/>
  <c r="J451" i="12"/>
  <c r="L451" i="12" s="1"/>
  <c r="M451" i="12" s="1"/>
  <c r="J452" i="12"/>
  <c r="J453" i="12"/>
  <c r="J454" i="12"/>
  <c r="L454" i="12" s="1"/>
  <c r="M454" i="12" s="1"/>
  <c r="J455" i="12"/>
  <c r="L455" i="12" s="1"/>
  <c r="M455" i="12" s="1"/>
  <c r="J456" i="12"/>
  <c r="L456" i="12" s="1"/>
  <c r="M456" i="12" s="1"/>
  <c r="J457" i="12"/>
  <c r="L457" i="12" s="1"/>
  <c r="M457" i="12" s="1"/>
  <c r="J458" i="12"/>
  <c r="L458" i="12" s="1"/>
  <c r="M458" i="12" s="1"/>
  <c r="J459" i="12"/>
  <c r="L459" i="12" s="1"/>
  <c r="M459" i="12" s="1"/>
  <c r="J460" i="12"/>
  <c r="L460" i="12" s="1"/>
  <c r="M460" i="12" s="1"/>
  <c r="J461" i="12"/>
  <c r="J462" i="12"/>
  <c r="L462" i="12" s="1"/>
  <c r="M462" i="12" s="1"/>
  <c r="J463" i="12"/>
  <c r="L463" i="12" s="1"/>
  <c r="M463" i="12" s="1"/>
  <c r="J464" i="12"/>
  <c r="J465" i="12"/>
  <c r="L465" i="12" s="1"/>
  <c r="M465" i="12" s="1"/>
  <c r="J466" i="12"/>
  <c r="L466" i="12" s="1"/>
  <c r="M466" i="12" s="1"/>
  <c r="J467" i="12"/>
  <c r="L467" i="12" s="1"/>
  <c r="M467" i="12" s="1"/>
  <c r="J468" i="12"/>
  <c r="J469" i="12"/>
  <c r="L469" i="12" s="1"/>
  <c r="M469" i="12" s="1"/>
  <c r="J470" i="12"/>
  <c r="L470" i="12" s="1"/>
  <c r="M470" i="12" s="1"/>
  <c r="J471" i="12"/>
  <c r="L471" i="12" s="1"/>
  <c r="M471" i="12" s="1"/>
  <c r="J472" i="12"/>
  <c r="L472" i="12" s="1"/>
  <c r="M472" i="12" s="1"/>
  <c r="J473" i="12"/>
  <c r="J474" i="12"/>
  <c r="L474" i="12" s="1"/>
  <c r="M474" i="12" s="1"/>
  <c r="J475" i="12"/>
  <c r="L475" i="12" s="1"/>
  <c r="M475" i="12" s="1"/>
  <c r="J476" i="12"/>
  <c r="J477" i="12"/>
  <c r="L477" i="12" s="1"/>
  <c r="M477" i="12" s="1"/>
  <c r="J478" i="12"/>
  <c r="L478" i="12" s="1"/>
  <c r="M478" i="12" s="1"/>
  <c r="J479" i="12"/>
  <c r="L479" i="12" s="1"/>
  <c r="M479" i="12" s="1"/>
  <c r="J480" i="12"/>
  <c r="J481" i="12"/>
  <c r="L481" i="12" s="1"/>
  <c r="M481" i="12" s="1"/>
  <c r="J482" i="12"/>
  <c r="L482" i="12" s="1"/>
  <c r="M482" i="12" s="1"/>
  <c r="J483" i="12"/>
  <c r="L483" i="12" s="1"/>
  <c r="M483" i="12" s="1"/>
  <c r="J484" i="12"/>
  <c r="L484" i="12" s="1"/>
  <c r="M484" i="12" s="1"/>
  <c r="J485" i="12"/>
  <c r="J486" i="12"/>
  <c r="L486" i="12" s="1"/>
  <c r="M486" i="12" s="1"/>
  <c r="J487" i="12"/>
  <c r="L487" i="12" s="1"/>
  <c r="M487" i="12" s="1"/>
  <c r="J488" i="12"/>
  <c r="L488" i="12" s="1"/>
  <c r="M488" i="12" s="1"/>
  <c r="J489" i="12"/>
  <c r="J490" i="12"/>
  <c r="L490" i="12" s="1"/>
  <c r="M490" i="12" s="1"/>
  <c r="J491" i="12"/>
  <c r="L491" i="12" s="1"/>
  <c r="M491" i="12" s="1"/>
  <c r="J492" i="12"/>
  <c r="L492" i="12" s="1"/>
  <c r="M492" i="12" s="1"/>
  <c r="J493" i="12"/>
  <c r="L493" i="12" s="1"/>
  <c r="M493" i="12" s="1"/>
  <c r="J494" i="12"/>
  <c r="L494" i="12" s="1"/>
  <c r="M494" i="12" s="1"/>
  <c r="J495" i="12"/>
  <c r="L495" i="12" s="1"/>
  <c r="M495" i="12" s="1"/>
  <c r="J496" i="12"/>
  <c r="J497" i="12"/>
  <c r="L497" i="12" s="1"/>
  <c r="M497" i="12" s="1"/>
  <c r="J498" i="12"/>
  <c r="L498" i="12" s="1"/>
  <c r="M498" i="12" s="1"/>
  <c r="J499" i="12"/>
  <c r="L499" i="12" s="1"/>
  <c r="M499" i="12" s="1"/>
  <c r="J500" i="12"/>
  <c r="J501" i="12"/>
  <c r="J502" i="12"/>
  <c r="L502" i="12" s="1"/>
  <c r="M502" i="12" s="1"/>
  <c r="J503" i="12"/>
  <c r="L503" i="12" s="1"/>
  <c r="M503" i="12" s="1"/>
  <c r="J504" i="12"/>
  <c r="L504" i="12" s="1"/>
  <c r="M504" i="12" s="1"/>
  <c r="J505" i="12"/>
  <c r="L505" i="12" s="1"/>
  <c r="M505" i="12" s="1"/>
  <c r="J506" i="12"/>
  <c r="L506" i="12" s="1"/>
  <c r="M506" i="12" s="1"/>
  <c r="J507" i="12"/>
  <c r="L507" i="12" s="1"/>
  <c r="M507" i="12" s="1"/>
  <c r="J508" i="12"/>
  <c r="L508" i="12" s="1"/>
  <c r="M508" i="12" s="1"/>
  <c r="J509" i="12"/>
  <c r="L509" i="12" s="1"/>
  <c r="M509" i="12" s="1"/>
  <c r="J510" i="12"/>
  <c r="L510" i="12" s="1"/>
  <c r="J511" i="12"/>
  <c r="L511" i="12" s="1"/>
  <c r="M511" i="12" s="1"/>
  <c r="J512" i="12"/>
  <c r="J513" i="12"/>
  <c r="L513" i="12" s="1"/>
  <c r="M513" i="12" s="1"/>
  <c r="J514" i="12"/>
  <c r="L514" i="12" s="1"/>
  <c r="M514" i="12" s="1"/>
  <c r="J515" i="12"/>
  <c r="L515" i="12" s="1"/>
  <c r="M515" i="12" s="1"/>
  <c r="J516" i="12"/>
  <c r="J517" i="12"/>
  <c r="L517" i="12" s="1"/>
  <c r="M517" i="12" s="1"/>
  <c r="J518" i="12"/>
  <c r="L518" i="12" s="1"/>
  <c r="J519" i="12"/>
  <c r="L519" i="12" s="1"/>
  <c r="M519" i="12" s="1"/>
  <c r="J520" i="12"/>
  <c r="L520" i="12" s="1"/>
  <c r="M520" i="12" s="1"/>
  <c r="J521" i="12"/>
  <c r="L521" i="12" s="1"/>
  <c r="M521" i="12" s="1"/>
  <c r="J522" i="12"/>
  <c r="L522" i="12" s="1"/>
  <c r="J523" i="12"/>
  <c r="L523" i="12" s="1"/>
  <c r="M523" i="12" s="1"/>
  <c r="J524" i="12"/>
  <c r="L524" i="12" s="1"/>
  <c r="M524" i="12" s="1"/>
  <c r="J525" i="12"/>
  <c r="L525" i="12" s="1"/>
  <c r="M525" i="12" s="1"/>
  <c r="J526" i="12"/>
  <c r="L526" i="12" s="1"/>
  <c r="M526" i="12" s="1"/>
  <c r="J527" i="12"/>
  <c r="L527" i="12" s="1"/>
  <c r="M527" i="12" s="1"/>
  <c r="J528" i="12"/>
  <c r="J529" i="12"/>
  <c r="J530" i="12"/>
  <c r="L530" i="12" s="1"/>
  <c r="M530" i="12" s="1"/>
  <c r="J531" i="12"/>
  <c r="L531" i="12" s="1"/>
  <c r="M531" i="12" s="1"/>
  <c r="J532" i="12"/>
  <c r="J533" i="12"/>
  <c r="J534" i="12"/>
  <c r="L534" i="12" s="1"/>
  <c r="M534" i="12" s="1"/>
  <c r="J535" i="12"/>
  <c r="L535" i="12" s="1"/>
  <c r="M535" i="12" s="1"/>
  <c r="J536" i="12"/>
  <c r="L536" i="12" s="1"/>
  <c r="M536" i="12" s="1"/>
  <c r="J537" i="12"/>
  <c r="L537" i="12" s="1"/>
  <c r="M537" i="12" s="1"/>
  <c r="J538" i="12"/>
  <c r="L538" i="12" s="1"/>
  <c r="M538" i="12" s="1"/>
  <c r="J539" i="12"/>
  <c r="L539" i="12" s="1"/>
  <c r="M539" i="12" s="1"/>
  <c r="J540" i="12"/>
  <c r="J541" i="12"/>
  <c r="L541" i="12" s="1"/>
  <c r="M541" i="12" s="1"/>
  <c r="J542" i="12"/>
  <c r="L542" i="12" s="1"/>
  <c r="M542" i="12" s="1"/>
  <c r="J543" i="12"/>
  <c r="L543" i="12" s="1"/>
  <c r="M543" i="12" s="1"/>
  <c r="J544" i="12"/>
  <c r="J545" i="12"/>
  <c r="J546" i="12"/>
  <c r="L546" i="12" s="1"/>
  <c r="M546" i="12" s="1"/>
  <c r="J547" i="12"/>
  <c r="L547" i="12" s="1"/>
  <c r="M547" i="12" s="1"/>
  <c r="J548" i="12"/>
  <c r="L548" i="12" s="1"/>
  <c r="M548" i="12" s="1"/>
  <c r="J549" i="12"/>
  <c r="J550" i="12"/>
  <c r="L550" i="12" s="1"/>
  <c r="M550" i="12" s="1"/>
  <c r="J551" i="12"/>
  <c r="L551" i="12" s="1"/>
  <c r="M551" i="12" s="1"/>
  <c r="J552" i="12"/>
  <c r="L552" i="12" s="1"/>
  <c r="M552" i="12" s="1"/>
  <c r="J553" i="12"/>
  <c r="L553" i="12" s="1"/>
  <c r="M553" i="12" s="1"/>
  <c r="J554" i="12"/>
  <c r="L554" i="12" s="1"/>
  <c r="M554" i="12" s="1"/>
  <c r="J555" i="12"/>
  <c r="L555" i="12" s="1"/>
  <c r="M555" i="12" s="1"/>
  <c r="J556" i="12"/>
  <c r="J557" i="12"/>
  <c r="J558" i="12"/>
  <c r="L558" i="12" s="1"/>
  <c r="M558" i="12" s="1"/>
  <c r="J559" i="12"/>
  <c r="L559" i="12" s="1"/>
  <c r="M559" i="12" s="1"/>
  <c r="J560" i="12"/>
  <c r="J561" i="12"/>
  <c r="L561" i="12" s="1"/>
  <c r="M561" i="12" s="1"/>
  <c r="J562" i="12"/>
  <c r="L562" i="12" s="1"/>
  <c r="M562" i="12" s="1"/>
  <c r="J563" i="12"/>
  <c r="L563" i="12" s="1"/>
  <c r="M563" i="12" s="1"/>
  <c r="J564" i="12"/>
  <c r="J565" i="12"/>
  <c r="L565" i="12" s="1"/>
  <c r="J566" i="12"/>
  <c r="L566" i="12" s="1"/>
  <c r="J567" i="12"/>
  <c r="L567" i="12" s="1"/>
  <c r="M567" i="12" s="1"/>
  <c r="J568" i="12"/>
  <c r="L568" i="12" s="1"/>
  <c r="M568" i="12" s="1"/>
  <c r="J569" i="12"/>
  <c r="L569" i="12" s="1"/>
  <c r="M569" i="12" s="1"/>
  <c r="J570" i="12"/>
  <c r="L570" i="12" s="1"/>
  <c r="M570" i="12" s="1"/>
  <c r="J571" i="12"/>
  <c r="L571" i="12" s="1"/>
  <c r="M571" i="12" s="1"/>
  <c r="J572" i="12"/>
  <c r="J573" i="12"/>
  <c r="J574" i="12"/>
  <c r="L574" i="12" s="1"/>
  <c r="M574" i="12" s="1"/>
  <c r="J575" i="12"/>
  <c r="L575" i="12" s="1"/>
  <c r="M575" i="12" s="1"/>
  <c r="J576" i="12"/>
  <c r="J577" i="12"/>
  <c r="L577" i="12" s="1"/>
  <c r="M577" i="12" s="1"/>
  <c r="J578" i="12"/>
  <c r="L578" i="12" s="1"/>
  <c r="M578" i="12" s="1"/>
  <c r="J579" i="12"/>
  <c r="L579" i="12" s="1"/>
  <c r="M579" i="12" s="1"/>
  <c r="J580" i="12"/>
  <c r="L580" i="12" s="1"/>
  <c r="M580" i="12" s="1"/>
  <c r="J581" i="12"/>
  <c r="J582" i="12"/>
  <c r="L582" i="12" s="1"/>
  <c r="M582" i="12" s="1"/>
  <c r="J583" i="12"/>
  <c r="L583" i="12" s="1"/>
  <c r="M583" i="12" s="1"/>
  <c r="J584" i="12"/>
  <c r="L584" i="12" s="1"/>
  <c r="M584" i="12" s="1"/>
  <c r="J585" i="12"/>
  <c r="L585" i="12" s="1"/>
  <c r="M585" i="12" s="1"/>
  <c r="J586" i="12"/>
  <c r="L586" i="12" s="1"/>
  <c r="M586" i="12" s="1"/>
  <c r="J587" i="12"/>
  <c r="L587" i="12" s="1"/>
  <c r="M587" i="12" s="1"/>
  <c r="J588" i="12"/>
  <c r="J589" i="12"/>
  <c r="L589" i="12" s="1"/>
  <c r="M589" i="12" s="1"/>
  <c r="J590" i="12"/>
  <c r="L590" i="12" s="1"/>
  <c r="M590" i="12" s="1"/>
  <c r="J591" i="12"/>
  <c r="L591" i="12" s="1"/>
  <c r="M591" i="12" s="1"/>
  <c r="J592" i="12"/>
  <c r="J593" i="12"/>
  <c r="L593" i="12" s="1"/>
  <c r="M593" i="12" s="1"/>
  <c r="J594" i="12"/>
  <c r="L594" i="12" s="1"/>
  <c r="M594" i="12" s="1"/>
  <c r="J595" i="12"/>
  <c r="L595" i="12" s="1"/>
  <c r="M595" i="12" s="1"/>
  <c r="J596" i="12"/>
  <c r="L596" i="12" s="1"/>
  <c r="M596" i="12" s="1"/>
  <c r="J597" i="12"/>
  <c r="J598" i="12"/>
  <c r="L598" i="12" s="1"/>
  <c r="M598" i="12" s="1"/>
  <c r="J599" i="12"/>
  <c r="L599" i="12" s="1"/>
  <c r="M599" i="12" s="1"/>
  <c r="J600" i="12"/>
  <c r="L600" i="12" s="1"/>
  <c r="M600" i="12" s="1"/>
  <c r="J601" i="12"/>
  <c r="J602" i="12"/>
  <c r="L602" i="12" s="1"/>
  <c r="M602" i="12" s="1"/>
  <c r="J603" i="12"/>
  <c r="L603" i="12" s="1"/>
  <c r="M603" i="12" s="1"/>
  <c r="J604" i="12"/>
  <c r="J605" i="12"/>
  <c r="L605" i="12" s="1"/>
  <c r="M605" i="12" s="1"/>
  <c r="J606" i="12"/>
  <c r="L606" i="12" s="1"/>
  <c r="M606" i="12" s="1"/>
  <c r="J607" i="12"/>
  <c r="L607" i="12" s="1"/>
  <c r="M607" i="12" s="1"/>
  <c r="J608" i="12"/>
  <c r="J609" i="12"/>
  <c r="J610" i="12"/>
  <c r="L610" i="12" s="1"/>
  <c r="M610" i="12" s="1"/>
  <c r="J611" i="12"/>
  <c r="L611" i="12" s="1"/>
  <c r="M611" i="12" s="1"/>
  <c r="J612" i="12"/>
  <c r="J613" i="12"/>
  <c r="J614" i="12"/>
  <c r="L614" i="12" s="1"/>
  <c r="M614" i="12" s="1"/>
  <c r="J615" i="12"/>
  <c r="L615" i="12" s="1"/>
  <c r="M615" i="12" s="1"/>
  <c r="J616" i="12"/>
  <c r="L616" i="12" s="1"/>
  <c r="M616" i="12" s="1"/>
  <c r="J617" i="12"/>
  <c r="L617" i="12" s="1"/>
  <c r="M617" i="12" s="1"/>
  <c r="J618" i="12"/>
  <c r="L618" i="12" s="1"/>
  <c r="M618" i="12" s="1"/>
  <c r="J619" i="12"/>
  <c r="L619" i="12" s="1"/>
  <c r="M619" i="12" s="1"/>
  <c r="J620" i="12"/>
  <c r="J621" i="12"/>
  <c r="L621" i="12" s="1"/>
  <c r="M621" i="12" s="1"/>
  <c r="J622" i="12"/>
  <c r="L622" i="12" s="1"/>
  <c r="M622" i="12" s="1"/>
  <c r="J623" i="12"/>
  <c r="L623" i="12" s="1"/>
  <c r="M623" i="12" s="1"/>
  <c r="J624" i="12"/>
  <c r="J625" i="12"/>
  <c r="L625" i="12" s="1"/>
  <c r="M625" i="12" s="1"/>
  <c r="J626" i="12"/>
  <c r="L626" i="12" s="1"/>
  <c r="M626" i="12" s="1"/>
  <c r="J627" i="12"/>
  <c r="L627" i="12" s="1"/>
  <c r="M627" i="12" s="1"/>
  <c r="J628" i="12"/>
  <c r="L628" i="12" s="1"/>
  <c r="J629" i="12"/>
  <c r="J630" i="12"/>
  <c r="L630" i="12" s="1"/>
  <c r="M630" i="12" s="1"/>
  <c r="J631" i="12"/>
  <c r="L631" i="12" s="1"/>
  <c r="M631" i="12" s="1"/>
  <c r="J632" i="12"/>
  <c r="L632" i="12" s="1"/>
  <c r="M632" i="12" s="1"/>
  <c r="J633" i="12"/>
  <c r="L633" i="12" s="1"/>
  <c r="M633" i="12" s="1"/>
  <c r="J634" i="12"/>
  <c r="L634" i="12" s="1"/>
  <c r="J635" i="12"/>
  <c r="L635" i="12" s="1"/>
  <c r="M635" i="12" s="1"/>
  <c r="J636" i="12"/>
  <c r="J637" i="12"/>
  <c r="L637" i="12" s="1"/>
  <c r="M637" i="12" s="1"/>
  <c r="J638" i="12"/>
  <c r="L638" i="12" s="1"/>
  <c r="M638" i="12" s="1"/>
  <c r="J639" i="12"/>
  <c r="L639" i="12" s="1"/>
  <c r="M639" i="12" s="1"/>
  <c r="J640" i="12"/>
  <c r="J641" i="12"/>
  <c r="J642" i="12"/>
  <c r="L642" i="12" s="1"/>
  <c r="M642" i="12" s="1"/>
  <c r="J643" i="12"/>
  <c r="L643" i="12" s="1"/>
  <c r="M643" i="12" s="1"/>
  <c r="J644" i="12"/>
  <c r="J645" i="12"/>
  <c r="L645" i="12" s="1"/>
  <c r="M645" i="12" s="1"/>
  <c r="J646" i="12"/>
  <c r="L646" i="12" s="1"/>
  <c r="M646" i="12" s="1"/>
  <c r="J647" i="12"/>
  <c r="L647" i="12" s="1"/>
  <c r="M647" i="12" s="1"/>
  <c r="J648" i="12"/>
  <c r="L648" i="12" s="1"/>
  <c r="M648" i="12" s="1"/>
  <c r="J649" i="12"/>
  <c r="J650" i="12"/>
  <c r="L650" i="12" s="1"/>
  <c r="M650" i="12" s="1"/>
  <c r="J651" i="12"/>
  <c r="L651" i="12" s="1"/>
  <c r="M651" i="12" s="1"/>
  <c r="J652" i="12"/>
  <c r="L652" i="12" s="1"/>
  <c r="M652" i="12" s="1"/>
  <c r="J653" i="12"/>
  <c r="J654" i="12"/>
  <c r="L654" i="12" s="1"/>
  <c r="M654" i="12" s="1"/>
  <c r="J655" i="12"/>
  <c r="L655" i="12" s="1"/>
  <c r="M655" i="12" s="1"/>
  <c r="J656" i="12"/>
  <c r="J657" i="12"/>
  <c r="L657" i="12" s="1"/>
  <c r="M657" i="12" s="1"/>
  <c r="J658" i="12"/>
  <c r="L658" i="12" s="1"/>
  <c r="M658" i="12" s="1"/>
  <c r="J659" i="12"/>
  <c r="L659" i="12" s="1"/>
  <c r="M659" i="12" s="1"/>
  <c r="J660" i="12"/>
  <c r="L660" i="12" s="1"/>
  <c r="J661" i="12"/>
  <c r="L661" i="12" s="1"/>
  <c r="M661" i="12" s="1"/>
  <c r="J662" i="12"/>
  <c r="L662" i="12" s="1"/>
  <c r="M662" i="12" s="1"/>
  <c r="J663" i="12"/>
  <c r="L663" i="12" s="1"/>
  <c r="M663" i="12" s="1"/>
  <c r="J664" i="12"/>
  <c r="L664" i="12" s="1"/>
  <c r="M664" i="12" s="1"/>
  <c r="J665" i="12"/>
  <c r="J666" i="12"/>
  <c r="L666" i="12" s="1"/>
  <c r="M666" i="12" s="1"/>
  <c r="J667" i="12"/>
  <c r="L667" i="12" s="1"/>
  <c r="M667" i="12" s="1"/>
  <c r="J668" i="12"/>
  <c r="L668" i="12" s="1"/>
  <c r="M668" i="12" s="1"/>
  <c r="J669" i="12"/>
  <c r="L669" i="12" s="1"/>
  <c r="M669" i="12" s="1"/>
  <c r="J670" i="12"/>
  <c r="L670" i="12" s="1"/>
  <c r="J671" i="12"/>
  <c r="L671" i="12" s="1"/>
  <c r="M671" i="12" s="1"/>
  <c r="J672" i="12"/>
  <c r="J673" i="12"/>
  <c r="J674" i="12"/>
  <c r="L674" i="12" s="1"/>
  <c r="M674" i="12" s="1"/>
  <c r="J675" i="12"/>
  <c r="L675" i="12" s="1"/>
  <c r="M675" i="12" s="1"/>
  <c r="J676" i="12"/>
  <c r="L676" i="12" s="1"/>
  <c r="M676" i="12" s="1"/>
  <c r="J677" i="12"/>
  <c r="L677" i="12" s="1"/>
  <c r="M677" i="12" s="1"/>
  <c r="J678" i="12"/>
  <c r="L678" i="12" s="1"/>
  <c r="M678" i="12" s="1"/>
  <c r="J679" i="12"/>
  <c r="L679" i="12" s="1"/>
  <c r="M679" i="12" s="1"/>
  <c r="I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L60" i="12" s="1"/>
  <c r="M60" i="12" s="1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L124" i="12" s="1"/>
  <c r="M124" i="12" s="1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F233" i="6"/>
  <c r="F405" i="6"/>
  <c r="F137" i="6"/>
  <c r="F96" i="6"/>
  <c r="F262" i="6"/>
  <c r="F511" i="6"/>
  <c r="F347" i="6"/>
  <c r="F474" i="6"/>
  <c r="F263" i="6"/>
  <c r="F340" i="6"/>
  <c r="F91" i="6"/>
  <c r="F291" i="6"/>
  <c r="F518" i="6"/>
  <c r="F515" i="6"/>
  <c r="F2" i="6"/>
  <c r="F333" i="6"/>
  <c r="F170" i="6"/>
  <c r="F13" i="6"/>
  <c r="F520" i="6"/>
  <c r="F490" i="6"/>
  <c r="F468" i="6"/>
  <c r="F169" i="6"/>
  <c r="F491" i="6"/>
  <c r="F528" i="6"/>
  <c r="F139" i="6"/>
  <c r="F133" i="6"/>
  <c r="F508" i="6"/>
  <c r="F219" i="6"/>
  <c r="F466" i="6"/>
  <c r="F150" i="6"/>
  <c r="F431" i="6"/>
  <c r="F73" i="6"/>
  <c r="F354" i="6"/>
  <c r="F92" i="6"/>
  <c r="F417" i="6"/>
  <c r="F304" i="6"/>
  <c r="F10" i="6"/>
  <c r="F39" i="6"/>
  <c r="F388" i="6"/>
  <c r="F505" i="6"/>
  <c r="F81" i="6"/>
  <c r="F17" i="6"/>
  <c r="F471" i="6"/>
  <c r="F190" i="6"/>
  <c r="F323" i="6"/>
  <c r="F306" i="6"/>
  <c r="F223" i="6"/>
  <c r="F70" i="6"/>
  <c r="F309" i="6"/>
  <c r="F497" i="6"/>
  <c r="F230" i="6"/>
  <c r="F452" i="6"/>
  <c r="F406" i="6"/>
  <c r="F498" i="6"/>
  <c r="F261" i="6"/>
  <c r="F222" i="6"/>
  <c r="F509" i="6"/>
  <c r="F231" i="6"/>
  <c r="F486" i="6"/>
  <c r="F419" i="6"/>
  <c r="F355" i="6"/>
  <c r="F151" i="6"/>
  <c r="F434" i="6"/>
  <c r="F280" i="6"/>
  <c r="F350" i="6"/>
  <c r="F124" i="6"/>
  <c r="F143" i="6"/>
  <c r="F229" i="6"/>
  <c r="F41" i="6"/>
  <c r="F403" i="6"/>
  <c r="F160" i="6"/>
  <c r="F154" i="6"/>
  <c r="F493" i="6"/>
  <c r="F330" i="6"/>
  <c r="F399" i="6"/>
  <c r="F494" i="6"/>
  <c r="F148" i="6"/>
  <c r="F12" i="6"/>
  <c r="F273" i="6"/>
  <c r="F46" i="6"/>
  <c r="F125" i="6"/>
  <c r="F410" i="6"/>
  <c r="F208" i="6"/>
  <c r="F307" i="6"/>
  <c r="F389" i="6"/>
  <c r="F241" i="6"/>
  <c r="F359" i="6"/>
  <c r="F248" i="6"/>
  <c r="F441" i="6"/>
  <c r="F54" i="6"/>
  <c r="F167" i="6"/>
  <c r="F204" i="6"/>
  <c r="F127" i="6"/>
  <c r="F377" i="6"/>
  <c r="F322" i="6"/>
  <c r="F177" i="6"/>
  <c r="F220" i="6"/>
  <c r="F300" i="6"/>
  <c r="F172" i="6"/>
  <c r="F171" i="6"/>
  <c r="F544" i="6"/>
  <c r="F202" i="6"/>
  <c r="F270" i="6"/>
  <c r="F461" i="6"/>
  <c r="F5" i="6"/>
  <c r="F370" i="6"/>
  <c r="F213" i="6"/>
  <c r="F27" i="6"/>
  <c r="F276" i="6"/>
  <c r="F185" i="6"/>
  <c r="F422" i="6"/>
  <c r="F254" i="6"/>
  <c r="F348" i="6"/>
  <c r="F107" i="6"/>
  <c r="F295" i="6"/>
  <c r="F519" i="6"/>
  <c r="F163" i="6"/>
  <c r="F495" i="6"/>
  <c r="F395" i="6"/>
  <c r="F548" i="6"/>
  <c r="F341" i="6"/>
  <c r="F427" i="6"/>
  <c r="F506" i="6"/>
  <c r="F360" i="6"/>
  <c r="F20" i="6"/>
  <c r="F16" i="6"/>
  <c r="F414" i="6"/>
  <c r="F50" i="6"/>
  <c r="F94" i="6"/>
  <c r="F106" i="6"/>
  <c r="F76" i="6"/>
  <c r="F292" i="6"/>
  <c r="F546" i="6"/>
  <c r="F189" i="6"/>
  <c r="F257" i="6"/>
  <c r="F512" i="6"/>
  <c r="F134" i="6"/>
  <c r="F513" i="6"/>
  <c r="F462" i="6"/>
  <c r="F245" i="6"/>
  <c r="F543" i="6"/>
  <c r="F447" i="6"/>
  <c r="F249" i="6"/>
  <c r="F501" i="6"/>
  <c r="F144" i="6"/>
  <c r="F351" i="6"/>
  <c r="F324" i="6"/>
  <c r="F194" i="6"/>
  <c r="F331" i="6"/>
  <c r="F168" i="6"/>
  <c r="F234" i="6"/>
  <c r="F336" i="6"/>
  <c r="F224" i="6"/>
  <c r="F442" i="6"/>
  <c r="F400" i="6"/>
  <c r="F205" i="6"/>
  <c r="F539" i="6"/>
  <c r="F444" i="6"/>
  <c r="F237" i="6"/>
  <c r="F469" i="6"/>
  <c r="F517" i="6"/>
  <c r="F186" i="6"/>
  <c r="F49" i="6"/>
  <c r="F475" i="6"/>
  <c r="F128" i="6"/>
  <c r="F325" i="6"/>
  <c r="F201" i="6"/>
  <c r="F42" i="6"/>
  <c r="F176" i="6"/>
  <c r="F40" i="6"/>
  <c r="F265" i="6"/>
  <c r="F352" i="6"/>
  <c r="F537" i="6"/>
  <c r="F450" i="6"/>
  <c r="F436" i="6"/>
  <c r="F239" i="6"/>
  <c r="F507" i="6"/>
  <c r="F473" i="6"/>
  <c r="F382" i="6"/>
  <c r="F529" i="6"/>
  <c r="F429" i="6"/>
  <c r="F435" i="6"/>
  <c r="F195" i="6"/>
  <c r="F258" i="6"/>
  <c r="F540" i="6"/>
  <c r="F93" i="6"/>
  <c r="F454" i="6"/>
  <c r="F103" i="6"/>
  <c r="F445" i="6"/>
  <c r="F337" i="6"/>
  <c r="F78" i="6"/>
  <c r="F489" i="6"/>
  <c r="F131" i="6"/>
  <c r="F25" i="6"/>
  <c r="F191" i="6"/>
  <c r="F522" i="6"/>
  <c r="F61" i="6"/>
  <c r="F272" i="6"/>
  <c r="F481" i="6"/>
  <c r="F157" i="6"/>
  <c r="F45" i="6"/>
  <c r="F232" i="6"/>
  <c r="F23" i="6"/>
  <c r="F411" i="6"/>
  <c r="F510" i="6"/>
  <c r="F181" i="6"/>
  <c r="F343" i="6"/>
  <c r="F226" i="6"/>
  <c r="F145" i="6"/>
  <c r="F439" i="6"/>
  <c r="F32" i="6"/>
  <c r="F356" i="6"/>
  <c r="F206" i="6"/>
  <c r="F187" i="6"/>
  <c r="F269" i="6"/>
  <c r="F446" i="6"/>
  <c r="F418" i="6"/>
  <c r="F384" i="6"/>
  <c r="F87" i="6"/>
  <c r="F15" i="6"/>
  <c r="F80" i="6"/>
  <c r="F480" i="6"/>
  <c r="F383" i="6"/>
  <c r="F165" i="6"/>
  <c r="F196" i="6"/>
  <c r="F344" i="6"/>
  <c r="F130" i="6"/>
  <c r="F533" i="6"/>
  <c r="F88" i="6"/>
  <c r="F523" i="6"/>
  <c r="F321" i="6"/>
  <c r="F102" i="6"/>
  <c r="F89" i="6"/>
  <c r="F255" i="6"/>
  <c r="F256" i="6"/>
  <c r="F51" i="6"/>
  <c r="F541" i="6"/>
  <c r="F116" i="6"/>
  <c r="F121" i="6"/>
  <c r="F26" i="6"/>
  <c r="F58" i="6"/>
  <c r="F214" i="6"/>
  <c r="F173" i="6"/>
  <c r="F404" i="6"/>
  <c r="F240" i="6"/>
  <c r="F59" i="6"/>
  <c r="F432" i="6"/>
  <c r="F6" i="6"/>
  <c r="F534" i="6"/>
  <c r="F301" i="6"/>
  <c r="F521" i="6"/>
  <c r="F86" i="6"/>
  <c r="F209" i="6"/>
  <c r="F496" i="6"/>
  <c r="F492" i="6"/>
  <c r="F242" i="6"/>
  <c r="F244" i="6"/>
  <c r="F104" i="6"/>
  <c r="F423" i="6"/>
  <c r="F535" i="6"/>
  <c r="F164" i="6"/>
  <c r="F161" i="6"/>
  <c r="F361" i="6"/>
  <c r="F430" i="6"/>
  <c r="F364" i="6"/>
  <c r="F320" i="6"/>
  <c r="F119" i="6"/>
  <c r="F366" i="6"/>
  <c r="F484" i="6"/>
  <c r="F179" i="6"/>
  <c r="F68" i="6"/>
  <c r="F97" i="6"/>
  <c r="F289" i="6"/>
  <c r="F71" i="6"/>
  <c r="F413" i="6"/>
  <c r="F114" i="6"/>
  <c r="F472" i="6"/>
  <c r="F424" i="6"/>
  <c r="F379" i="6"/>
  <c r="F407" i="6"/>
  <c r="F294" i="6"/>
  <c r="F285" i="6"/>
  <c r="F118" i="6"/>
  <c r="F238" i="6"/>
  <c r="F84" i="6"/>
  <c r="F149" i="6"/>
  <c r="F100" i="6"/>
  <c r="F371" i="6"/>
  <c r="F216" i="6"/>
  <c r="F8" i="6"/>
  <c r="F286" i="6"/>
  <c r="F305" i="6"/>
  <c r="F283" i="6"/>
  <c r="F146" i="6"/>
  <c r="F287" i="6"/>
  <c r="F162" i="6"/>
  <c r="F259" i="6"/>
  <c r="F451" i="6"/>
  <c r="F393" i="6"/>
  <c r="F381" i="6"/>
  <c r="F225" i="6"/>
  <c r="F448" i="6"/>
  <c r="F98" i="6"/>
  <c r="F63" i="6"/>
  <c r="F516" i="6"/>
  <c r="F56" i="6"/>
  <c r="F82" i="6"/>
  <c r="F453" i="6"/>
  <c r="F182" i="6"/>
  <c r="F199" i="6"/>
  <c r="F43" i="6"/>
  <c r="F207" i="6"/>
  <c r="F313" i="6"/>
  <c r="F129" i="6"/>
  <c r="F391" i="6"/>
  <c r="F117" i="6"/>
  <c r="F385" i="6"/>
  <c r="F477" i="6"/>
  <c r="F192" i="6"/>
  <c r="F156" i="6"/>
  <c r="F455" i="6"/>
  <c r="F64" i="6"/>
  <c r="F310" i="6"/>
  <c r="F105" i="6"/>
  <c r="F327" i="6"/>
  <c r="F99" i="6"/>
  <c r="F302" i="6"/>
  <c r="F412" i="6"/>
  <c r="F527" i="6"/>
  <c r="F470" i="6"/>
  <c r="F36" i="6"/>
  <c r="F458" i="6"/>
  <c r="F478" i="6"/>
  <c r="F210" i="6"/>
  <c r="F380" i="6"/>
  <c r="F79" i="6"/>
  <c r="F353" i="6"/>
  <c r="F126" i="6"/>
  <c r="F147" i="6"/>
  <c r="F290" i="6"/>
  <c r="F314" i="6"/>
  <c r="F296" i="6"/>
  <c r="F266" i="6"/>
  <c r="F317" i="6"/>
  <c r="F65" i="6"/>
  <c r="F433" i="6"/>
  <c r="F293" i="6"/>
  <c r="F460" i="6"/>
  <c r="F425" i="6"/>
  <c r="F408" i="6"/>
  <c r="F111" i="6"/>
  <c r="F221" i="6"/>
  <c r="F416" i="6"/>
  <c r="F467" i="6"/>
  <c r="F367" i="6"/>
  <c r="F420" i="6"/>
  <c r="F138" i="6"/>
  <c r="F180" i="6"/>
  <c r="F487" i="6"/>
  <c r="F456" i="6"/>
  <c r="F48" i="6"/>
  <c r="F228" i="6"/>
  <c r="F158" i="6"/>
  <c r="F526" i="6"/>
  <c r="F390" i="6"/>
  <c r="F479" i="6"/>
  <c r="F108" i="6"/>
  <c r="F277" i="6"/>
  <c r="F339" i="6"/>
  <c r="F101" i="6"/>
  <c r="F197" i="6"/>
  <c r="F362" i="6"/>
  <c r="F28" i="6"/>
  <c r="F443" i="6"/>
  <c r="F253" i="6"/>
  <c r="F184" i="6"/>
  <c r="F524" i="6"/>
  <c r="F77" i="6"/>
  <c r="F485" i="6"/>
  <c r="F284" i="6"/>
  <c r="F217" i="6"/>
  <c r="F532" i="6"/>
  <c r="F155" i="6"/>
  <c r="F55" i="6"/>
  <c r="F24" i="6"/>
  <c r="F120" i="6"/>
  <c r="F278" i="6"/>
  <c r="F211" i="6"/>
  <c r="F396" i="6"/>
  <c r="F500" i="6"/>
  <c r="F236" i="6"/>
  <c r="F357" i="6"/>
  <c r="F328" i="6"/>
  <c r="F315" i="6"/>
  <c r="F227" i="6"/>
  <c r="F374" i="6"/>
  <c r="F536" i="6"/>
  <c r="F74" i="6"/>
  <c r="F135" i="6"/>
  <c r="F329" i="6"/>
  <c r="F449" i="6"/>
  <c r="F394" i="6"/>
  <c r="F183" i="6"/>
  <c r="F514" i="6"/>
  <c r="F14" i="6"/>
  <c r="F402" i="6"/>
  <c r="F397" i="6"/>
  <c r="F316" i="6"/>
  <c r="F311" i="6"/>
  <c r="F530" i="6"/>
  <c r="F545" i="6"/>
  <c r="F252" i="6"/>
  <c r="F95" i="6"/>
  <c r="F250" i="6"/>
  <c r="F19" i="6"/>
  <c r="F52" i="6"/>
  <c r="F31" i="6"/>
  <c r="F122" i="6"/>
  <c r="F334" i="6"/>
  <c r="F112" i="6"/>
  <c r="F3" i="6"/>
  <c r="F141" i="6"/>
  <c r="F312" i="6"/>
  <c r="F392" i="6"/>
  <c r="F47" i="6"/>
  <c r="F378" i="6"/>
  <c r="F178" i="6"/>
  <c r="F215" i="6"/>
  <c r="F547" i="6"/>
  <c r="F426" i="6"/>
  <c r="F326" i="6"/>
  <c r="F459" i="6"/>
  <c r="F282" i="6"/>
  <c r="F538" i="6"/>
  <c r="F288" i="6"/>
  <c r="F525" i="6"/>
  <c r="F318" i="6"/>
  <c r="F243" i="6"/>
  <c r="F44" i="6"/>
  <c r="F198" i="6"/>
  <c r="F504" i="6"/>
  <c r="F483" i="6"/>
  <c r="F260" i="6"/>
  <c r="F503" i="6"/>
  <c r="F274" i="6"/>
  <c r="F463" i="6"/>
  <c r="F346" i="6"/>
  <c r="F200" i="6"/>
  <c r="F9" i="6"/>
  <c r="F267" i="6"/>
  <c r="F375" i="6"/>
  <c r="F542" i="6"/>
  <c r="F363" i="6"/>
  <c r="F342" i="6"/>
  <c r="F386" i="6"/>
  <c r="F246" i="6"/>
  <c r="F34" i="6"/>
  <c r="F152" i="6"/>
  <c r="F488" i="6"/>
  <c r="F153" i="6"/>
  <c r="F136" i="6"/>
  <c r="F499" i="6"/>
  <c r="F365" i="6"/>
  <c r="F83" i="6"/>
  <c r="F275" i="6"/>
  <c r="F33" i="6"/>
  <c r="F401" i="6"/>
  <c r="F109" i="6"/>
  <c r="F387" i="6"/>
  <c r="F11" i="6"/>
  <c r="F218" i="6"/>
  <c r="F372" i="6"/>
  <c r="F376" i="6"/>
  <c r="F279" i="6"/>
  <c r="F142" i="6"/>
  <c r="F338" i="6"/>
  <c r="F398" i="6"/>
  <c r="F502" i="6"/>
  <c r="F268" i="6"/>
  <c r="F409" i="6"/>
  <c r="F67" i="6"/>
  <c r="F66" i="6"/>
  <c r="F437" i="6"/>
  <c r="F368" i="6"/>
  <c r="F62" i="6"/>
  <c r="F203" i="6"/>
  <c r="F212" i="6"/>
  <c r="F18" i="6"/>
  <c r="F308" i="6"/>
  <c r="F297" i="6"/>
  <c r="F4" i="6"/>
  <c r="F464" i="6"/>
  <c r="F53" i="6"/>
  <c r="F440" i="6"/>
  <c r="F335" i="6"/>
  <c r="F358" i="6"/>
  <c r="F264" i="6"/>
  <c r="F110" i="6"/>
  <c r="F369" i="6"/>
  <c r="F188" i="6"/>
  <c r="F465" i="6"/>
  <c r="F29" i="6"/>
  <c r="F457" i="6"/>
  <c r="F115" i="6"/>
  <c r="F476" i="6"/>
  <c r="F235" i="6"/>
  <c r="F428" i="6"/>
  <c r="F415" i="6"/>
  <c r="F271" i="6"/>
  <c r="F69" i="6"/>
  <c r="F193" i="6"/>
  <c r="F22" i="6"/>
  <c r="F140" i="6"/>
  <c r="F75" i="6"/>
  <c r="F90" i="6"/>
  <c r="F7" i="6"/>
  <c r="F174" i="6"/>
  <c r="F85" i="6"/>
  <c r="F21" i="6"/>
  <c r="F332" i="6"/>
  <c r="F349" i="6"/>
  <c r="F345" i="6"/>
  <c r="F373" i="6"/>
  <c r="F251" i="6"/>
  <c r="F438" i="6"/>
  <c r="F319" i="6"/>
  <c r="F303" i="6"/>
  <c r="F37" i="6"/>
  <c r="F113" i="6"/>
  <c r="F281" i="6"/>
  <c r="F35" i="6"/>
  <c r="F30" i="6"/>
  <c r="F482" i="6"/>
  <c r="F421" i="6"/>
  <c r="F298" i="6"/>
  <c r="F299" i="6"/>
  <c r="F38" i="6"/>
  <c r="F166" i="6"/>
  <c r="F132" i="6"/>
  <c r="F57" i="6"/>
  <c r="F247" i="6"/>
  <c r="F531" i="6"/>
  <c r="F175" i="6"/>
  <c r="F72" i="6"/>
  <c r="F123" i="6"/>
  <c r="F60" i="6"/>
  <c r="F159" i="6"/>
  <c r="G233" i="6"/>
  <c r="G405" i="6"/>
  <c r="G137" i="6"/>
  <c r="G96" i="6"/>
  <c r="G262" i="6"/>
  <c r="G511" i="6"/>
  <c r="G347" i="6"/>
  <c r="G474" i="6"/>
  <c r="G263" i="6"/>
  <c r="G340" i="6"/>
  <c r="G91" i="6"/>
  <c r="G291" i="6"/>
  <c r="G518" i="6"/>
  <c r="G515" i="6"/>
  <c r="G2" i="6"/>
  <c r="G333" i="6"/>
  <c r="G170" i="6"/>
  <c r="G13" i="6"/>
  <c r="G520" i="6"/>
  <c r="G490" i="6"/>
  <c r="G468" i="6"/>
  <c r="G169" i="6"/>
  <c r="G491" i="6"/>
  <c r="G528" i="6"/>
  <c r="G139" i="6"/>
  <c r="G133" i="6"/>
  <c r="G508" i="6"/>
  <c r="G219" i="6"/>
  <c r="G466" i="6"/>
  <c r="G150" i="6"/>
  <c r="G431" i="6"/>
  <c r="G73" i="6"/>
  <c r="G354" i="6"/>
  <c r="G92" i="6"/>
  <c r="G417" i="6"/>
  <c r="G304" i="6"/>
  <c r="G10" i="6"/>
  <c r="G39" i="6"/>
  <c r="G388" i="6"/>
  <c r="G505" i="6"/>
  <c r="G81" i="6"/>
  <c r="G17" i="6"/>
  <c r="G471" i="6"/>
  <c r="G190" i="6"/>
  <c r="G323" i="6"/>
  <c r="G306" i="6"/>
  <c r="G223" i="6"/>
  <c r="G70" i="6"/>
  <c r="G309" i="6"/>
  <c r="G497" i="6"/>
  <c r="G230" i="6"/>
  <c r="G452" i="6"/>
  <c r="G406" i="6"/>
  <c r="G498" i="6"/>
  <c r="G261" i="6"/>
  <c r="G222" i="6"/>
  <c r="G509" i="6"/>
  <c r="G231" i="6"/>
  <c r="G486" i="6"/>
  <c r="G419" i="6"/>
  <c r="G355" i="6"/>
  <c r="G151" i="6"/>
  <c r="G434" i="6"/>
  <c r="G280" i="6"/>
  <c r="G350" i="6"/>
  <c r="G124" i="6"/>
  <c r="G143" i="6"/>
  <c r="G229" i="6"/>
  <c r="G41" i="6"/>
  <c r="G403" i="6"/>
  <c r="G160" i="6"/>
  <c r="G154" i="6"/>
  <c r="G493" i="6"/>
  <c r="G330" i="6"/>
  <c r="G399" i="6"/>
  <c r="G494" i="6"/>
  <c r="G148" i="6"/>
  <c r="G12" i="6"/>
  <c r="G273" i="6"/>
  <c r="G46" i="6"/>
  <c r="G125" i="6"/>
  <c r="G410" i="6"/>
  <c r="G208" i="6"/>
  <c r="G307" i="6"/>
  <c r="G389" i="6"/>
  <c r="G241" i="6"/>
  <c r="G359" i="6"/>
  <c r="G248" i="6"/>
  <c r="G441" i="6"/>
  <c r="G54" i="6"/>
  <c r="G167" i="6"/>
  <c r="G204" i="6"/>
  <c r="G127" i="6"/>
  <c r="G377" i="6"/>
  <c r="G322" i="6"/>
  <c r="G177" i="6"/>
  <c r="G220" i="6"/>
  <c r="G300" i="6"/>
  <c r="G172" i="6"/>
  <c r="G171" i="6"/>
  <c r="G544" i="6"/>
  <c r="G202" i="6"/>
  <c r="G270" i="6"/>
  <c r="G461" i="6"/>
  <c r="G5" i="6"/>
  <c r="G370" i="6"/>
  <c r="G213" i="6"/>
  <c r="G27" i="6"/>
  <c r="G276" i="6"/>
  <c r="G185" i="6"/>
  <c r="G422" i="6"/>
  <c r="G254" i="6"/>
  <c r="G348" i="6"/>
  <c r="G107" i="6"/>
  <c r="G295" i="6"/>
  <c r="G519" i="6"/>
  <c r="G163" i="6"/>
  <c r="G495" i="6"/>
  <c r="G395" i="6"/>
  <c r="G548" i="6"/>
  <c r="G341" i="6"/>
  <c r="G427" i="6"/>
  <c r="G506" i="6"/>
  <c r="G360" i="6"/>
  <c r="G20" i="6"/>
  <c r="G16" i="6"/>
  <c r="G414" i="6"/>
  <c r="G50" i="6"/>
  <c r="G94" i="6"/>
  <c r="G106" i="6"/>
  <c r="G76" i="6"/>
  <c r="G292" i="6"/>
  <c r="G546" i="6"/>
  <c r="G189" i="6"/>
  <c r="G257" i="6"/>
  <c r="G512" i="6"/>
  <c r="G134" i="6"/>
  <c r="G513" i="6"/>
  <c r="G462" i="6"/>
  <c r="G245" i="6"/>
  <c r="G543" i="6"/>
  <c r="G447" i="6"/>
  <c r="G249" i="6"/>
  <c r="G501" i="6"/>
  <c r="G144" i="6"/>
  <c r="G351" i="6"/>
  <c r="G324" i="6"/>
  <c r="G194" i="6"/>
  <c r="G331" i="6"/>
  <c r="G168" i="6"/>
  <c r="G234" i="6"/>
  <c r="G336" i="6"/>
  <c r="G224" i="6"/>
  <c r="G442" i="6"/>
  <c r="G400" i="6"/>
  <c r="G205" i="6"/>
  <c r="G539" i="6"/>
  <c r="G444" i="6"/>
  <c r="G237" i="6"/>
  <c r="G469" i="6"/>
  <c r="G517" i="6"/>
  <c r="G186" i="6"/>
  <c r="G49" i="6"/>
  <c r="G475" i="6"/>
  <c r="G128" i="6"/>
  <c r="G325" i="6"/>
  <c r="G201" i="6"/>
  <c r="G42" i="6"/>
  <c r="G176" i="6"/>
  <c r="G40" i="6"/>
  <c r="G265" i="6"/>
  <c r="G352" i="6"/>
  <c r="G537" i="6"/>
  <c r="G450" i="6"/>
  <c r="G436" i="6"/>
  <c r="G239" i="6"/>
  <c r="G507" i="6"/>
  <c r="G473" i="6"/>
  <c r="G382" i="6"/>
  <c r="G529" i="6"/>
  <c r="G429" i="6"/>
  <c r="G435" i="6"/>
  <c r="G195" i="6"/>
  <c r="G258" i="6"/>
  <c r="G540" i="6"/>
  <c r="G93" i="6"/>
  <c r="G454" i="6"/>
  <c r="G103" i="6"/>
  <c r="G445" i="6"/>
  <c r="G337" i="6"/>
  <c r="G78" i="6"/>
  <c r="G489" i="6"/>
  <c r="G131" i="6"/>
  <c r="G25" i="6"/>
  <c r="G191" i="6"/>
  <c r="G522" i="6"/>
  <c r="G61" i="6"/>
  <c r="G272" i="6"/>
  <c r="G481" i="6"/>
  <c r="G157" i="6"/>
  <c r="G45" i="6"/>
  <c r="G232" i="6"/>
  <c r="G23" i="6"/>
  <c r="G411" i="6"/>
  <c r="G510" i="6"/>
  <c r="G181" i="6"/>
  <c r="G343" i="6"/>
  <c r="G226" i="6"/>
  <c r="G145" i="6"/>
  <c r="G439" i="6"/>
  <c r="G32" i="6"/>
  <c r="G356" i="6"/>
  <c r="G206" i="6"/>
  <c r="G187" i="6"/>
  <c r="G269" i="6"/>
  <c r="G446" i="6"/>
  <c r="G418" i="6"/>
  <c r="G384" i="6"/>
  <c r="G87" i="6"/>
  <c r="G15" i="6"/>
  <c r="G80" i="6"/>
  <c r="G480" i="6"/>
  <c r="G383" i="6"/>
  <c r="G165" i="6"/>
  <c r="G196" i="6"/>
  <c r="G344" i="6"/>
  <c r="G130" i="6"/>
  <c r="G533" i="6"/>
  <c r="G88" i="6"/>
  <c r="G523" i="6"/>
  <c r="G321" i="6"/>
  <c r="G102" i="6"/>
  <c r="G89" i="6"/>
  <c r="G255" i="6"/>
  <c r="G256" i="6"/>
  <c r="G51" i="6"/>
  <c r="G541" i="6"/>
  <c r="G116" i="6"/>
  <c r="G121" i="6"/>
  <c r="G26" i="6"/>
  <c r="G58" i="6"/>
  <c r="G214" i="6"/>
  <c r="G173" i="6"/>
  <c r="G404" i="6"/>
  <c r="G240" i="6"/>
  <c r="G59" i="6"/>
  <c r="G432" i="6"/>
  <c r="G6" i="6"/>
  <c r="G534" i="6"/>
  <c r="G301" i="6"/>
  <c r="G521" i="6"/>
  <c r="G86" i="6"/>
  <c r="G209" i="6"/>
  <c r="G496" i="6"/>
  <c r="G492" i="6"/>
  <c r="G242" i="6"/>
  <c r="G244" i="6"/>
  <c r="G104" i="6"/>
  <c r="G423" i="6"/>
  <c r="G535" i="6"/>
  <c r="G164" i="6"/>
  <c r="G161" i="6"/>
  <c r="G361" i="6"/>
  <c r="G430" i="6"/>
  <c r="G364" i="6"/>
  <c r="G320" i="6"/>
  <c r="G119" i="6"/>
  <c r="G366" i="6"/>
  <c r="G484" i="6"/>
  <c r="G179" i="6"/>
  <c r="G68" i="6"/>
  <c r="G97" i="6"/>
  <c r="G289" i="6"/>
  <c r="G71" i="6"/>
  <c r="G413" i="6"/>
  <c r="G114" i="6"/>
  <c r="G472" i="6"/>
  <c r="G424" i="6"/>
  <c r="G379" i="6"/>
  <c r="G407" i="6"/>
  <c r="G294" i="6"/>
  <c r="G285" i="6"/>
  <c r="G118" i="6"/>
  <c r="G238" i="6"/>
  <c r="G84" i="6"/>
  <c r="G149" i="6"/>
  <c r="G100" i="6"/>
  <c r="G371" i="6"/>
  <c r="G216" i="6"/>
  <c r="G8" i="6"/>
  <c r="G286" i="6"/>
  <c r="G305" i="6"/>
  <c r="G283" i="6"/>
  <c r="G146" i="6"/>
  <c r="G287" i="6"/>
  <c r="G162" i="6"/>
  <c r="G259" i="6"/>
  <c r="G451" i="6"/>
  <c r="G393" i="6"/>
  <c r="G381" i="6"/>
  <c r="G225" i="6"/>
  <c r="G448" i="6"/>
  <c r="G98" i="6"/>
  <c r="G63" i="6"/>
  <c r="G516" i="6"/>
  <c r="G56" i="6"/>
  <c r="G82" i="6"/>
  <c r="G453" i="6"/>
  <c r="G182" i="6"/>
  <c r="G199" i="6"/>
  <c r="G43" i="6"/>
  <c r="G207" i="6"/>
  <c r="G313" i="6"/>
  <c r="G129" i="6"/>
  <c r="G391" i="6"/>
  <c r="G117" i="6"/>
  <c r="G385" i="6"/>
  <c r="G477" i="6"/>
  <c r="G192" i="6"/>
  <c r="G156" i="6"/>
  <c r="G455" i="6"/>
  <c r="G64" i="6"/>
  <c r="G310" i="6"/>
  <c r="G105" i="6"/>
  <c r="G327" i="6"/>
  <c r="G99" i="6"/>
  <c r="G302" i="6"/>
  <c r="G412" i="6"/>
  <c r="G527" i="6"/>
  <c r="G470" i="6"/>
  <c r="G36" i="6"/>
  <c r="G458" i="6"/>
  <c r="G478" i="6"/>
  <c r="G210" i="6"/>
  <c r="G380" i="6"/>
  <c r="G79" i="6"/>
  <c r="G353" i="6"/>
  <c r="G126" i="6"/>
  <c r="G147" i="6"/>
  <c r="G290" i="6"/>
  <c r="G314" i="6"/>
  <c r="G296" i="6"/>
  <c r="G266" i="6"/>
  <c r="G317" i="6"/>
  <c r="G65" i="6"/>
  <c r="G433" i="6"/>
  <c r="G293" i="6"/>
  <c r="G460" i="6"/>
  <c r="G425" i="6"/>
  <c r="G408" i="6"/>
  <c r="G111" i="6"/>
  <c r="G221" i="6"/>
  <c r="G416" i="6"/>
  <c r="G467" i="6"/>
  <c r="G367" i="6"/>
  <c r="G420" i="6"/>
  <c r="G138" i="6"/>
  <c r="G180" i="6"/>
  <c r="G487" i="6"/>
  <c r="G456" i="6"/>
  <c r="G48" i="6"/>
  <c r="G228" i="6"/>
  <c r="G158" i="6"/>
  <c r="G526" i="6"/>
  <c r="G390" i="6"/>
  <c r="G479" i="6"/>
  <c r="G108" i="6"/>
  <c r="G277" i="6"/>
  <c r="G339" i="6"/>
  <c r="G101" i="6"/>
  <c r="G197" i="6"/>
  <c r="G362" i="6"/>
  <c r="G28" i="6"/>
  <c r="G443" i="6"/>
  <c r="G253" i="6"/>
  <c r="G184" i="6"/>
  <c r="G524" i="6"/>
  <c r="G77" i="6"/>
  <c r="G485" i="6"/>
  <c r="G284" i="6"/>
  <c r="G217" i="6"/>
  <c r="G532" i="6"/>
  <c r="G155" i="6"/>
  <c r="G55" i="6"/>
  <c r="G24" i="6"/>
  <c r="G120" i="6"/>
  <c r="G278" i="6"/>
  <c r="G211" i="6"/>
  <c r="G396" i="6"/>
  <c r="G500" i="6"/>
  <c r="G236" i="6"/>
  <c r="G357" i="6"/>
  <c r="G328" i="6"/>
  <c r="G315" i="6"/>
  <c r="G227" i="6"/>
  <c r="G374" i="6"/>
  <c r="G536" i="6"/>
  <c r="G74" i="6"/>
  <c r="G135" i="6"/>
  <c r="G329" i="6"/>
  <c r="G449" i="6"/>
  <c r="G394" i="6"/>
  <c r="G183" i="6"/>
  <c r="G514" i="6"/>
  <c r="G14" i="6"/>
  <c r="G402" i="6"/>
  <c r="G397" i="6"/>
  <c r="G316" i="6"/>
  <c r="G311" i="6"/>
  <c r="G530" i="6"/>
  <c r="G545" i="6"/>
  <c r="G252" i="6"/>
  <c r="G95" i="6"/>
  <c r="G250" i="6"/>
  <c r="G19" i="6"/>
  <c r="G52" i="6"/>
  <c r="G31" i="6"/>
  <c r="G122" i="6"/>
  <c r="G334" i="6"/>
  <c r="G112" i="6"/>
  <c r="G3" i="6"/>
  <c r="G141" i="6"/>
  <c r="G312" i="6"/>
  <c r="G392" i="6"/>
  <c r="G47" i="6"/>
  <c r="G378" i="6"/>
  <c r="G178" i="6"/>
  <c r="G215" i="6"/>
  <c r="G547" i="6"/>
  <c r="G426" i="6"/>
  <c r="G326" i="6"/>
  <c r="G459" i="6"/>
  <c r="G282" i="6"/>
  <c r="G538" i="6"/>
  <c r="G288" i="6"/>
  <c r="G525" i="6"/>
  <c r="G318" i="6"/>
  <c r="G243" i="6"/>
  <c r="G44" i="6"/>
  <c r="G198" i="6"/>
  <c r="G504" i="6"/>
  <c r="G483" i="6"/>
  <c r="G260" i="6"/>
  <c r="G503" i="6"/>
  <c r="G274" i="6"/>
  <c r="G463" i="6"/>
  <c r="G346" i="6"/>
  <c r="G200" i="6"/>
  <c r="G9" i="6"/>
  <c r="G267" i="6"/>
  <c r="G375" i="6"/>
  <c r="G542" i="6"/>
  <c r="G363" i="6"/>
  <c r="G342" i="6"/>
  <c r="G386" i="6"/>
  <c r="G246" i="6"/>
  <c r="G34" i="6"/>
  <c r="G152" i="6"/>
  <c r="G488" i="6"/>
  <c r="G153" i="6"/>
  <c r="G136" i="6"/>
  <c r="G499" i="6"/>
  <c r="G365" i="6"/>
  <c r="G83" i="6"/>
  <c r="G275" i="6"/>
  <c r="G33" i="6"/>
  <c r="G401" i="6"/>
  <c r="G109" i="6"/>
  <c r="G387" i="6"/>
  <c r="G11" i="6"/>
  <c r="G218" i="6"/>
  <c r="G372" i="6"/>
  <c r="G376" i="6"/>
  <c r="G279" i="6"/>
  <c r="G142" i="6"/>
  <c r="G338" i="6"/>
  <c r="G398" i="6"/>
  <c r="G502" i="6"/>
  <c r="G268" i="6"/>
  <c r="G409" i="6"/>
  <c r="G67" i="6"/>
  <c r="G66" i="6"/>
  <c r="G437" i="6"/>
  <c r="G368" i="6"/>
  <c r="G62" i="6"/>
  <c r="G203" i="6"/>
  <c r="G212" i="6"/>
  <c r="G18" i="6"/>
  <c r="G308" i="6"/>
  <c r="G297" i="6"/>
  <c r="G4" i="6"/>
  <c r="G464" i="6"/>
  <c r="G53" i="6"/>
  <c r="G440" i="6"/>
  <c r="G335" i="6"/>
  <c r="G358" i="6"/>
  <c r="G264" i="6"/>
  <c r="G110" i="6"/>
  <c r="G369" i="6"/>
  <c r="G188" i="6"/>
  <c r="G465" i="6"/>
  <c r="G29" i="6"/>
  <c r="G457" i="6"/>
  <c r="G115" i="6"/>
  <c r="G476" i="6"/>
  <c r="G235" i="6"/>
  <c r="G428" i="6"/>
  <c r="G415" i="6"/>
  <c r="G271" i="6"/>
  <c r="G69" i="6"/>
  <c r="G193" i="6"/>
  <c r="G22" i="6"/>
  <c r="G140" i="6"/>
  <c r="G75" i="6"/>
  <c r="G90" i="6"/>
  <c r="G7" i="6"/>
  <c r="G174" i="6"/>
  <c r="G85" i="6"/>
  <c r="G21" i="6"/>
  <c r="G332" i="6"/>
  <c r="G349" i="6"/>
  <c r="G345" i="6"/>
  <c r="G373" i="6"/>
  <c r="G251" i="6"/>
  <c r="G438" i="6"/>
  <c r="G319" i="6"/>
  <c r="G303" i="6"/>
  <c r="G37" i="6"/>
  <c r="G113" i="6"/>
  <c r="G281" i="6"/>
  <c r="G35" i="6"/>
  <c r="G30" i="6"/>
  <c r="G482" i="6"/>
  <c r="G421" i="6"/>
  <c r="G298" i="6"/>
  <c r="G299" i="6"/>
  <c r="G38" i="6"/>
  <c r="G166" i="6"/>
  <c r="G132" i="6"/>
  <c r="G57" i="6"/>
  <c r="G247" i="6"/>
  <c r="G531" i="6"/>
  <c r="G175" i="6"/>
  <c r="G72" i="6"/>
  <c r="G123" i="6"/>
  <c r="G60" i="6"/>
  <c r="G159" i="6"/>
  <c r="H233" i="6"/>
  <c r="H405" i="6"/>
  <c r="H137" i="6"/>
  <c r="H96" i="6"/>
  <c r="H262" i="6"/>
  <c r="H511" i="6"/>
  <c r="H347" i="6"/>
  <c r="H474" i="6"/>
  <c r="H263" i="6"/>
  <c r="H340" i="6"/>
  <c r="H91" i="6"/>
  <c r="H291" i="6"/>
  <c r="H518" i="6"/>
  <c r="H515" i="6"/>
  <c r="H2" i="6"/>
  <c r="H333" i="6"/>
  <c r="H170" i="6"/>
  <c r="H13" i="6"/>
  <c r="H520" i="6"/>
  <c r="H490" i="6"/>
  <c r="H468" i="6"/>
  <c r="H169" i="6"/>
  <c r="H491" i="6"/>
  <c r="H528" i="6"/>
  <c r="H139" i="6"/>
  <c r="H133" i="6"/>
  <c r="H508" i="6"/>
  <c r="H219" i="6"/>
  <c r="H466" i="6"/>
  <c r="H150" i="6"/>
  <c r="H431" i="6"/>
  <c r="H73" i="6"/>
  <c r="H354" i="6"/>
  <c r="H92" i="6"/>
  <c r="H417" i="6"/>
  <c r="H304" i="6"/>
  <c r="H10" i="6"/>
  <c r="H39" i="6"/>
  <c r="H388" i="6"/>
  <c r="H505" i="6"/>
  <c r="H81" i="6"/>
  <c r="H17" i="6"/>
  <c r="H471" i="6"/>
  <c r="H190" i="6"/>
  <c r="H323" i="6"/>
  <c r="H306" i="6"/>
  <c r="H223" i="6"/>
  <c r="H70" i="6"/>
  <c r="H309" i="6"/>
  <c r="H497" i="6"/>
  <c r="H230" i="6"/>
  <c r="H452" i="6"/>
  <c r="H406" i="6"/>
  <c r="H498" i="6"/>
  <c r="H261" i="6"/>
  <c r="H222" i="6"/>
  <c r="H509" i="6"/>
  <c r="H231" i="6"/>
  <c r="H486" i="6"/>
  <c r="H419" i="6"/>
  <c r="H355" i="6"/>
  <c r="H151" i="6"/>
  <c r="H434" i="6"/>
  <c r="H280" i="6"/>
  <c r="H350" i="6"/>
  <c r="H124" i="6"/>
  <c r="H143" i="6"/>
  <c r="H229" i="6"/>
  <c r="H41" i="6"/>
  <c r="H403" i="6"/>
  <c r="H160" i="6"/>
  <c r="H154" i="6"/>
  <c r="H493" i="6"/>
  <c r="H330" i="6"/>
  <c r="H399" i="6"/>
  <c r="H494" i="6"/>
  <c r="H148" i="6"/>
  <c r="H12" i="6"/>
  <c r="H273" i="6"/>
  <c r="H46" i="6"/>
  <c r="H125" i="6"/>
  <c r="H410" i="6"/>
  <c r="H208" i="6"/>
  <c r="H307" i="6"/>
  <c r="H389" i="6"/>
  <c r="H241" i="6"/>
  <c r="H359" i="6"/>
  <c r="H248" i="6"/>
  <c r="H441" i="6"/>
  <c r="H54" i="6"/>
  <c r="H167" i="6"/>
  <c r="H204" i="6"/>
  <c r="H127" i="6"/>
  <c r="H377" i="6"/>
  <c r="H322" i="6"/>
  <c r="H177" i="6"/>
  <c r="H220" i="6"/>
  <c r="H300" i="6"/>
  <c r="H172" i="6"/>
  <c r="H171" i="6"/>
  <c r="H544" i="6"/>
  <c r="H202" i="6"/>
  <c r="H270" i="6"/>
  <c r="H461" i="6"/>
  <c r="H5" i="6"/>
  <c r="H370" i="6"/>
  <c r="H213" i="6"/>
  <c r="H27" i="6"/>
  <c r="H276" i="6"/>
  <c r="H185" i="6"/>
  <c r="H422" i="6"/>
  <c r="H254" i="6"/>
  <c r="H348" i="6"/>
  <c r="H107" i="6"/>
  <c r="H295" i="6"/>
  <c r="H519" i="6"/>
  <c r="H163" i="6"/>
  <c r="H495" i="6"/>
  <c r="H395" i="6"/>
  <c r="H548" i="6"/>
  <c r="H341" i="6"/>
  <c r="H427" i="6"/>
  <c r="H506" i="6"/>
  <c r="H360" i="6"/>
  <c r="H20" i="6"/>
  <c r="H16" i="6"/>
  <c r="H414" i="6"/>
  <c r="H50" i="6"/>
  <c r="H94" i="6"/>
  <c r="H106" i="6"/>
  <c r="H76" i="6"/>
  <c r="H292" i="6"/>
  <c r="H546" i="6"/>
  <c r="H189" i="6"/>
  <c r="H257" i="6"/>
  <c r="H512" i="6"/>
  <c r="H134" i="6"/>
  <c r="H513" i="6"/>
  <c r="H462" i="6"/>
  <c r="H245" i="6"/>
  <c r="H543" i="6"/>
  <c r="H447" i="6"/>
  <c r="H249" i="6"/>
  <c r="H501" i="6"/>
  <c r="H144" i="6"/>
  <c r="H351" i="6"/>
  <c r="H324" i="6"/>
  <c r="H194" i="6"/>
  <c r="H331" i="6"/>
  <c r="H168" i="6"/>
  <c r="H234" i="6"/>
  <c r="H336" i="6"/>
  <c r="H224" i="6"/>
  <c r="H442" i="6"/>
  <c r="H400" i="6"/>
  <c r="H205" i="6"/>
  <c r="H539" i="6"/>
  <c r="H444" i="6"/>
  <c r="H237" i="6"/>
  <c r="H469" i="6"/>
  <c r="H517" i="6"/>
  <c r="H186" i="6"/>
  <c r="H49" i="6"/>
  <c r="H475" i="6"/>
  <c r="H128" i="6"/>
  <c r="H325" i="6"/>
  <c r="H201" i="6"/>
  <c r="H42" i="6"/>
  <c r="H176" i="6"/>
  <c r="H40" i="6"/>
  <c r="H265" i="6"/>
  <c r="H352" i="6"/>
  <c r="H537" i="6"/>
  <c r="H450" i="6"/>
  <c r="H436" i="6"/>
  <c r="H239" i="6"/>
  <c r="H507" i="6"/>
  <c r="H473" i="6"/>
  <c r="H382" i="6"/>
  <c r="H529" i="6"/>
  <c r="H429" i="6"/>
  <c r="H435" i="6"/>
  <c r="H195" i="6"/>
  <c r="H258" i="6"/>
  <c r="H540" i="6"/>
  <c r="H93" i="6"/>
  <c r="H454" i="6"/>
  <c r="H103" i="6"/>
  <c r="H445" i="6"/>
  <c r="H337" i="6"/>
  <c r="H78" i="6"/>
  <c r="H489" i="6"/>
  <c r="H131" i="6"/>
  <c r="H25" i="6"/>
  <c r="H191" i="6"/>
  <c r="H522" i="6"/>
  <c r="H61" i="6"/>
  <c r="H272" i="6"/>
  <c r="H481" i="6"/>
  <c r="H157" i="6"/>
  <c r="H45" i="6"/>
  <c r="H232" i="6"/>
  <c r="H23" i="6"/>
  <c r="H411" i="6"/>
  <c r="H510" i="6"/>
  <c r="H181" i="6"/>
  <c r="H343" i="6"/>
  <c r="H226" i="6"/>
  <c r="H145" i="6"/>
  <c r="H439" i="6"/>
  <c r="H32" i="6"/>
  <c r="H356" i="6"/>
  <c r="H206" i="6"/>
  <c r="H187" i="6"/>
  <c r="H269" i="6"/>
  <c r="H446" i="6"/>
  <c r="H418" i="6"/>
  <c r="H384" i="6"/>
  <c r="H87" i="6"/>
  <c r="H15" i="6"/>
  <c r="H80" i="6"/>
  <c r="H480" i="6"/>
  <c r="H383" i="6"/>
  <c r="H165" i="6"/>
  <c r="H196" i="6"/>
  <c r="H344" i="6"/>
  <c r="H130" i="6"/>
  <c r="H533" i="6"/>
  <c r="H88" i="6"/>
  <c r="H523" i="6"/>
  <c r="H321" i="6"/>
  <c r="H102" i="6"/>
  <c r="H89" i="6"/>
  <c r="H255" i="6"/>
  <c r="H256" i="6"/>
  <c r="H51" i="6"/>
  <c r="H541" i="6"/>
  <c r="H116" i="6"/>
  <c r="H121" i="6"/>
  <c r="H26" i="6"/>
  <c r="H58" i="6"/>
  <c r="H214" i="6"/>
  <c r="H173" i="6"/>
  <c r="H404" i="6"/>
  <c r="H240" i="6"/>
  <c r="H59" i="6"/>
  <c r="H432" i="6"/>
  <c r="H6" i="6"/>
  <c r="H534" i="6"/>
  <c r="H301" i="6"/>
  <c r="H521" i="6"/>
  <c r="H86" i="6"/>
  <c r="H209" i="6"/>
  <c r="H496" i="6"/>
  <c r="H492" i="6"/>
  <c r="H242" i="6"/>
  <c r="H244" i="6"/>
  <c r="H104" i="6"/>
  <c r="H423" i="6"/>
  <c r="H535" i="6"/>
  <c r="H164" i="6"/>
  <c r="H161" i="6"/>
  <c r="H361" i="6"/>
  <c r="H430" i="6"/>
  <c r="H364" i="6"/>
  <c r="H320" i="6"/>
  <c r="H119" i="6"/>
  <c r="H366" i="6"/>
  <c r="H484" i="6"/>
  <c r="H179" i="6"/>
  <c r="H68" i="6"/>
  <c r="H97" i="6"/>
  <c r="H289" i="6"/>
  <c r="H71" i="6"/>
  <c r="H413" i="6"/>
  <c r="H114" i="6"/>
  <c r="H472" i="6"/>
  <c r="H424" i="6"/>
  <c r="H379" i="6"/>
  <c r="H407" i="6"/>
  <c r="H294" i="6"/>
  <c r="H285" i="6"/>
  <c r="H118" i="6"/>
  <c r="H238" i="6"/>
  <c r="H84" i="6"/>
  <c r="H149" i="6"/>
  <c r="H100" i="6"/>
  <c r="H371" i="6"/>
  <c r="H216" i="6"/>
  <c r="H8" i="6"/>
  <c r="H286" i="6"/>
  <c r="H305" i="6"/>
  <c r="H283" i="6"/>
  <c r="H146" i="6"/>
  <c r="H287" i="6"/>
  <c r="H162" i="6"/>
  <c r="H259" i="6"/>
  <c r="H451" i="6"/>
  <c r="H393" i="6"/>
  <c r="H381" i="6"/>
  <c r="H225" i="6"/>
  <c r="H448" i="6"/>
  <c r="H98" i="6"/>
  <c r="H63" i="6"/>
  <c r="H516" i="6"/>
  <c r="H56" i="6"/>
  <c r="H82" i="6"/>
  <c r="H453" i="6"/>
  <c r="H182" i="6"/>
  <c r="H199" i="6"/>
  <c r="H43" i="6"/>
  <c r="H207" i="6"/>
  <c r="H313" i="6"/>
  <c r="H129" i="6"/>
  <c r="H391" i="6"/>
  <c r="H117" i="6"/>
  <c r="H385" i="6"/>
  <c r="H477" i="6"/>
  <c r="H192" i="6"/>
  <c r="H156" i="6"/>
  <c r="H455" i="6"/>
  <c r="H64" i="6"/>
  <c r="H310" i="6"/>
  <c r="H105" i="6"/>
  <c r="H327" i="6"/>
  <c r="H99" i="6"/>
  <c r="H302" i="6"/>
  <c r="H412" i="6"/>
  <c r="H527" i="6"/>
  <c r="H470" i="6"/>
  <c r="H36" i="6"/>
  <c r="H458" i="6"/>
  <c r="H478" i="6"/>
  <c r="H210" i="6"/>
  <c r="H380" i="6"/>
  <c r="H79" i="6"/>
  <c r="H353" i="6"/>
  <c r="H126" i="6"/>
  <c r="H147" i="6"/>
  <c r="H290" i="6"/>
  <c r="H314" i="6"/>
  <c r="H296" i="6"/>
  <c r="H266" i="6"/>
  <c r="H317" i="6"/>
  <c r="H65" i="6"/>
  <c r="H433" i="6"/>
  <c r="H293" i="6"/>
  <c r="H460" i="6"/>
  <c r="H425" i="6"/>
  <c r="H408" i="6"/>
  <c r="H111" i="6"/>
  <c r="H221" i="6"/>
  <c r="H416" i="6"/>
  <c r="H467" i="6"/>
  <c r="H367" i="6"/>
  <c r="H420" i="6"/>
  <c r="H138" i="6"/>
  <c r="H180" i="6"/>
  <c r="H487" i="6"/>
  <c r="H456" i="6"/>
  <c r="H48" i="6"/>
  <c r="H228" i="6"/>
  <c r="H158" i="6"/>
  <c r="H526" i="6"/>
  <c r="H390" i="6"/>
  <c r="H479" i="6"/>
  <c r="H108" i="6"/>
  <c r="H277" i="6"/>
  <c r="H339" i="6"/>
  <c r="H101" i="6"/>
  <c r="H197" i="6"/>
  <c r="H362" i="6"/>
  <c r="H28" i="6"/>
  <c r="H443" i="6"/>
  <c r="H253" i="6"/>
  <c r="H184" i="6"/>
  <c r="H524" i="6"/>
  <c r="H77" i="6"/>
  <c r="H485" i="6"/>
  <c r="H284" i="6"/>
  <c r="H217" i="6"/>
  <c r="H532" i="6"/>
  <c r="H155" i="6"/>
  <c r="H55" i="6"/>
  <c r="H24" i="6"/>
  <c r="H120" i="6"/>
  <c r="H278" i="6"/>
  <c r="H211" i="6"/>
  <c r="H396" i="6"/>
  <c r="H500" i="6"/>
  <c r="H236" i="6"/>
  <c r="H357" i="6"/>
  <c r="H328" i="6"/>
  <c r="H315" i="6"/>
  <c r="H227" i="6"/>
  <c r="H374" i="6"/>
  <c r="H536" i="6"/>
  <c r="H74" i="6"/>
  <c r="H135" i="6"/>
  <c r="H329" i="6"/>
  <c r="H449" i="6"/>
  <c r="H394" i="6"/>
  <c r="H183" i="6"/>
  <c r="H514" i="6"/>
  <c r="H14" i="6"/>
  <c r="H402" i="6"/>
  <c r="H397" i="6"/>
  <c r="H316" i="6"/>
  <c r="H311" i="6"/>
  <c r="H530" i="6"/>
  <c r="H545" i="6"/>
  <c r="H252" i="6"/>
  <c r="H95" i="6"/>
  <c r="H250" i="6"/>
  <c r="H19" i="6"/>
  <c r="H52" i="6"/>
  <c r="H31" i="6"/>
  <c r="H122" i="6"/>
  <c r="H334" i="6"/>
  <c r="H112" i="6"/>
  <c r="H3" i="6"/>
  <c r="H141" i="6"/>
  <c r="H312" i="6"/>
  <c r="H392" i="6"/>
  <c r="H47" i="6"/>
  <c r="H378" i="6"/>
  <c r="H178" i="6"/>
  <c r="H215" i="6"/>
  <c r="H547" i="6"/>
  <c r="H426" i="6"/>
  <c r="H326" i="6"/>
  <c r="H459" i="6"/>
  <c r="H282" i="6"/>
  <c r="H538" i="6"/>
  <c r="H288" i="6"/>
  <c r="H525" i="6"/>
  <c r="H318" i="6"/>
  <c r="H243" i="6"/>
  <c r="H44" i="6"/>
  <c r="H198" i="6"/>
  <c r="H504" i="6"/>
  <c r="H483" i="6"/>
  <c r="H260" i="6"/>
  <c r="H503" i="6"/>
  <c r="H274" i="6"/>
  <c r="H463" i="6"/>
  <c r="H346" i="6"/>
  <c r="H200" i="6"/>
  <c r="H9" i="6"/>
  <c r="H267" i="6"/>
  <c r="H375" i="6"/>
  <c r="H542" i="6"/>
  <c r="H363" i="6"/>
  <c r="H342" i="6"/>
  <c r="H386" i="6"/>
  <c r="H246" i="6"/>
  <c r="H34" i="6"/>
  <c r="H152" i="6"/>
  <c r="H488" i="6"/>
  <c r="H153" i="6"/>
  <c r="H136" i="6"/>
  <c r="H499" i="6"/>
  <c r="H365" i="6"/>
  <c r="H83" i="6"/>
  <c r="H275" i="6"/>
  <c r="H33" i="6"/>
  <c r="H401" i="6"/>
  <c r="H109" i="6"/>
  <c r="H387" i="6"/>
  <c r="H11" i="6"/>
  <c r="H218" i="6"/>
  <c r="H372" i="6"/>
  <c r="H376" i="6"/>
  <c r="H279" i="6"/>
  <c r="H142" i="6"/>
  <c r="H338" i="6"/>
  <c r="H398" i="6"/>
  <c r="H502" i="6"/>
  <c r="H268" i="6"/>
  <c r="H409" i="6"/>
  <c r="H67" i="6"/>
  <c r="H66" i="6"/>
  <c r="H437" i="6"/>
  <c r="H368" i="6"/>
  <c r="H62" i="6"/>
  <c r="H203" i="6"/>
  <c r="H212" i="6"/>
  <c r="H18" i="6"/>
  <c r="H308" i="6"/>
  <c r="H297" i="6"/>
  <c r="H4" i="6"/>
  <c r="H464" i="6"/>
  <c r="H53" i="6"/>
  <c r="H440" i="6"/>
  <c r="H335" i="6"/>
  <c r="H358" i="6"/>
  <c r="H264" i="6"/>
  <c r="H110" i="6"/>
  <c r="H369" i="6"/>
  <c r="H188" i="6"/>
  <c r="H465" i="6"/>
  <c r="H29" i="6"/>
  <c r="H457" i="6"/>
  <c r="H115" i="6"/>
  <c r="H476" i="6"/>
  <c r="H235" i="6"/>
  <c r="H428" i="6"/>
  <c r="H415" i="6"/>
  <c r="H271" i="6"/>
  <c r="H69" i="6"/>
  <c r="H193" i="6"/>
  <c r="H22" i="6"/>
  <c r="H140" i="6"/>
  <c r="H75" i="6"/>
  <c r="H90" i="6"/>
  <c r="H7" i="6"/>
  <c r="H174" i="6"/>
  <c r="H85" i="6"/>
  <c r="H21" i="6"/>
  <c r="H332" i="6"/>
  <c r="H349" i="6"/>
  <c r="H345" i="6"/>
  <c r="H373" i="6"/>
  <c r="H251" i="6"/>
  <c r="H438" i="6"/>
  <c r="H319" i="6"/>
  <c r="H303" i="6"/>
  <c r="H37" i="6"/>
  <c r="H113" i="6"/>
  <c r="H281" i="6"/>
  <c r="H35" i="6"/>
  <c r="H30" i="6"/>
  <c r="H482" i="6"/>
  <c r="H421" i="6"/>
  <c r="H298" i="6"/>
  <c r="H299" i="6"/>
  <c r="H38" i="6"/>
  <c r="H166" i="6"/>
  <c r="H132" i="6"/>
  <c r="H57" i="6"/>
  <c r="H247" i="6"/>
  <c r="H531" i="6"/>
  <c r="H175" i="6"/>
  <c r="H72" i="6"/>
  <c r="H123" i="6"/>
  <c r="H60" i="6"/>
  <c r="H159" i="6"/>
  <c r="I233" i="6"/>
  <c r="I405" i="6"/>
  <c r="I137" i="6"/>
  <c r="I96" i="6"/>
  <c r="I262" i="6"/>
  <c r="I511" i="6"/>
  <c r="I347" i="6"/>
  <c r="I474" i="6"/>
  <c r="I263" i="6"/>
  <c r="I340" i="6"/>
  <c r="I91" i="6"/>
  <c r="I291" i="6"/>
  <c r="I518" i="6"/>
  <c r="I515" i="6"/>
  <c r="I2" i="6"/>
  <c r="I333" i="6"/>
  <c r="I170" i="6"/>
  <c r="I13" i="6"/>
  <c r="I520" i="6"/>
  <c r="I490" i="6"/>
  <c r="I468" i="6"/>
  <c r="I169" i="6"/>
  <c r="I491" i="6"/>
  <c r="I528" i="6"/>
  <c r="I139" i="6"/>
  <c r="I133" i="6"/>
  <c r="I508" i="6"/>
  <c r="I219" i="6"/>
  <c r="I466" i="6"/>
  <c r="I150" i="6"/>
  <c r="I431" i="6"/>
  <c r="I73" i="6"/>
  <c r="I354" i="6"/>
  <c r="I92" i="6"/>
  <c r="I417" i="6"/>
  <c r="I304" i="6"/>
  <c r="I10" i="6"/>
  <c r="I39" i="6"/>
  <c r="I388" i="6"/>
  <c r="I505" i="6"/>
  <c r="I81" i="6"/>
  <c r="I17" i="6"/>
  <c r="I471" i="6"/>
  <c r="I190" i="6"/>
  <c r="I323" i="6"/>
  <c r="I306" i="6"/>
  <c r="I223" i="6"/>
  <c r="I70" i="6"/>
  <c r="I309" i="6"/>
  <c r="I497" i="6"/>
  <c r="I230" i="6"/>
  <c r="I452" i="6"/>
  <c r="I406" i="6"/>
  <c r="I498" i="6"/>
  <c r="I261" i="6"/>
  <c r="I222" i="6"/>
  <c r="I509" i="6"/>
  <c r="I231" i="6"/>
  <c r="I486" i="6"/>
  <c r="I419" i="6"/>
  <c r="I355" i="6"/>
  <c r="I151" i="6"/>
  <c r="I434" i="6"/>
  <c r="I280" i="6"/>
  <c r="I350" i="6"/>
  <c r="I124" i="6"/>
  <c r="I143" i="6"/>
  <c r="I229" i="6"/>
  <c r="I41" i="6"/>
  <c r="I403" i="6"/>
  <c r="I160" i="6"/>
  <c r="I154" i="6"/>
  <c r="I493" i="6"/>
  <c r="I330" i="6"/>
  <c r="I399" i="6"/>
  <c r="I494" i="6"/>
  <c r="I148" i="6"/>
  <c r="I12" i="6"/>
  <c r="I273" i="6"/>
  <c r="I46" i="6"/>
  <c r="I125" i="6"/>
  <c r="I410" i="6"/>
  <c r="I208" i="6"/>
  <c r="I307" i="6"/>
  <c r="I389" i="6"/>
  <c r="I241" i="6"/>
  <c r="I359" i="6"/>
  <c r="I248" i="6"/>
  <c r="I441" i="6"/>
  <c r="I54" i="6"/>
  <c r="I167" i="6"/>
  <c r="I204" i="6"/>
  <c r="I127" i="6"/>
  <c r="I377" i="6"/>
  <c r="I322" i="6"/>
  <c r="I177" i="6"/>
  <c r="I220" i="6"/>
  <c r="I300" i="6"/>
  <c r="I172" i="6"/>
  <c r="I171" i="6"/>
  <c r="I544" i="6"/>
  <c r="I202" i="6"/>
  <c r="I270" i="6"/>
  <c r="I461" i="6"/>
  <c r="I5" i="6"/>
  <c r="I370" i="6"/>
  <c r="I213" i="6"/>
  <c r="I27" i="6"/>
  <c r="I276" i="6"/>
  <c r="I185" i="6"/>
  <c r="I422" i="6"/>
  <c r="I254" i="6"/>
  <c r="I348" i="6"/>
  <c r="I107" i="6"/>
  <c r="I295" i="6"/>
  <c r="I519" i="6"/>
  <c r="I163" i="6"/>
  <c r="I495" i="6"/>
  <c r="I395" i="6"/>
  <c r="I548" i="6"/>
  <c r="I341" i="6"/>
  <c r="I427" i="6"/>
  <c r="I506" i="6"/>
  <c r="I360" i="6"/>
  <c r="I20" i="6"/>
  <c r="I16" i="6"/>
  <c r="I414" i="6"/>
  <c r="I50" i="6"/>
  <c r="I94" i="6"/>
  <c r="I106" i="6"/>
  <c r="I76" i="6"/>
  <c r="I292" i="6"/>
  <c r="I546" i="6"/>
  <c r="I189" i="6"/>
  <c r="I257" i="6"/>
  <c r="I512" i="6"/>
  <c r="I134" i="6"/>
  <c r="I513" i="6"/>
  <c r="I462" i="6"/>
  <c r="I245" i="6"/>
  <c r="I543" i="6"/>
  <c r="I447" i="6"/>
  <c r="I249" i="6"/>
  <c r="I501" i="6"/>
  <c r="I144" i="6"/>
  <c r="I351" i="6"/>
  <c r="I324" i="6"/>
  <c r="I194" i="6"/>
  <c r="I331" i="6"/>
  <c r="I168" i="6"/>
  <c r="I234" i="6"/>
  <c r="I336" i="6"/>
  <c r="I224" i="6"/>
  <c r="I442" i="6"/>
  <c r="I400" i="6"/>
  <c r="I205" i="6"/>
  <c r="I539" i="6"/>
  <c r="I444" i="6"/>
  <c r="I237" i="6"/>
  <c r="I469" i="6"/>
  <c r="I517" i="6"/>
  <c r="I186" i="6"/>
  <c r="I49" i="6"/>
  <c r="I475" i="6"/>
  <c r="I128" i="6"/>
  <c r="I325" i="6"/>
  <c r="I201" i="6"/>
  <c r="I42" i="6"/>
  <c r="I176" i="6"/>
  <c r="I40" i="6"/>
  <c r="I265" i="6"/>
  <c r="I352" i="6"/>
  <c r="I537" i="6"/>
  <c r="I450" i="6"/>
  <c r="I436" i="6"/>
  <c r="I239" i="6"/>
  <c r="I507" i="6"/>
  <c r="I473" i="6"/>
  <c r="I382" i="6"/>
  <c r="I529" i="6"/>
  <c r="I429" i="6"/>
  <c r="I435" i="6"/>
  <c r="I195" i="6"/>
  <c r="I258" i="6"/>
  <c r="I540" i="6"/>
  <c r="I93" i="6"/>
  <c r="I454" i="6"/>
  <c r="I103" i="6"/>
  <c r="I445" i="6"/>
  <c r="I337" i="6"/>
  <c r="I78" i="6"/>
  <c r="I489" i="6"/>
  <c r="I131" i="6"/>
  <c r="I25" i="6"/>
  <c r="I191" i="6"/>
  <c r="I522" i="6"/>
  <c r="I61" i="6"/>
  <c r="I272" i="6"/>
  <c r="I481" i="6"/>
  <c r="I157" i="6"/>
  <c r="I45" i="6"/>
  <c r="I232" i="6"/>
  <c r="I23" i="6"/>
  <c r="I411" i="6"/>
  <c r="I510" i="6"/>
  <c r="I181" i="6"/>
  <c r="I343" i="6"/>
  <c r="I226" i="6"/>
  <c r="I145" i="6"/>
  <c r="I439" i="6"/>
  <c r="I32" i="6"/>
  <c r="I356" i="6"/>
  <c r="I206" i="6"/>
  <c r="I187" i="6"/>
  <c r="I269" i="6"/>
  <c r="I446" i="6"/>
  <c r="I418" i="6"/>
  <c r="I384" i="6"/>
  <c r="I87" i="6"/>
  <c r="I15" i="6"/>
  <c r="I80" i="6"/>
  <c r="I480" i="6"/>
  <c r="I383" i="6"/>
  <c r="I165" i="6"/>
  <c r="I196" i="6"/>
  <c r="I344" i="6"/>
  <c r="I130" i="6"/>
  <c r="I533" i="6"/>
  <c r="I88" i="6"/>
  <c r="I523" i="6"/>
  <c r="I321" i="6"/>
  <c r="I102" i="6"/>
  <c r="I89" i="6"/>
  <c r="I255" i="6"/>
  <c r="I256" i="6"/>
  <c r="I51" i="6"/>
  <c r="I541" i="6"/>
  <c r="I116" i="6"/>
  <c r="I121" i="6"/>
  <c r="I26" i="6"/>
  <c r="I58" i="6"/>
  <c r="I214" i="6"/>
  <c r="I173" i="6"/>
  <c r="I404" i="6"/>
  <c r="I240" i="6"/>
  <c r="I59" i="6"/>
  <c r="I432" i="6"/>
  <c r="I6" i="6"/>
  <c r="I534" i="6"/>
  <c r="I301" i="6"/>
  <c r="I521" i="6"/>
  <c r="I86" i="6"/>
  <c r="I209" i="6"/>
  <c r="I496" i="6"/>
  <c r="I492" i="6"/>
  <c r="I242" i="6"/>
  <c r="I244" i="6"/>
  <c r="I104" i="6"/>
  <c r="I423" i="6"/>
  <c r="I535" i="6"/>
  <c r="I164" i="6"/>
  <c r="I161" i="6"/>
  <c r="I361" i="6"/>
  <c r="I430" i="6"/>
  <c r="I364" i="6"/>
  <c r="I320" i="6"/>
  <c r="I119" i="6"/>
  <c r="I366" i="6"/>
  <c r="I484" i="6"/>
  <c r="I179" i="6"/>
  <c r="I68" i="6"/>
  <c r="I97" i="6"/>
  <c r="I289" i="6"/>
  <c r="I71" i="6"/>
  <c r="I413" i="6"/>
  <c r="I114" i="6"/>
  <c r="I472" i="6"/>
  <c r="I424" i="6"/>
  <c r="I379" i="6"/>
  <c r="I407" i="6"/>
  <c r="I294" i="6"/>
  <c r="I285" i="6"/>
  <c r="I118" i="6"/>
  <c r="I238" i="6"/>
  <c r="I84" i="6"/>
  <c r="I149" i="6"/>
  <c r="I100" i="6"/>
  <c r="I371" i="6"/>
  <c r="I216" i="6"/>
  <c r="I8" i="6"/>
  <c r="I286" i="6"/>
  <c r="I305" i="6"/>
  <c r="I283" i="6"/>
  <c r="I146" i="6"/>
  <c r="I287" i="6"/>
  <c r="I162" i="6"/>
  <c r="I259" i="6"/>
  <c r="I451" i="6"/>
  <c r="I393" i="6"/>
  <c r="I381" i="6"/>
  <c r="I225" i="6"/>
  <c r="I448" i="6"/>
  <c r="I98" i="6"/>
  <c r="I63" i="6"/>
  <c r="I516" i="6"/>
  <c r="I56" i="6"/>
  <c r="I82" i="6"/>
  <c r="I453" i="6"/>
  <c r="I182" i="6"/>
  <c r="I199" i="6"/>
  <c r="I43" i="6"/>
  <c r="I207" i="6"/>
  <c r="I313" i="6"/>
  <c r="I129" i="6"/>
  <c r="I391" i="6"/>
  <c r="I117" i="6"/>
  <c r="I385" i="6"/>
  <c r="I477" i="6"/>
  <c r="I192" i="6"/>
  <c r="I156" i="6"/>
  <c r="I455" i="6"/>
  <c r="I64" i="6"/>
  <c r="I310" i="6"/>
  <c r="I105" i="6"/>
  <c r="I327" i="6"/>
  <c r="I99" i="6"/>
  <c r="I302" i="6"/>
  <c r="I412" i="6"/>
  <c r="I527" i="6"/>
  <c r="I470" i="6"/>
  <c r="I36" i="6"/>
  <c r="I458" i="6"/>
  <c r="I478" i="6"/>
  <c r="I210" i="6"/>
  <c r="I380" i="6"/>
  <c r="I79" i="6"/>
  <c r="I353" i="6"/>
  <c r="I126" i="6"/>
  <c r="I147" i="6"/>
  <c r="I290" i="6"/>
  <c r="I314" i="6"/>
  <c r="I296" i="6"/>
  <c r="I266" i="6"/>
  <c r="I317" i="6"/>
  <c r="I65" i="6"/>
  <c r="I433" i="6"/>
  <c r="I293" i="6"/>
  <c r="I460" i="6"/>
  <c r="I425" i="6"/>
  <c r="I408" i="6"/>
  <c r="I111" i="6"/>
  <c r="I221" i="6"/>
  <c r="I416" i="6"/>
  <c r="I467" i="6"/>
  <c r="I367" i="6"/>
  <c r="I420" i="6"/>
  <c r="I138" i="6"/>
  <c r="I180" i="6"/>
  <c r="I487" i="6"/>
  <c r="I456" i="6"/>
  <c r="I48" i="6"/>
  <c r="I228" i="6"/>
  <c r="I158" i="6"/>
  <c r="I526" i="6"/>
  <c r="I390" i="6"/>
  <c r="I479" i="6"/>
  <c r="I108" i="6"/>
  <c r="I277" i="6"/>
  <c r="I339" i="6"/>
  <c r="I101" i="6"/>
  <c r="I197" i="6"/>
  <c r="I362" i="6"/>
  <c r="I28" i="6"/>
  <c r="I443" i="6"/>
  <c r="I253" i="6"/>
  <c r="I184" i="6"/>
  <c r="I524" i="6"/>
  <c r="I77" i="6"/>
  <c r="I485" i="6"/>
  <c r="I284" i="6"/>
  <c r="I217" i="6"/>
  <c r="I532" i="6"/>
  <c r="I155" i="6"/>
  <c r="I55" i="6"/>
  <c r="I24" i="6"/>
  <c r="I120" i="6"/>
  <c r="I278" i="6"/>
  <c r="I211" i="6"/>
  <c r="I396" i="6"/>
  <c r="I500" i="6"/>
  <c r="I236" i="6"/>
  <c r="I357" i="6"/>
  <c r="I328" i="6"/>
  <c r="I315" i="6"/>
  <c r="I227" i="6"/>
  <c r="I374" i="6"/>
  <c r="I536" i="6"/>
  <c r="I74" i="6"/>
  <c r="I135" i="6"/>
  <c r="I329" i="6"/>
  <c r="I449" i="6"/>
  <c r="I394" i="6"/>
  <c r="I183" i="6"/>
  <c r="I514" i="6"/>
  <c r="I14" i="6"/>
  <c r="I402" i="6"/>
  <c r="I397" i="6"/>
  <c r="I316" i="6"/>
  <c r="I311" i="6"/>
  <c r="I530" i="6"/>
  <c r="I545" i="6"/>
  <c r="I252" i="6"/>
  <c r="I95" i="6"/>
  <c r="I250" i="6"/>
  <c r="I19" i="6"/>
  <c r="I52" i="6"/>
  <c r="I31" i="6"/>
  <c r="I122" i="6"/>
  <c r="I334" i="6"/>
  <c r="I112" i="6"/>
  <c r="I3" i="6"/>
  <c r="I141" i="6"/>
  <c r="I312" i="6"/>
  <c r="I392" i="6"/>
  <c r="I47" i="6"/>
  <c r="I378" i="6"/>
  <c r="I178" i="6"/>
  <c r="I215" i="6"/>
  <c r="I547" i="6"/>
  <c r="I426" i="6"/>
  <c r="I326" i="6"/>
  <c r="I459" i="6"/>
  <c r="I282" i="6"/>
  <c r="I538" i="6"/>
  <c r="I288" i="6"/>
  <c r="I525" i="6"/>
  <c r="I318" i="6"/>
  <c r="I243" i="6"/>
  <c r="I44" i="6"/>
  <c r="I198" i="6"/>
  <c r="I504" i="6"/>
  <c r="I483" i="6"/>
  <c r="I260" i="6"/>
  <c r="I503" i="6"/>
  <c r="I274" i="6"/>
  <c r="I463" i="6"/>
  <c r="I346" i="6"/>
  <c r="I200" i="6"/>
  <c r="I9" i="6"/>
  <c r="I267" i="6"/>
  <c r="I375" i="6"/>
  <c r="I542" i="6"/>
  <c r="I363" i="6"/>
  <c r="I342" i="6"/>
  <c r="I386" i="6"/>
  <c r="I246" i="6"/>
  <c r="I34" i="6"/>
  <c r="I152" i="6"/>
  <c r="I488" i="6"/>
  <c r="I153" i="6"/>
  <c r="I136" i="6"/>
  <c r="I499" i="6"/>
  <c r="I365" i="6"/>
  <c r="I83" i="6"/>
  <c r="I275" i="6"/>
  <c r="I33" i="6"/>
  <c r="I401" i="6"/>
  <c r="I109" i="6"/>
  <c r="I387" i="6"/>
  <c r="I11" i="6"/>
  <c r="I218" i="6"/>
  <c r="I372" i="6"/>
  <c r="I376" i="6"/>
  <c r="I279" i="6"/>
  <c r="I142" i="6"/>
  <c r="I338" i="6"/>
  <c r="I398" i="6"/>
  <c r="I502" i="6"/>
  <c r="I268" i="6"/>
  <c r="I409" i="6"/>
  <c r="I67" i="6"/>
  <c r="I66" i="6"/>
  <c r="I437" i="6"/>
  <c r="I368" i="6"/>
  <c r="I62" i="6"/>
  <c r="I203" i="6"/>
  <c r="I212" i="6"/>
  <c r="I18" i="6"/>
  <c r="I308" i="6"/>
  <c r="I297" i="6"/>
  <c r="I4" i="6"/>
  <c r="I464" i="6"/>
  <c r="I53" i="6"/>
  <c r="I440" i="6"/>
  <c r="I335" i="6"/>
  <c r="I358" i="6"/>
  <c r="I264" i="6"/>
  <c r="I110" i="6"/>
  <c r="I369" i="6"/>
  <c r="I188" i="6"/>
  <c r="I465" i="6"/>
  <c r="I29" i="6"/>
  <c r="I457" i="6"/>
  <c r="I115" i="6"/>
  <c r="I476" i="6"/>
  <c r="I235" i="6"/>
  <c r="I428" i="6"/>
  <c r="I415" i="6"/>
  <c r="I271" i="6"/>
  <c r="I69" i="6"/>
  <c r="I193" i="6"/>
  <c r="I22" i="6"/>
  <c r="I140" i="6"/>
  <c r="I75" i="6"/>
  <c r="I90" i="6"/>
  <c r="I7" i="6"/>
  <c r="I174" i="6"/>
  <c r="I85" i="6"/>
  <c r="I21" i="6"/>
  <c r="I332" i="6"/>
  <c r="I349" i="6"/>
  <c r="I345" i="6"/>
  <c r="I373" i="6"/>
  <c r="I251" i="6"/>
  <c r="I438" i="6"/>
  <c r="I319" i="6"/>
  <c r="I303" i="6"/>
  <c r="I37" i="6"/>
  <c r="I113" i="6"/>
  <c r="I281" i="6"/>
  <c r="I35" i="6"/>
  <c r="I30" i="6"/>
  <c r="I482" i="6"/>
  <c r="I421" i="6"/>
  <c r="I298" i="6"/>
  <c r="I299" i="6"/>
  <c r="I38" i="6"/>
  <c r="I166" i="6"/>
  <c r="I132" i="6"/>
  <c r="I57" i="6"/>
  <c r="I247" i="6"/>
  <c r="I531" i="6"/>
  <c r="I175" i="6"/>
  <c r="I72" i="6"/>
  <c r="I123" i="6"/>
  <c r="I60" i="6"/>
  <c r="I159" i="6"/>
  <c r="J233" i="6"/>
  <c r="J405" i="6"/>
  <c r="J137" i="6"/>
  <c r="J96" i="6"/>
  <c r="J262" i="6"/>
  <c r="J511" i="6"/>
  <c r="J347" i="6"/>
  <c r="J474" i="6"/>
  <c r="J263" i="6"/>
  <c r="J340" i="6"/>
  <c r="J91" i="6"/>
  <c r="J291" i="6"/>
  <c r="J518" i="6"/>
  <c r="J515" i="6"/>
  <c r="J2" i="6"/>
  <c r="J333" i="6"/>
  <c r="J170" i="6"/>
  <c r="J13" i="6"/>
  <c r="J520" i="6"/>
  <c r="J490" i="6"/>
  <c r="J468" i="6"/>
  <c r="J169" i="6"/>
  <c r="J491" i="6"/>
  <c r="J528" i="6"/>
  <c r="J139" i="6"/>
  <c r="J133" i="6"/>
  <c r="J508" i="6"/>
  <c r="J219" i="6"/>
  <c r="J466" i="6"/>
  <c r="J150" i="6"/>
  <c r="J431" i="6"/>
  <c r="J73" i="6"/>
  <c r="J354" i="6"/>
  <c r="J92" i="6"/>
  <c r="J417" i="6"/>
  <c r="J304" i="6"/>
  <c r="J10" i="6"/>
  <c r="J39" i="6"/>
  <c r="J388" i="6"/>
  <c r="J505" i="6"/>
  <c r="J81" i="6"/>
  <c r="J17" i="6"/>
  <c r="J471" i="6"/>
  <c r="J190" i="6"/>
  <c r="J323" i="6"/>
  <c r="J306" i="6"/>
  <c r="J223" i="6"/>
  <c r="J70" i="6"/>
  <c r="J309" i="6"/>
  <c r="J497" i="6"/>
  <c r="J230" i="6"/>
  <c r="J452" i="6"/>
  <c r="J406" i="6"/>
  <c r="J498" i="6"/>
  <c r="J261" i="6"/>
  <c r="J222" i="6"/>
  <c r="J509" i="6"/>
  <c r="J231" i="6"/>
  <c r="J486" i="6"/>
  <c r="J419" i="6"/>
  <c r="J355" i="6"/>
  <c r="J151" i="6"/>
  <c r="J434" i="6"/>
  <c r="J280" i="6"/>
  <c r="J350" i="6"/>
  <c r="J124" i="6"/>
  <c r="J143" i="6"/>
  <c r="J229" i="6"/>
  <c r="J41" i="6"/>
  <c r="J403" i="6"/>
  <c r="J160" i="6"/>
  <c r="J154" i="6"/>
  <c r="J493" i="6"/>
  <c r="J330" i="6"/>
  <c r="J399" i="6"/>
  <c r="J494" i="6"/>
  <c r="J148" i="6"/>
  <c r="J12" i="6"/>
  <c r="J273" i="6"/>
  <c r="J46" i="6"/>
  <c r="J125" i="6"/>
  <c r="J410" i="6"/>
  <c r="J208" i="6"/>
  <c r="J307" i="6"/>
  <c r="J389" i="6"/>
  <c r="J241" i="6"/>
  <c r="J359" i="6"/>
  <c r="J248" i="6"/>
  <c r="J441" i="6"/>
  <c r="J54" i="6"/>
  <c r="J167" i="6"/>
  <c r="J204" i="6"/>
  <c r="J127" i="6"/>
  <c r="J377" i="6"/>
  <c r="J322" i="6"/>
  <c r="J177" i="6"/>
  <c r="J220" i="6"/>
  <c r="J300" i="6"/>
  <c r="J172" i="6"/>
  <c r="J171" i="6"/>
  <c r="J544" i="6"/>
  <c r="J202" i="6"/>
  <c r="J270" i="6"/>
  <c r="J461" i="6"/>
  <c r="J5" i="6"/>
  <c r="J370" i="6"/>
  <c r="J213" i="6"/>
  <c r="J27" i="6"/>
  <c r="J276" i="6"/>
  <c r="J185" i="6"/>
  <c r="J422" i="6"/>
  <c r="J254" i="6"/>
  <c r="J348" i="6"/>
  <c r="J107" i="6"/>
  <c r="J295" i="6"/>
  <c r="J519" i="6"/>
  <c r="J163" i="6"/>
  <c r="J495" i="6"/>
  <c r="J395" i="6"/>
  <c r="J548" i="6"/>
  <c r="J341" i="6"/>
  <c r="J427" i="6"/>
  <c r="J506" i="6"/>
  <c r="J360" i="6"/>
  <c r="J20" i="6"/>
  <c r="J16" i="6"/>
  <c r="J414" i="6"/>
  <c r="J50" i="6"/>
  <c r="J94" i="6"/>
  <c r="J106" i="6"/>
  <c r="J76" i="6"/>
  <c r="J292" i="6"/>
  <c r="J546" i="6"/>
  <c r="J189" i="6"/>
  <c r="J257" i="6"/>
  <c r="J512" i="6"/>
  <c r="J134" i="6"/>
  <c r="J513" i="6"/>
  <c r="J462" i="6"/>
  <c r="J245" i="6"/>
  <c r="J543" i="6"/>
  <c r="J447" i="6"/>
  <c r="J249" i="6"/>
  <c r="J501" i="6"/>
  <c r="J144" i="6"/>
  <c r="J351" i="6"/>
  <c r="J324" i="6"/>
  <c r="J194" i="6"/>
  <c r="J331" i="6"/>
  <c r="J168" i="6"/>
  <c r="J234" i="6"/>
  <c r="J336" i="6"/>
  <c r="J224" i="6"/>
  <c r="J442" i="6"/>
  <c r="J400" i="6"/>
  <c r="J205" i="6"/>
  <c r="J539" i="6"/>
  <c r="J444" i="6"/>
  <c r="J237" i="6"/>
  <c r="J469" i="6"/>
  <c r="J517" i="6"/>
  <c r="J186" i="6"/>
  <c r="J49" i="6"/>
  <c r="J475" i="6"/>
  <c r="J128" i="6"/>
  <c r="J325" i="6"/>
  <c r="J201" i="6"/>
  <c r="J42" i="6"/>
  <c r="J176" i="6"/>
  <c r="J40" i="6"/>
  <c r="J265" i="6"/>
  <c r="J352" i="6"/>
  <c r="J537" i="6"/>
  <c r="J450" i="6"/>
  <c r="J436" i="6"/>
  <c r="J239" i="6"/>
  <c r="J507" i="6"/>
  <c r="J473" i="6"/>
  <c r="J382" i="6"/>
  <c r="J529" i="6"/>
  <c r="J429" i="6"/>
  <c r="J435" i="6"/>
  <c r="J195" i="6"/>
  <c r="J258" i="6"/>
  <c r="J540" i="6"/>
  <c r="J93" i="6"/>
  <c r="J454" i="6"/>
  <c r="J103" i="6"/>
  <c r="J445" i="6"/>
  <c r="J337" i="6"/>
  <c r="J78" i="6"/>
  <c r="J489" i="6"/>
  <c r="J131" i="6"/>
  <c r="J25" i="6"/>
  <c r="J191" i="6"/>
  <c r="J522" i="6"/>
  <c r="J61" i="6"/>
  <c r="J272" i="6"/>
  <c r="J481" i="6"/>
  <c r="J157" i="6"/>
  <c r="J45" i="6"/>
  <c r="J232" i="6"/>
  <c r="J23" i="6"/>
  <c r="J411" i="6"/>
  <c r="J510" i="6"/>
  <c r="J181" i="6"/>
  <c r="J343" i="6"/>
  <c r="J226" i="6"/>
  <c r="J145" i="6"/>
  <c r="J439" i="6"/>
  <c r="J32" i="6"/>
  <c r="J356" i="6"/>
  <c r="J206" i="6"/>
  <c r="J187" i="6"/>
  <c r="J269" i="6"/>
  <c r="J446" i="6"/>
  <c r="J418" i="6"/>
  <c r="J384" i="6"/>
  <c r="J87" i="6"/>
  <c r="J15" i="6"/>
  <c r="J80" i="6"/>
  <c r="J480" i="6"/>
  <c r="J383" i="6"/>
  <c r="J165" i="6"/>
  <c r="J196" i="6"/>
  <c r="J344" i="6"/>
  <c r="J130" i="6"/>
  <c r="J533" i="6"/>
  <c r="J88" i="6"/>
  <c r="J523" i="6"/>
  <c r="J321" i="6"/>
  <c r="J102" i="6"/>
  <c r="J89" i="6"/>
  <c r="J255" i="6"/>
  <c r="J256" i="6"/>
  <c r="J51" i="6"/>
  <c r="J541" i="6"/>
  <c r="J116" i="6"/>
  <c r="J121" i="6"/>
  <c r="J26" i="6"/>
  <c r="J58" i="6"/>
  <c r="J214" i="6"/>
  <c r="J173" i="6"/>
  <c r="J404" i="6"/>
  <c r="J240" i="6"/>
  <c r="J59" i="6"/>
  <c r="J432" i="6"/>
  <c r="J6" i="6"/>
  <c r="J534" i="6"/>
  <c r="J301" i="6"/>
  <c r="J521" i="6"/>
  <c r="J86" i="6"/>
  <c r="J209" i="6"/>
  <c r="J496" i="6"/>
  <c r="J492" i="6"/>
  <c r="J242" i="6"/>
  <c r="J244" i="6"/>
  <c r="J104" i="6"/>
  <c r="J423" i="6"/>
  <c r="J535" i="6"/>
  <c r="J164" i="6"/>
  <c r="J161" i="6"/>
  <c r="J361" i="6"/>
  <c r="J430" i="6"/>
  <c r="J364" i="6"/>
  <c r="J320" i="6"/>
  <c r="J119" i="6"/>
  <c r="J366" i="6"/>
  <c r="J484" i="6"/>
  <c r="J179" i="6"/>
  <c r="J68" i="6"/>
  <c r="J97" i="6"/>
  <c r="J289" i="6"/>
  <c r="J71" i="6"/>
  <c r="J413" i="6"/>
  <c r="J114" i="6"/>
  <c r="J472" i="6"/>
  <c r="J424" i="6"/>
  <c r="J379" i="6"/>
  <c r="J407" i="6"/>
  <c r="J294" i="6"/>
  <c r="J285" i="6"/>
  <c r="J118" i="6"/>
  <c r="J238" i="6"/>
  <c r="J84" i="6"/>
  <c r="J149" i="6"/>
  <c r="J100" i="6"/>
  <c r="J371" i="6"/>
  <c r="J216" i="6"/>
  <c r="J8" i="6"/>
  <c r="J286" i="6"/>
  <c r="J305" i="6"/>
  <c r="J283" i="6"/>
  <c r="J146" i="6"/>
  <c r="J287" i="6"/>
  <c r="J162" i="6"/>
  <c r="J259" i="6"/>
  <c r="J451" i="6"/>
  <c r="J393" i="6"/>
  <c r="J381" i="6"/>
  <c r="J225" i="6"/>
  <c r="J448" i="6"/>
  <c r="J98" i="6"/>
  <c r="J63" i="6"/>
  <c r="J516" i="6"/>
  <c r="J56" i="6"/>
  <c r="J82" i="6"/>
  <c r="J453" i="6"/>
  <c r="J182" i="6"/>
  <c r="J199" i="6"/>
  <c r="J43" i="6"/>
  <c r="J207" i="6"/>
  <c r="J313" i="6"/>
  <c r="J129" i="6"/>
  <c r="J391" i="6"/>
  <c r="J117" i="6"/>
  <c r="J385" i="6"/>
  <c r="J477" i="6"/>
  <c r="J192" i="6"/>
  <c r="J156" i="6"/>
  <c r="J455" i="6"/>
  <c r="J64" i="6"/>
  <c r="J310" i="6"/>
  <c r="J105" i="6"/>
  <c r="J327" i="6"/>
  <c r="J99" i="6"/>
  <c r="J302" i="6"/>
  <c r="J412" i="6"/>
  <c r="J527" i="6"/>
  <c r="J470" i="6"/>
  <c r="J36" i="6"/>
  <c r="J458" i="6"/>
  <c r="J478" i="6"/>
  <c r="J210" i="6"/>
  <c r="J380" i="6"/>
  <c r="J79" i="6"/>
  <c r="J353" i="6"/>
  <c r="J126" i="6"/>
  <c r="J147" i="6"/>
  <c r="J290" i="6"/>
  <c r="J314" i="6"/>
  <c r="J296" i="6"/>
  <c r="J266" i="6"/>
  <c r="J317" i="6"/>
  <c r="J65" i="6"/>
  <c r="J433" i="6"/>
  <c r="J293" i="6"/>
  <c r="J460" i="6"/>
  <c r="J425" i="6"/>
  <c r="J408" i="6"/>
  <c r="J111" i="6"/>
  <c r="J221" i="6"/>
  <c r="J416" i="6"/>
  <c r="J467" i="6"/>
  <c r="J367" i="6"/>
  <c r="J420" i="6"/>
  <c r="J138" i="6"/>
  <c r="J180" i="6"/>
  <c r="J487" i="6"/>
  <c r="J456" i="6"/>
  <c r="J48" i="6"/>
  <c r="J228" i="6"/>
  <c r="J158" i="6"/>
  <c r="J526" i="6"/>
  <c r="J390" i="6"/>
  <c r="J479" i="6"/>
  <c r="J108" i="6"/>
  <c r="J277" i="6"/>
  <c r="J339" i="6"/>
  <c r="J101" i="6"/>
  <c r="J197" i="6"/>
  <c r="J362" i="6"/>
  <c r="J28" i="6"/>
  <c r="J443" i="6"/>
  <c r="J253" i="6"/>
  <c r="J184" i="6"/>
  <c r="J524" i="6"/>
  <c r="J77" i="6"/>
  <c r="J485" i="6"/>
  <c r="J284" i="6"/>
  <c r="J217" i="6"/>
  <c r="J532" i="6"/>
  <c r="J155" i="6"/>
  <c r="J55" i="6"/>
  <c r="J24" i="6"/>
  <c r="J120" i="6"/>
  <c r="J278" i="6"/>
  <c r="J211" i="6"/>
  <c r="J396" i="6"/>
  <c r="J500" i="6"/>
  <c r="J236" i="6"/>
  <c r="J357" i="6"/>
  <c r="J328" i="6"/>
  <c r="J315" i="6"/>
  <c r="J227" i="6"/>
  <c r="J374" i="6"/>
  <c r="J536" i="6"/>
  <c r="J74" i="6"/>
  <c r="J135" i="6"/>
  <c r="J329" i="6"/>
  <c r="J449" i="6"/>
  <c r="J394" i="6"/>
  <c r="J183" i="6"/>
  <c r="J514" i="6"/>
  <c r="J14" i="6"/>
  <c r="J402" i="6"/>
  <c r="J397" i="6"/>
  <c r="J316" i="6"/>
  <c r="J311" i="6"/>
  <c r="J530" i="6"/>
  <c r="J545" i="6"/>
  <c r="J252" i="6"/>
  <c r="J95" i="6"/>
  <c r="J250" i="6"/>
  <c r="J19" i="6"/>
  <c r="J52" i="6"/>
  <c r="J31" i="6"/>
  <c r="J122" i="6"/>
  <c r="J334" i="6"/>
  <c r="J112" i="6"/>
  <c r="J3" i="6"/>
  <c r="J141" i="6"/>
  <c r="J312" i="6"/>
  <c r="J392" i="6"/>
  <c r="J47" i="6"/>
  <c r="J378" i="6"/>
  <c r="J178" i="6"/>
  <c r="J215" i="6"/>
  <c r="J547" i="6"/>
  <c r="J426" i="6"/>
  <c r="J326" i="6"/>
  <c r="J459" i="6"/>
  <c r="J282" i="6"/>
  <c r="J538" i="6"/>
  <c r="J288" i="6"/>
  <c r="J525" i="6"/>
  <c r="J318" i="6"/>
  <c r="J243" i="6"/>
  <c r="J44" i="6"/>
  <c r="J198" i="6"/>
  <c r="J504" i="6"/>
  <c r="J483" i="6"/>
  <c r="J260" i="6"/>
  <c r="J503" i="6"/>
  <c r="J274" i="6"/>
  <c r="J463" i="6"/>
  <c r="J346" i="6"/>
  <c r="J200" i="6"/>
  <c r="J9" i="6"/>
  <c r="J267" i="6"/>
  <c r="J375" i="6"/>
  <c r="J542" i="6"/>
  <c r="J363" i="6"/>
  <c r="J342" i="6"/>
  <c r="J386" i="6"/>
  <c r="J246" i="6"/>
  <c r="J34" i="6"/>
  <c r="J152" i="6"/>
  <c r="J488" i="6"/>
  <c r="J153" i="6"/>
  <c r="J136" i="6"/>
  <c r="J499" i="6"/>
  <c r="J365" i="6"/>
  <c r="J83" i="6"/>
  <c r="J275" i="6"/>
  <c r="J33" i="6"/>
  <c r="J401" i="6"/>
  <c r="J109" i="6"/>
  <c r="J387" i="6"/>
  <c r="J11" i="6"/>
  <c r="J218" i="6"/>
  <c r="J372" i="6"/>
  <c r="J376" i="6"/>
  <c r="J279" i="6"/>
  <c r="J142" i="6"/>
  <c r="J338" i="6"/>
  <c r="J398" i="6"/>
  <c r="J502" i="6"/>
  <c r="J268" i="6"/>
  <c r="J409" i="6"/>
  <c r="J67" i="6"/>
  <c r="J66" i="6"/>
  <c r="J437" i="6"/>
  <c r="J368" i="6"/>
  <c r="J62" i="6"/>
  <c r="J203" i="6"/>
  <c r="J212" i="6"/>
  <c r="J18" i="6"/>
  <c r="J308" i="6"/>
  <c r="J297" i="6"/>
  <c r="J4" i="6"/>
  <c r="J464" i="6"/>
  <c r="J53" i="6"/>
  <c r="J440" i="6"/>
  <c r="J335" i="6"/>
  <c r="J358" i="6"/>
  <c r="J264" i="6"/>
  <c r="J110" i="6"/>
  <c r="J369" i="6"/>
  <c r="J188" i="6"/>
  <c r="J465" i="6"/>
  <c r="J29" i="6"/>
  <c r="J457" i="6"/>
  <c r="J115" i="6"/>
  <c r="J476" i="6"/>
  <c r="J235" i="6"/>
  <c r="J428" i="6"/>
  <c r="J415" i="6"/>
  <c r="J271" i="6"/>
  <c r="J69" i="6"/>
  <c r="J193" i="6"/>
  <c r="J22" i="6"/>
  <c r="J140" i="6"/>
  <c r="J75" i="6"/>
  <c r="J90" i="6"/>
  <c r="J7" i="6"/>
  <c r="J174" i="6"/>
  <c r="J85" i="6"/>
  <c r="J21" i="6"/>
  <c r="J332" i="6"/>
  <c r="J349" i="6"/>
  <c r="J345" i="6"/>
  <c r="J373" i="6"/>
  <c r="J251" i="6"/>
  <c r="J438" i="6"/>
  <c r="J319" i="6"/>
  <c r="J303" i="6"/>
  <c r="J37" i="6"/>
  <c r="J113" i="6"/>
  <c r="J281" i="6"/>
  <c r="J35" i="6"/>
  <c r="J30" i="6"/>
  <c r="J482" i="6"/>
  <c r="J421" i="6"/>
  <c r="J298" i="6"/>
  <c r="J299" i="6"/>
  <c r="J38" i="6"/>
  <c r="J166" i="6"/>
  <c r="J132" i="6"/>
  <c r="J57" i="6"/>
  <c r="J247" i="6"/>
  <c r="J531" i="6"/>
  <c r="J175" i="6"/>
  <c r="J72" i="6"/>
  <c r="J123" i="6"/>
  <c r="J60" i="6"/>
  <c r="J159" i="6"/>
  <c r="L254" i="12" l="1"/>
  <c r="M254" i="12" s="1"/>
  <c r="L250" i="12"/>
  <c r="M250" i="12" s="1"/>
  <c r="L238" i="12"/>
  <c r="M238" i="12" s="1"/>
  <c r="L198" i="12"/>
  <c r="M198" i="12" s="1"/>
  <c r="L178" i="12"/>
  <c r="M178" i="12" s="1"/>
  <c r="L673" i="12"/>
  <c r="M673" i="12" s="1"/>
  <c r="L665" i="12"/>
  <c r="M665" i="12" s="1"/>
  <c r="L653" i="12"/>
  <c r="M653" i="12" s="1"/>
  <c r="L649" i="12"/>
  <c r="M649" i="12" s="1"/>
  <c r="L641" i="12"/>
  <c r="M641" i="12" s="1"/>
  <c r="L629" i="12"/>
  <c r="M629" i="12" s="1"/>
  <c r="L613" i="12"/>
  <c r="M613" i="12" s="1"/>
  <c r="L609" i="12"/>
  <c r="M609" i="12" s="1"/>
  <c r="L601" i="12"/>
  <c r="M601" i="12" s="1"/>
  <c r="L597" i="12"/>
  <c r="M597" i="12" s="1"/>
  <c r="L581" i="12"/>
  <c r="M581" i="12" s="1"/>
  <c r="L573" i="12"/>
  <c r="M573" i="12" s="1"/>
  <c r="L557" i="12"/>
  <c r="M557" i="12" s="1"/>
  <c r="L549" i="12"/>
  <c r="M549" i="12" s="1"/>
  <c r="L545" i="12"/>
  <c r="M545" i="12" s="1"/>
  <c r="L533" i="12"/>
  <c r="M533" i="12" s="1"/>
  <c r="L529" i="12"/>
  <c r="M529" i="12" s="1"/>
  <c r="L501" i="12"/>
  <c r="M501" i="12" s="1"/>
  <c r="L489" i="12"/>
  <c r="M489" i="12" s="1"/>
  <c r="L485" i="12"/>
  <c r="M485" i="12" s="1"/>
  <c r="L473" i="12"/>
  <c r="M473" i="12" s="1"/>
  <c r="L461" i="12"/>
  <c r="M461" i="12" s="1"/>
  <c r="L453" i="12"/>
  <c r="M453" i="12" s="1"/>
  <c r="L445" i="12"/>
  <c r="M445" i="12" s="1"/>
  <c r="L441" i="12"/>
  <c r="M441" i="12" s="1"/>
  <c r="L437" i="12"/>
  <c r="M437" i="12" s="1"/>
  <c r="L433" i="12"/>
  <c r="M433" i="12" s="1"/>
  <c r="L417" i="12"/>
  <c r="M417" i="12" s="1"/>
  <c r="L409" i="12"/>
  <c r="M409" i="12" s="1"/>
  <c r="L401" i="12"/>
  <c r="M401" i="12" s="1"/>
  <c r="L389" i="12"/>
  <c r="M389" i="12" s="1"/>
  <c r="L373" i="12"/>
  <c r="M373" i="12" s="1"/>
  <c r="L361" i="12"/>
  <c r="M361" i="12" s="1"/>
  <c r="L357" i="12"/>
  <c r="M357" i="12" s="1"/>
  <c r="L349" i="12"/>
  <c r="M349" i="12" s="1"/>
  <c r="L345" i="12"/>
  <c r="M345" i="12" s="1"/>
  <c r="L337" i="12"/>
  <c r="M337" i="12" s="1"/>
  <c r="L329" i="12"/>
  <c r="M329" i="12" s="1"/>
  <c r="L325" i="12"/>
  <c r="M325" i="12" s="1"/>
  <c r="L321" i="12"/>
  <c r="M321" i="12" s="1"/>
  <c r="L309" i="12"/>
  <c r="M309" i="12" s="1"/>
  <c r="L301" i="12"/>
  <c r="M301" i="12" s="1"/>
  <c r="L297" i="12"/>
  <c r="M297" i="12" s="1"/>
  <c r="L289" i="12"/>
  <c r="M289" i="12" s="1"/>
  <c r="L281" i="12"/>
  <c r="M281" i="12" s="1"/>
  <c r="L273" i="12"/>
  <c r="M273" i="12" s="1"/>
  <c r="L269" i="12"/>
  <c r="M269" i="12" s="1"/>
  <c r="L261" i="12"/>
  <c r="M261" i="12" s="1"/>
  <c r="L257" i="12"/>
  <c r="M257" i="12" s="1"/>
  <c r="L253" i="12"/>
  <c r="M253" i="12" s="1"/>
  <c r="L233" i="12"/>
  <c r="M233" i="12" s="1"/>
  <c r="L225" i="12"/>
  <c r="M225" i="12" s="1"/>
  <c r="L213" i="12"/>
  <c r="M213" i="12" s="1"/>
  <c r="L209" i="12"/>
  <c r="M209" i="12" s="1"/>
  <c r="L205" i="12"/>
  <c r="M205" i="12" s="1"/>
  <c r="L197" i="12"/>
  <c r="M197" i="12" s="1"/>
  <c r="L185" i="12"/>
  <c r="M185" i="12" s="1"/>
  <c r="L173" i="12"/>
  <c r="M173" i="12" s="1"/>
  <c r="L169" i="12"/>
  <c r="M169" i="12" s="1"/>
  <c r="L161" i="12"/>
  <c r="M161" i="12" s="1"/>
  <c r="L149" i="12"/>
  <c r="M149" i="12" s="1"/>
  <c r="L137" i="12"/>
  <c r="M137" i="12" s="1"/>
  <c r="L133" i="12"/>
  <c r="M133" i="12" s="1"/>
  <c r="L121" i="12"/>
  <c r="M121" i="12" s="1"/>
  <c r="L117" i="12"/>
  <c r="M117" i="12" s="1"/>
  <c r="L113" i="12"/>
  <c r="M113" i="12" s="1"/>
  <c r="L109" i="12"/>
  <c r="M109" i="12" s="1"/>
  <c r="L105" i="12"/>
  <c r="M105" i="12" s="1"/>
  <c r="L93" i="12"/>
  <c r="M93" i="12" s="1"/>
  <c r="L73" i="12"/>
  <c r="M73" i="12" s="1"/>
  <c r="L69" i="12"/>
  <c r="M69" i="12" s="1"/>
  <c r="L61" i="12"/>
  <c r="M61" i="12" s="1"/>
  <c r="L57" i="12"/>
  <c r="M57" i="12" s="1"/>
  <c r="L53" i="12"/>
  <c r="M53" i="12" s="1"/>
  <c r="L49" i="12"/>
  <c r="M49" i="12" s="1"/>
  <c r="L45" i="12"/>
  <c r="M45" i="12" s="1"/>
  <c r="L17" i="12"/>
  <c r="M17" i="12" s="1"/>
  <c r="L13" i="12"/>
  <c r="M13" i="12" s="1"/>
  <c r="L9" i="12"/>
  <c r="M9" i="12" s="1"/>
  <c r="L5" i="12"/>
  <c r="M5" i="12" s="1"/>
  <c r="L644" i="12"/>
  <c r="M644" i="12" s="1"/>
  <c r="L636" i="12"/>
  <c r="M636" i="12" s="1"/>
  <c r="L620" i="12"/>
  <c r="M620" i="12" s="1"/>
  <c r="L612" i="12"/>
  <c r="M612" i="12" s="1"/>
  <c r="L604" i="12"/>
  <c r="M604" i="12" s="1"/>
  <c r="L588" i="12"/>
  <c r="M588" i="12" s="1"/>
  <c r="L572" i="12"/>
  <c r="M572" i="12" s="1"/>
  <c r="L564" i="12"/>
  <c r="M564" i="12" s="1"/>
  <c r="L556" i="12"/>
  <c r="M556" i="12" s="1"/>
  <c r="L540" i="12"/>
  <c r="M540" i="12" s="1"/>
  <c r="L532" i="12"/>
  <c r="M532" i="12" s="1"/>
  <c r="L516" i="12"/>
  <c r="M516" i="12" s="1"/>
  <c r="L500" i="12"/>
  <c r="M500" i="12" s="1"/>
  <c r="L476" i="12"/>
  <c r="M476" i="12" s="1"/>
  <c r="L468" i="12"/>
  <c r="M468" i="12" s="1"/>
  <c r="L452" i="12"/>
  <c r="M452" i="12" s="1"/>
  <c r="L444" i="12"/>
  <c r="M444" i="12" s="1"/>
  <c r="L428" i="12"/>
  <c r="M428" i="12" s="1"/>
  <c r="L420" i="12"/>
  <c r="M420" i="12" s="1"/>
  <c r="L412" i="12"/>
  <c r="M412" i="12" s="1"/>
  <c r="L404" i="12"/>
  <c r="M404" i="12" s="1"/>
  <c r="L364" i="12"/>
  <c r="M364" i="12" s="1"/>
  <c r="L348" i="12"/>
  <c r="M348" i="12" s="1"/>
  <c r="L340" i="12"/>
  <c r="M340" i="12" s="1"/>
  <c r="L332" i="12"/>
  <c r="M332" i="12" s="1"/>
  <c r="L328" i="12"/>
  <c r="M328" i="12" s="1"/>
  <c r="L312" i="12"/>
  <c r="M312" i="12" s="1"/>
  <c r="L308" i="12"/>
  <c r="M308" i="12" s="1"/>
  <c r="L304" i="12"/>
  <c r="M304" i="12" s="1"/>
  <c r="L300" i="12"/>
  <c r="M300" i="12" s="1"/>
  <c r="L296" i="12"/>
  <c r="M296" i="12" s="1"/>
  <c r="L292" i="12"/>
  <c r="M292" i="12" s="1"/>
  <c r="L276" i="12"/>
  <c r="M276" i="12" s="1"/>
  <c r="L272" i="12"/>
  <c r="M272" i="12" s="1"/>
  <c r="L244" i="12"/>
  <c r="M244" i="12" s="1"/>
  <c r="L236" i="12"/>
  <c r="M236" i="12" s="1"/>
  <c r="L228" i="12"/>
  <c r="M228" i="12" s="1"/>
  <c r="L212" i="12"/>
  <c r="M212" i="12" s="1"/>
  <c r="L172" i="12"/>
  <c r="M172" i="12" s="1"/>
  <c r="L168" i="12"/>
  <c r="M168" i="12" s="1"/>
  <c r="L140" i="12"/>
  <c r="M140" i="12" s="1"/>
  <c r="L116" i="12"/>
  <c r="M116" i="12" s="1"/>
  <c r="L112" i="12"/>
  <c r="M112" i="12" s="1"/>
  <c r="L108" i="12"/>
  <c r="M108" i="12" s="1"/>
  <c r="L88" i="12"/>
  <c r="M88" i="12" s="1"/>
  <c r="L84" i="12"/>
  <c r="M84" i="12" s="1"/>
  <c r="L76" i="12"/>
  <c r="M76" i="12" s="1"/>
  <c r="L72" i="12"/>
  <c r="M72" i="12" s="1"/>
  <c r="L52" i="12"/>
  <c r="M52" i="12" s="1"/>
  <c r="L36" i="12"/>
  <c r="M36" i="12" s="1"/>
  <c r="L20" i="12"/>
  <c r="M20" i="12" s="1"/>
  <c r="L12" i="12"/>
  <c r="M12" i="12" s="1"/>
  <c r="L4" i="12"/>
  <c r="M4" i="12" s="1"/>
  <c r="L139" i="12"/>
  <c r="M139" i="12" s="1"/>
  <c r="L135" i="12"/>
  <c r="M135" i="12" s="1"/>
  <c r="L131" i="12"/>
  <c r="M131" i="12" s="1"/>
  <c r="L127" i="12"/>
  <c r="M127" i="12" s="1"/>
  <c r="L123" i="12"/>
  <c r="M123" i="12" s="1"/>
  <c r="L119" i="12"/>
  <c r="M119" i="12" s="1"/>
  <c r="L115" i="12"/>
  <c r="M115" i="12" s="1"/>
  <c r="L111" i="12"/>
  <c r="M111" i="12" s="1"/>
  <c r="L107" i="12"/>
  <c r="M107" i="12" s="1"/>
  <c r="L103" i="12"/>
  <c r="M103" i="12" s="1"/>
  <c r="L99" i="12"/>
  <c r="M99" i="12" s="1"/>
  <c r="L95" i="12"/>
  <c r="M95" i="12" s="1"/>
  <c r="L91" i="12"/>
  <c r="M91" i="12" s="1"/>
  <c r="L87" i="12"/>
  <c r="M87" i="12" s="1"/>
  <c r="L83" i="12"/>
  <c r="M83" i="12" s="1"/>
  <c r="L79" i="12"/>
  <c r="M79" i="12" s="1"/>
  <c r="L75" i="12"/>
  <c r="M75" i="12" s="1"/>
  <c r="L71" i="12"/>
  <c r="M71" i="12" s="1"/>
  <c r="L67" i="12"/>
  <c r="M67" i="12" s="1"/>
  <c r="L63" i="12"/>
  <c r="M63" i="12" s="1"/>
  <c r="L59" i="12"/>
  <c r="M59" i="12" s="1"/>
  <c r="L55" i="12"/>
  <c r="M55" i="12" s="1"/>
  <c r="L51" i="12"/>
  <c r="M51" i="12" s="1"/>
  <c r="L47" i="12"/>
  <c r="M47" i="12" s="1"/>
  <c r="L43" i="12"/>
  <c r="M43" i="12" s="1"/>
  <c r="L39" i="12"/>
  <c r="M39" i="12" s="1"/>
  <c r="L35" i="12"/>
  <c r="M35" i="12" s="1"/>
  <c r="L31" i="12"/>
  <c r="M31" i="12" s="1"/>
  <c r="L27" i="12"/>
  <c r="M27" i="12" s="1"/>
  <c r="L23" i="12"/>
  <c r="M23" i="12" s="1"/>
  <c r="L19" i="12"/>
  <c r="M19" i="12" s="1"/>
  <c r="L15" i="12"/>
  <c r="M15" i="12" s="1"/>
  <c r="L11" i="12"/>
  <c r="M11" i="12" s="1"/>
  <c r="L7" i="12"/>
  <c r="M7" i="12" s="1"/>
  <c r="L3" i="12"/>
  <c r="M3" i="12" s="1"/>
  <c r="L166" i="12"/>
  <c r="M166" i="12" s="1"/>
  <c r="L162" i="12"/>
  <c r="M162" i="12" s="1"/>
  <c r="L158" i="12"/>
  <c r="M158" i="12" s="1"/>
  <c r="L154" i="12"/>
  <c r="M154" i="12" s="1"/>
  <c r="L150" i="12"/>
  <c r="M150" i="12" s="1"/>
  <c r="L146" i="12"/>
  <c r="M146" i="12" s="1"/>
  <c r="L142" i="12"/>
  <c r="M142" i="12" s="1"/>
  <c r="L138" i="12"/>
  <c r="M138" i="12" s="1"/>
  <c r="L134" i="12"/>
  <c r="M134" i="12" s="1"/>
  <c r="L130" i="12"/>
  <c r="M130" i="12" s="1"/>
  <c r="L126" i="12"/>
  <c r="M126" i="12" s="1"/>
  <c r="L122" i="12"/>
  <c r="M122" i="12" s="1"/>
  <c r="L118" i="12"/>
  <c r="M118" i="12" s="1"/>
  <c r="L114" i="12"/>
  <c r="M114" i="12" s="1"/>
  <c r="L110" i="12"/>
  <c r="M110" i="12" s="1"/>
  <c r="L106" i="12"/>
  <c r="M106" i="12" s="1"/>
  <c r="L102" i="12"/>
  <c r="M102" i="12" s="1"/>
  <c r="L98" i="12"/>
  <c r="M98" i="12" s="1"/>
  <c r="L94" i="12"/>
  <c r="M94" i="12" s="1"/>
  <c r="L90" i="12"/>
  <c r="M90" i="12" s="1"/>
  <c r="L86" i="12"/>
  <c r="M86" i="12" s="1"/>
  <c r="L82" i="12"/>
  <c r="M82" i="12" s="1"/>
  <c r="L78" i="12"/>
  <c r="M78" i="12" s="1"/>
  <c r="L74" i="12"/>
  <c r="M74" i="12" s="1"/>
  <c r="L70" i="12"/>
  <c r="M70" i="12" s="1"/>
  <c r="L66" i="12"/>
  <c r="M66" i="12" s="1"/>
  <c r="L62" i="12"/>
  <c r="M62" i="12" s="1"/>
  <c r="L58" i="12"/>
  <c r="M58" i="12" s="1"/>
  <c r="L54" i="12"/>
  <c r="M54" i="12" s="1"/>
  <c r="L50" i="12"/>
  <c r="M50" i="12" s="1"/>
  <c r="L46" i="12"/>
  <c r="M46" i="12" s="1"/>
  <c r="L42" i="12"/>
  <c r="M42" i="12" s="1"/>
  <c r="L38" i="12"/>
  <c r="M38" i="12" s="1"/>
  <c r="L34" i="12"/>
  <c r="M34" i="12" s="1"/>
  <c r="L30" i="12"/>
  <c r="M30" i="12" s="1"/>
  <c r="L26" i="12"/>
  <c r="M26" i="12" s="1"/>
  <c r="L22" i="12"/>
  <c r="M22" i="12" s="1"/>
  <c r="L18" i="12"/>
  <c r="M18" i="12" s="1"/>
  <c r="L14" i="12"/>
  <c r="M14" i="12" s="1"/>
  <c r="L10" i="12"/>
  <c r="M10" i="12" s="1"/>
  <c r="L6" i="12"/>
  <c r="M6" i="12" s="1"/>
  <c r="L2" i="12"/>
  <c r="M2" i="1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9FE708-7EB4-4EF8-9BB5-71CB09A1CA84}" keepAlive="1" name="Requête - CLIENT" description="Connexion à la requête « CLIENT » dans le classeur." type="5" refreshedVersion="8" background="1" saveData="1">
    <dbPr connection="Provider=Microsoft.Mashup.OleDb.1;Data Source=$Workbook$;Location=CLIENT;Extended Properties=&quot;&quot;" command="SELECT * FROM [CLIENT]"/>
  </connection>
  <connection id="2" xr16:uid="{1F3EC982-7002-4C25-88F0-158CEA89F7ED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C3B291BB-0B39-4685-8135-759E03C52771}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xr16:uid="{B64200BB-6F77-4A22-8348-1559EE396093}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xr16:uid="{B03680CF-F591-4201-80FE-CDFCFD6A4470}" keepAlive="1" name="Requête - Exemple de fichier (4)" description="Connexion à la requête « Exemple de fichier (4) » dans le classeur." type="5" refreshedVersion="0" background="1">
    <dbPr connection="Provider=Microsoft.Mashup.OleDb.1;Data Source=$Workbook$;Location=&quot;Exemple de fichier (4)&quot;;Extended Properties=&quot;&quot;" command="SELECT * FROM [Exemple de fichier (4)]"/>
  </connection>
  <connection id="6" xr16:uid="{AC3DD044-EC2C-4079-BF45-6F85A7C81414}" keepAlive="1" name="Requête - Exemple de fichier (5)" description="Connexion à la requête « Exemple de fichier (5) » dans le classeur." type="5" refreshedVersion="0" background="1">
    <dbPr connection="Provider=Microsoft.Mashup.OleDb.1;Data Source=$Workbook$;Location=&quot;Exemple de fichier (5)&quot;;Extended Properties=&quot;&quot;" command="SELECT * FROM [Exemple de fichier (5)]"/>
  </connection>
  <connection id="7" xr16:uid="{5CCC46CE-3789-418B-8DC6-7B8531CF46B4}" keepAlive="1" name="Requête - Fusionner1" description="Connexion à la requête « Fusionner1 » dans le classeur." type="5" refreshedVersion="8" background="1" saveData="1">
    <dbPr connection="Provider=Microsoft.Mashup.OleDb.1;Data Source=$Workbook$;Location=Fusionner1;Extended Properties=&quot;&quot;" command="SELECT * FROM [Fusionner1]"/>
  </connection>
  <connection id="8" xr16:uid="{33611333-5106-4781-BED3-12BE904CA213}" keepAlive="1" name="Requête - LOGS Rx" description="Connexion à la requête « LOGS Rx » dans le classeur." type="5" refreshedVersion="8" background="1" saveData="1">
    <dbPr connection="Provider=Microsoft.Mashup.OleDb.1;Data Source=$Workbook$;Location=&quot;LOGS Rx&quot;;Extended Properties=&quot;&quot;" command="SELECT * FROM [LOGS Rx]"/>
  </connection>
  <connection id="9" xr16:uid="{E3CC948D-681F-4D24-A438-42804C73C237}" keepAlive="1" name="Requête - LOGS Rx (2)" description="Connexion à la requête « LOGS Rx (2) » dans le classeur." type="5" refreshedVersion="8" background="1" saveData="1">
    <dbPr connection="Provider=Microsoft.Mashup.OleDb.1;Data Source=$Workbook$;Location=&quot;LOGS Rx (2)&quot;;Extended Properties=&quot;&quot;" command="SELECT * FROM [LOGS Rx (2)]"/>
  </connection>
  <connection id="10" xr16:uid="{787063CF-063B-4991-8707-973D7FC678F3}" keepAlive="1" name="Requête - LOGS Rx (3)" description="Connexion à la requête « LOGS Rx (3) » dans le classeur." type="5" refreshedVersion="8" background="1" saveData="1">
    <dbPr connection="Provider=Microsoft.Mashup.OleDb.1;Data Source=$Workbook$;Location=&quot;LOGS Rx (3)&quot;;Extended Properties=&quot;&quot;" command="SELECT * FROM [LOGS Rx (3)]"/>
  </connection>
  <connection id="11" xr16:uid="{C639110B-3147-44CC-B87E-E298B13923C0}" keepAlive="1" name="Requête - LOGS Rx (4)" description="Connexion à la requête « LOGS Rx (4) » dans le classeur." type="5" refreshedVersion="8" background="1" saveData="1">
    <dbPr connection="Provider=Microsoft.Mashup.OleDb.1;Data Source=$Workbook$;Location=&quot;LOGS Rx (4)&quot;;Extended Properties=&quot;&quot;" command="SELECT * FROM [LOGS Rx (4)]"/>
  </connection>
  <connection id="12" xr16:uid="{24206E39-7147-453E-A441-AAE15B6EF17D}" keepAlive="1" name="Requête - MAINTENANCE" description="Connexion à la requête « MAINTENANCE » dans le classeur." type="5" refreshedVersion="8" background="1" saveData="1">
    <dbPr connection="Provider=Microsoft.Mashup.OleDb.1;Data Source=$Workbook$;Location=MAINTENANCE;Extended Properties=&quot;&quot;" command="SELECT * FROM [MAINTENANCE]"/>
  </connection>
  <connection id="13" xr16:uid="{65AC44D7-DF86-461B-972C-6994D33AAE39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14" xr16:uid="{48751D55-D3F1-481B-9728-B064FB3F1537}" keepAlive="1" name="Requête - Paramètre2" description="Connexion à la requête « Paramètre2 » dans le classeur." type="5" refreshedVersion="0" background="1">
    <dbPr connection="Provider=Microsoft.Mashup.OleDb.1;Data Source=$Workbook$;Location=Paramètre2;Extended Properties=&quot;&quot;" command="SELECT * FROM [Paramètre2]"/>
  </connection>
  <connection id="15" xr16:uid="{8E57533E-3F40-458F-A5A2-5301AB910181}" keepAlive="1" name="Requête - Paramètre3" description="Connexion à la requête « Paramètre3 » dans le classeur." type="5" refreshedVersion="0" background="1">
    <dbPr connection="Provider=Microsoft.Mashup.OleDb.1;Data Source=$Workbook$;Location=Paramètre3;Extended Properties=&quot;&quot;" command="SELECT * FROM [Paramètre3]"/>
  </connection>
  <connection id="16" xr16:uid="{E5C0CE89-25AB-4587-B47C-3AE6C7C2427D}" keepAlive="1" name="Requête - Paramètre4" description="Connexion à la requête « Paramètre4 » dans le classeur." type="5" refreshedVersion="0" background="1">
    <dbPr connection="Provider=Microsoft.Mashup.OleDb.1;Data Source=$Workbook$;Location=Paramètre4;Extended Properties=&quot;&quot;" command="SELECT * FROM [Paramètre4]"/>
  </connection>
  <connection id="17" xr16:uid="{A8227659-8F1B-4ED3-887B-1AACB761797E}" keepAlive="1" name="Requête - Paramètre5" description="Connexion à la requête « Paramètre5 » dans le classeur." type="5" refreshedVersion="0" background="1">
    <dbPr connection="Provider=Microsoft.Mashup.OleDb.1;Data Source=$Workbook$;Location=Paramètre5;Extended Properties=&quot;&quot;" command="SELECT * FROM [Paramètre5]"/>
  </connection>
  <connection id="18" xr16:uid="{4C4BB8DC-3A67-4F2E-8008-BB85892C0D14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19" xr16:uid="{64033D51-43BB-4D02-8002-6951AD831F4F}" keepAlive="1" name="Requête - Transformer le fichier (2)" description="Connexion à la requête « Transformer le fichier (2) » dans le classeur." type="5" refreshedVersion="0" background="1">
    <dbPr connection="Provider=Microsoft.Mashup.OleDb.1;Data Source=$Workbook$;Location=&quot;Transformer le fichier (2)&quot;;Extended Properties=&quot;&quot;" command="SELECT * FROM [Transformer le fichier (2)]"/>
  </connection>
  <connection id="20" xr16:uid="{C7E7D64B-8582-422E-9AD4-FDBD4D0EDD97}" keepAlive="1" name="Requête - Transformer le fichier (3)" description="Connexion à la requête « Transformer le fichier (3) » dans le classeur." type="5" refreshedVersion="0" background="1">
    <dbPr connection="Provider=Microsoft.Mashup.OleDb.1;Data Source=$Workbook$;Location=&quot;Transformer le fichier (3)&quot;;Extended Properties=&quot;&quot;" command="SELECT * FROM [Transformer le fichier (3)]"/>
  </connection>
  <connection id="21" xr16:uid="{F1C77287-9010-47BA-8B6C-14B4F7A95D0C}" keepAlive="1" name="Requête - Transformer le fichier (4)" description="Connexion à la requête « Transformer le fichier (4) » dans le classeur." type="5" refreshedVersion="0" background="1">
    <dbPr connection="Provider=Microsoft.Mashup.OleDb.1;Data Source=$Workbook$;Location=&quot;Transformer le fichier (4)&quot;;Extended Properties=&quot;&quot;" command="SELECT * FROM [Transformer le fichier (4)]"/>
  </connection>
  <connection id="22" xr16:uid="{8E62C98A-0509-499D-BEF8-029679235315}" keepAlive="1" name="Requête - Transformer le fichier (5)" description="Connexion à la requête « Transformer le fichier (5) » dans le classeur." type="5" refreshedVersion="0" background="1">
    <dbPr connection="Provider=Microsoft.Mashup.OleDb.1;Data Source=$Workbook$;Location=&quot;Transformer le fichier (5)&quot;;Extended Properties=&quot;&quot;" command="SELECT * FROM [Transformer le fichier (5)]"/>
  </connection>
  <connection id="23" xr16:uid="{28DCA9CB-E06F-4BA6-9046-F3131E8424CD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  <connection id="24" xr16:uid="{C7A517BE-6597-4C9E-8BCD-459E92CD1878}" keepAlive="1" name="Requête - Transformer l'exemple de fichier (2)" description="Connexion à la requête « Transformer l'exemple de fichier (2) » dans le classeur." type="5" refreshedVersion="0" background="1">
    <dbPr connection="Provider=Microsoft.Mashup.OleDb.1;Data Source=$Workbook$;Location=&quot;Transformer l'exemple de fichier (2)&quot;;Extended Properties=&quot;&quot;" command="SELECT * FROM [Transformer l'exemple de fichier (2)]"/>
  </connection>
  <connection id="25" xr16:uid="{A41F7FDA-FA0A-4B72-8B16-1FC47B8F1A69}" keepAlive="1" name="Requête - Transformer l'exemple de fichier (3)" description="Connexion à la requête « Transformer l'exemple de fichier (3) » dans le classeur." type="5" refreshedVersion="0" background="1">
    <dbPr connection="Provider=Microsoft.Mashup.OleDb.1;Data Source=$Workbook$;Location=&quot;Transformer l'exemple de fichier (3)&quot;;Extended Properties=&quot;&quot;" command="SELECT * FROM [Transformer l'exemple de fichier (3)]"/>
  </connection>
  <connection id="26" xr16:uid="{BEB20FE3-4375-4780-85EC-A1A5E682400C}" keepAlive="1" name="Requête - Transformer l'exemple de fichier (4)" description="Connexion à la requête « Transformer l'exemple de fichier (4) » dans le classeur." type="5" refreshedVersion="0" background="1">
    <dbPr connection="Provider=Microsoft.Mashup.OleDb.1;Data Source=$Workbook$;Location=&quot;Transformer l'exemple de fichier (4)&quot;;Extended Properties=&quot;&quot;" command="SELECT * FROM [Transformer l'exemple de fichier (4)]"/>
  </connection>
  <connection id="27" xr16:uid="{1DA84FB7-16BD-4465-B6FF-2ECF42EA4921}" keepAlive="1" name="Requête - Transformer l'exemple de fichier (5)" description="Connexion à la requête « Transformer l'exemple de fichier (5) » dans le classeur." type="5" refreshedVersion="0" background="1">
    <dbPr connection="Provider=Microsoft.Mashup.OleDb.1;Data Source=$Workbook$;Location=&quot;Transformer l'exemple de fichier (5)&quot;;Extended Properties=&quot;&quot;" command="SELECT * FROM [Transformer l'exemple de fichier (5)]"/>
  </connection>
  <connection id="28" xr16:uid="{C5AC2916-AE29-4BD1-B4B5-69A295840D06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9" xr16:uid="{5F26D2B3-48E6-487E-AAE9-9CFE1FA2EA84}" name="WorksheetConnection_KADEA_TELCO.xlsx!LOGS_Rx5" type="102" refreshedVersion="8" minRefreshableVersion="5">
    <extLst>
      <ext xmlns:x15="http://schemas.microsoft.com/office/spreadsheetml/2010/11/main" uri="{DE250136-89BD-433C-8126-D09CA5730AF9}">
        <x15:connection id="LOGS_Rx5" autoDelete="1">
          <x15:rangePr sourceName="_xlcn.WorksheetConnection_KADEA_TELCO.xlsxLOGS_Rx51"/>
        </x15:connection>
      </ext>
    </extLst>
  </connection>
</connections>
</file>

<file path=xl/sharedStrings.xml><?xml version="1.0" encoding="utf-8"?>
<sst xmlns="http://schemas.openxmlformats.org/spreadsheetml/2006/main" count="11756" uniqueCount="1657">
  <si>
    <t>Source.Name</t>
  </si>
  <si>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</si>
  <si>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</si>
  <si>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</si>
  <si>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</si>
  <si>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</si>
  <si>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</si>
  <si>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</si>
  <si>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Clients_Churn_Part_01.xlsx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</si>
  <si>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</si>
  <si>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</si>
  <si>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</si>
  <si>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</si>
  <si>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</si>
  <si>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</si>
  <si>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</si>
  <si>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</si>
  <si>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</si>
  <si>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</si>
  <si>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</si>
  <si>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</si>
  <si>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</si>
  <si>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</si>
  <si>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</si>
  <si>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</si>
  <si>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</si>
  <si>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</si>
  <si>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</si>
  <si>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</si>
  <si>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</si>
  <si>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</si>
  <si>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</si>
  <si>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</si>
  <si>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</si>
  <si>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</si>
  <si>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</si>
  <si>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</si>
  <si>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</si>
  <si>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</si>
  <si>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</si>
  <si>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</si>
  <si>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</si>
  <si>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</si>
  <si>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</si>
  <si>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</si>
  <si>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</si>
  <si>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</si>
  <si>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</si>
  <si>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</si>
  <si>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</si>
  <si>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</si>
  <si>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</si>
  <si>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</si>
  <si>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</si>
  <si>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</si>
  <si>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</si>
  <si>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</si>
  <si>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</si>
  <si>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</si>
  <si>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</si>
  <si>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</si>
  <si>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</si>
  <si>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</si>
  <si>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</si>
  <si>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</si>
  <si>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</si>
  <si>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</si>
  <si>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</si>
  <si>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</si>
  <si>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</si>
  <si>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</si>
  <si>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</si>
  <si>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</si>
  <si>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</si>
  <si>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</si>
  <si>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</si>
  <si>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</si>
  <si>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</si>
  <si>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</si>
  <si>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Clients_Churn_Part_02.xlsx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</si>
  <si>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</si>
  <si>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</si>
  <si>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</si>
  <si>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</si>
  <si>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</si>
  <si>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</si>
  <si>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</si>
  <si>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</si>
  <si>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</si>
  <si>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</si>
  <si>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</si>
  <si>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</si>
  <si>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</si>
  <si>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</si>
  <si>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CLI-00516</t>
  </si>
  <si>
    <t>CLI-01017</t>
  </si>
  <si>
    <t>CLI-01812</t>
  </si>
  <si>
    <t>CLI-01964</t>
  </si>
  <si>
    <t>CLI-00488</t>
  </si>
  <si>
    <t>CLI-00251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</si>
  <si>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</si>
  <si>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</si>
  <si>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</si>
  <si>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</si>
  <si>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</si>
  <si>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</si>
  <si>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</si>
  <si>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</si>
  <si>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</si>
  <si>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</si>
  <si>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</si>
  <si>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</si>
  <si>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</si>
  <si>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</si>
  <si>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</si>
  <si>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</si>
  <si>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</si>
  <si>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</si>
  <si>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</si>
  <si>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</si>
  <si>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</si>
  <si>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</si>
  <si>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</si>
  <si>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CLI-01768</t>
  </si>
  <si>
    <t>CLI-00115</t>
  </si>
  <si>
    <t>CLI-01005</t>
  </si>
  <si>
    <t>Lualaba</t>
  </si>
  <si>
    <t>CLI-01093</t>
  </si>
  <si>
    <t>CLI-00768</t>
  </si>
  <si>
    <t>Clients_Churn_Part_03.xlsx</t>
  </si>
  <si>
    <t>CLI-01433</t>
  </si>
  <si>
    <t>CLI-00232</t>
  </si>
  <si>
    <t>CLI-00649</t>
  </si>
  <si>
    <t>CLI-01118</t>
  </si>
  <si>
    <t>CLI-00868</t>
  </si>
  <si>
    <t>CLI-00973</t>
  </si>
  <si>
    <t>CLI-00505</t>
  </si>
  <si>
    <t>CLI-01802</t>
  </si>
  <si>
    <t>CLI-01607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</si>
  <si>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</si>
  <si>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</si>
  <si>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</si>
  <si>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</si>
  <si>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</si>
  <si>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</si>
  <si>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</si>
  <si>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</si>
  <si>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</si>
  <si>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</si>
  <si>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</si>
  <si>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</si>
  <si>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</si>
  <si>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</si>
  <si>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</si>
  <si>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</si>
  <si>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</si>
  <si>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</si>
  <si>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</si>
  <si>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</si>
  <si>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CLI-00788</t>
  </si>
  <si>
    <t>CLI-00634</t>
  </si>
  <si>
    <t>CLI-01309</t>
  </si>
  <si>
    <t>CLI-01435</t>
  </si>
  <si>
    <t>CLI-01888</t>
  </si>
  <si>
    <t>CLI-01850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</si>
  <si>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</si>
  <si>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</si>
  <si>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</si>
  <si>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</si>
  <si>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</si>
  <si>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</si>
  <si>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</si>
  <si>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</si>
  <si>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</si>
  <si>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Clients_Churn_Part_04.xlsx</t>
  </si>
  <si>
    <t>CLI-00805</t>
  </si>
  <si>
    <t>CLI-00524</t>
  </si>
  <si>
    <t>CLI-01933</t>
  </si>
  <si>
    <t>CLI-01685</t>
  </si>
  <si>
    <t>CLI-01550</t>
  </si>
  <si>
    <t>CLI-00483</t>
  </si>
  <si>
    <t>CLI-00610</t>
  </si>
  <si>
    <t>CLI-00431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</si>
  <si>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</si>
  <si>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</si>
  <si>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</si>
  <si>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</si>
  <si>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</si>
  <si>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</si>
  <si>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</si>
  <si>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</si>
  <si>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</si>
  <si>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</si>
  <si>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</si>
  <si>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</si>
  <si>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</si>
  <si>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</si>
  <si>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</si>
  <si>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</si>
  <si>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</si>
  <si>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</si>
  <si>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</si>
  <si>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</si>
  <si>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</si>
  <si>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</si>
  <si>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</si>
  <si>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</si>
  <si>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</si>
  <si>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</si>
  <si>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</si>
  <si>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CLI-01839</t>
  </si>
  <si>
    <t>CLI-01431</t>
  </si>
  <si>
    <t>CLI-00535</t>
  </si>
  <si>
    <t>CLI-01037</t>
  </si>
  <si>
    <t>CLI-00136</t>
  </si>
  <si>
    <t>CLI-00862</t>
  </si>
  <si>
    <t>CLI-01234</t>
  </si>
  <si>
    <t>CLI-01494</t>
  </si>
  <si>
    <t>CLI-01666</t>
  </si>
  <si>
    <t>CLI-01122</t>
  </si>
  <si>
    <t>Clients_Churn_Part_05.xlsx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</si>
  <si>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</si>
  <si>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</si>
  <si>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</si>
  <si>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</si>
  <si>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</si>
  <si>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</si>
  <si>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</si>
  <si>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</si>
  <si>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</si>
  <si>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</si>
  <si>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</si>
  <si>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</si>
  <si>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</si>
  <si>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</si>
  <si>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</si>
  <si>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</si>
  <si>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</si>
  <si>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</si>
  <si>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</si>
  <si>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CLI-01970</t>
  </si>
  <si>
    <t>CLI-01180</t>
  </si>
  <si>
    <t>CLI-00169</t>
  </si>
  <si>
    <t>CLI-00227</t>
  </si>
  <si>
    <t>CLI-00324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</si>
  <si>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</si>
  <si>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</si>
  <si>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</si>
  <si>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</si>
  <si>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</si>
  <si>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</si>
  <si>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</si>
  <si>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</si>
  <si>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</si>
  <si>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</si>
  <si>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</si>
  <si>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</si>
  <si>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</si>
  <si>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</si>
  <si>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</si>
  <si>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</si>
  <si>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</si>
  <si>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</si>
  <si>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CLI-01408</t>
  </si>
  <si>
    <t>CLI-01694</t>
  </si>
  <si>
    <t>CLI-00671</t>
  </si>
  <si>
    <t>CLI-01638</t>
  </si>
  <si>
    <t>Clients_Churn_Part_06.xlsx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</si>
  <si>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</si>
  <si>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</si>
  <si>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</si>
  <si>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</si>
  <si>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</si>
  <si>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</si>
  <si>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</si>
  <si>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</si>
  <si>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</si>
  <si>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</si>
  <si>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</si>
  <si>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</si>
  <si>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</si>
  <si>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</si>
  <si>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</si>
  <si>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</si>
  <si>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</si>
  <si>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</si>
  <si>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</si>
  <si>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</si>
  <si>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</si>
  <si>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</si>
  <si>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</si>
  <si>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</si>
  <si>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</si>
  <si>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</si>
  <si>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</si>
  <si>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</si>
  <si>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</si>
  <si>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</si>
  <si>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</si>
  <si>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</si>
  <si>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</si>
  <si>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</si>
  <si>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</si>
  <si>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</si>
  <si>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</si>
  <si>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</si>
  <si>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</si>
  <si>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</si>
  <si>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</si>
  <si>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</si>
  <si>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</si>
  <si>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</si>
  <si>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</si>
  <si>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</si>
  <si>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Clients_Churn_Part_07.xlsx</t>
  </si>
  <si>
    <t>CLI-01835</t>
  </si>
  <si>
    <t>CLI-01602</t>
  </si>
  <si>
    <t>CLI-00546</t>
  </si>
  <si>
    <t>CLI-00590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</si>
  <si>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</si>
  <si>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</si>
  <si>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</si>
  <si>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</si>
  <si>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</si>
  <si>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</si>
  <si>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</si>
  <si>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</si>
  <si>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</si>
  <si>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</si>
  <si>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CLI-00388</t>
  </si>
  <si>
    <t>CLI-00857</t>
  </si>
  <si>
    <t>CLI-00370</t>
  </si>
  <si>
    <t>CLI-01938</t>
  </si>
  <si>
    <t>CLI-01623</t>
  </si>
  <si>
    <t>CLI-00299</t>
  </si>
  <si>
    <t>CLI-00595</t>
  </si>
  <si>
    <t>CLI-01729</t>
  </si>
  <si>
    <t>CLI-01844</t>
  </si>
  <si>
    <t>CLI-01877</t>
  </si>
  <si>
    <t>CLI-00924</t>
  </si>
  <si>
    <t>CLI-00509</t>
  </si>
  <si>
    <t>CLI-01194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</si>
  <si>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</si>
  <si>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</si>
  <si>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</si>
  <si>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</si>
  <si>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</si>
  <si>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</si>
  <si>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</si>
  <si>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</si>
  <si>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</si>
  <si>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</si>
  <si>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</si>
  <si>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</si>
  <si>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</si>
  <si>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</si>
  <si>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</si>
  <si>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</si>
  <si>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</si>
  <si>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</si>
  <si>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Clients_Churn_Part_08.xlsx</t>
  </si>
  <si>
    <t>CLI-00150</t>
  </si>
  <si>
    <t>CLI-00196</t>
  </si>
  <si>
    <t>CLI-01141</t>
  </si>
  <si>
    <t>CLI-00121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</si>
  <si>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</si>
  <si>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</si>
  <si>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</si>
  <si>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</si>
  <si>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</si>
  <si>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</si>
  <si>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</si>
  <si>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CLI-01920</t>
  </si>
  <si>
    <t>CLI-00094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</si>
  <si>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</si>
  <si>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</si>
  <si>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</si>
  <si>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</si>
  <si>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</si>
  <si>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</si>
  <si>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</si>
  <si>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</si>
  <si>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</si>
  <si>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</si>
  <si>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</si>
  <si>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</si>
  <si>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</si>
  <si>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</si>
  <si>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CLI-01032</t>
  </si>
  <si>
    <t>CLI-01010</t>
  </si>
  <si>
    <t>CLI-00695</t>
  </si>
  <si>
    <t>CLI-00959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</si>
  <si>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</si>
  <si>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</si>
  <si>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</si>
  <si>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</si>
  <si>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</si>
  <si>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</si>
  <si>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</si>
  <si>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</si>
  <si>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</si>
  <si>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</si>
  <si>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</si>
  <si>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</si>
  <si>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</si>
  <si>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</si>
  <si>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Clients_Churn_Part_09.xlsx</t>
  </si>
  <si>
    <t>CLI-00739</t>
  </si>
  <si>
    <t>CLI-00881</t>
  </si>
  <si>
    <t>CLI-01687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</si>
  <si>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</si>
  <si>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</si>
  <si>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</si>
  <si>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</si>
  <si>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</si>
  <si>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</si>
  <si>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</si>
  <si>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</si>
  <si>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</si>
  <si>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</si>
  <si>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</si>
  <si>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</si>
  <si>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</si>
  <si>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</si>
  <si>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</si>
  <si>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</si>
  <si>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</si>
  <si>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</si>
  <si>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</si>
  <si>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</si>
  <si>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</si>
  <si>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</si>
  <si>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</si>
  <si>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</si>
  <si>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</si>
  <si>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</si>
  <si>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</si>
  <si>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</si>
  <si>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</si>
  <si>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</si>
  <si>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</si>
  <si>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</si>
  <si>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</si>
  <si>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</si>
  <si>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</si>
  <si>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</si>
  <si>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</si>
  <si>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</si>
  <si>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CLI-01475</t>
  </si>
  <si>
    <t>CLI-00304</t>
  </si>
  <si>
    <t>CLI-00716</t>
  </si>
  <si>
    <t>CLI-00192</t>
  </si>
  <si>
    <t>CLI-00418</t>
  </si>
  <si>
    <t>Clients_Churn_Part_10.xlsx</t>
  </si>
  <si>
    <t>CLI-00582</t>
  </si>
  <si>
    <t>CLI-01682</t>
  </si>
  <si>
    <t>CLI-01536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</si>
  <si>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</si>
  <si>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</si>
  <si>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</si>
  <si>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</si>
  <si>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</si>
  <si>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</si>
  <si>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</si>
  <si>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</si>
  <si>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</si>
  <si>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</si>
  <si>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</si>
  <si>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</si>
  <si>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</si>
  <si>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</si>
  <si>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</si>
  <si>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</si>
  <si>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</si>
  <si>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</si>
  <si>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</si>
  <si>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</si>
  <si>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</si>
  <si>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</si>
  <si>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</si>
  <si>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</si>
  <si>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</si>
  <si>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</si>
  <si>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</si>
  <si>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CLI-01450</t>
  </si>
  <si>
    <t>CLI-01351</t>
  </si>
  <si>
    <t>CLI-01709</t>
  </si>
  <si>
    <t>CLI-01782</t>
  </si>
  <si>
    <t>CLI-00552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</si>
  <si>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</si>
  <si>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</si>
  <si>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</si>
  <si>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</si>
  <si>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</si>
  <si>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</si>
  <si>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</si>
  <si>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Clients_Churn_Part_11.xlsx</t>
  </si>
  <si>
    <t>CLI-00666</t>
  </si>
  <si>
    <t>CLI-01166</t>
  </si>
  <si>
    <t>CLI-00265</t>
  </si>
  <si>
    <t>CLI-00433</t>
  </si>
  <si>
    <t>CLI-00100</t>
  </si>
  <si>
    <t>CLI-01319</t>
  </si>
  <si>
    <t>CLI-01598</t>
  </si>
  <si>
    <t>CLI-01979</t>
  </si>
  <si>
    <t>CLI-00145</t>
  </si>
  <si>
    <t>CLI-01121</t>
  </si>
  <si>
    <t>CLI-01804</t>
  </si>
  <si>
    <t>CLI-00782</t>
  </si>
  <si>
    <t>CLI-00190</t>
  </si>
  <si>
    <t>CLI-00523</t>
  </si>
  <si>
    <t>CLI-00365</t>
  </si>
  <si>
    <t>CLI-00492</t>
  </si>
  <si>
    <t>CLI-01485</t>
  </si>
  <si>
    <t>CLI-01719</t>
  </si>
  <si>
    <t>CLI-01739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</si>
  <si>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</si>
  <si>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</si>
  <si>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</si>
  <si>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</si>
  <si>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</si>
  <si>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</si>
  <si>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</si>
  <si>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</si>
  <si>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</si>
  <si>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</si>
  <si>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</si>
  <si>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</si>
  <si>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</si>
  <si>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</si>
  <si>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</si>
  <si>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</si>
  <si>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</si>
  <si>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</si>
  <si>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</si>
  <si>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</si>
  <si>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</si>
  <si>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</si>
  <si>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CLI-00795</t>
  </si>
  <si>
    <t>CLI-00550</t>
  </si>
  <si>
    <t>Clients_Churn_Part_12.xlsx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</si>
  <si>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</si>
  <si>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</si>
  <si>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</si>
  <si>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</si>
  <si>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</si>
  <si>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</si>
  <si>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</si>
  <si>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</si>
  <si>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</si>
  <si>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</si>
  <si>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</si>
  <si>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</si>
  <si>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</si>
  <si>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</si>
  <si>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</si>
  <si>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</si>
  <si>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</si>
  <si>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</si>
  <si>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</si>
  <si>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</si>
  <si>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</si>
  <si>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</si>
  <si>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</si>
  <si>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</si>
  <si>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</si>
  <si>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</si>
  <si>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</si>
  <si>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</si>
  <si>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</si>
  <si>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</si>
  <si>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</si>
  <si>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</si>
  <si>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</si>
  <si>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</si>
  <si>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</si>
  <si>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</si>
  <si>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</si>
  <si>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</si>
  <si>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</si>
  <si>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</si>
  <si>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</si>
  <si>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</si>
  <si>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</si>
  <si>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</si>
  <si>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</si>
  <si>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</si>
  <si>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</si>
  <si>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</si>
  <si>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</si>
  <si>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</si>
  <si>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Clients_Churn_Part_13.xlsx</t>
  </si>
  <si>
    <t>CLI-01530</t>
  </si>
  <si>
    <t>CLI-00952</t>
  </si>
  <si>
    <t>CLI-01354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</si>
  <si>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</si>
  <si>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</si>
  <si>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</si>
  <si>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</si>
  <si>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</si>
  <si>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</si>
  <si>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</si>
  <si>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</si>
  <si>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</si>
  <si>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</si>
  <si>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</si>
  <si>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</si>
  <si>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</si>
  <si>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</si>
  <si>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</si>
  <si>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</si>
  <si>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</si>
  <si>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</si>
  <si>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</si>
  <si>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</si>
  <si>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</si>
  <si>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</si>
  <si>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</si>
  <si>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</si>
  <si>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</si>
  <si>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</si>
  <si>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</si>
  <si>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</si>
  <si>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</si>
  <si>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</si>
  <si>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</si>
  <si>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</si>
  <si>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</si>
  <si>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</si>
  <si>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</si>
  <si>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</si>
  <si>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</si>
  <si>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</si>
  <si>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</si>
  <si>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</si>
  <si>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</si>
  <si>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</si>
  <si>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</si>
  <si>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</si>
  <si>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</si>
  <si>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Clients_Churn_Part_14.xlsx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</si>
  <si>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</si>
  <si>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</si>
  <si>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</si>
  <si>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</si>
  <si>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</si>
  <si>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</si>
  <si>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</si>
  <si>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CLI-00257</t>
  </si>
  <si>
    <t>CLI-00277</t>
  </si>
  <si>
    <t>CLI-01714</t>
  </si>
  <si>
    <t>CLI-01701</t>
  </si>
  <si>
    <t>CLI-01949</t>
  </si>
  <si>
    <t>CLI-00386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</si>
  <si>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</si>
  <si>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</si>
  <si>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</si>
  <si>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</si>
  <si>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</si>
  <si>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</si>
  <si>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</si>
  <si>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</si>
  <si>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</si>
  <si>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</si>
  <si>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</si>
  <si>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</si>
  <si>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</si>
  <si>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</si>
  <si>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</si>
  <si>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</si>
  <si>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</si>
  <si>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</si>
  <si>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</si>
  <si>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</si>
  <si>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</si>
  <si>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</si>
  <si>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</si>
  <si>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</si>
  <si>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CLI-00413</t>
  </si>
  <si>
    <t>CLI-01167</t>
  </si>
  <si>
    <t>CLI-00803</t>
  </si>
  <si>
    <t>CLI-00105</t>
  </si>
  <si>
    <t>CLI-00684</t>
  </si>
  <si>
    <t>CLI-01851</t>
  </si>
  <si>
    <t>CLI-00211</t>
  </si>
  <si>
    <t>Clients_Churn_Part_15.xlsx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</si>
  <si>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</si>
  <si>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</si>
  <si>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</si>
  <si>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</si>
  <si>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</si>
  <si>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</si>
  <si>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</si>
  <si>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</si>
  <si>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</si>
  <si>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</si>
  <si>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</si>
  <si>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</si>
  <si>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</si>
  <si>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</si>
  <si>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</si>
  <si>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CLI-00125</t>
  </si>
  <si>
    <t>CLI-01082</t>
  </si>
  <si>
    <t>CLI-00039</t>
  </si>
  <si>
    <t>CLI-01832</t>
  </si>
  <si>
    <t>CLI-01181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</si>
  <si>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</si>
  <si>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</si>
  <si>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</si>
  <si>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</si>
  <si>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</si>
  <si>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</si>
  <si>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</si>
  <si>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</si>
  <si>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CLI-01568</t>
  </si>
  <si>
    <t>CLI-01479</t>
  </si>
  <si>
    <t>CLI-01697</t>
  </si>
  <si>
    <t>CLI-00394</t>
  </si>
  <si>
    <t>CLI-00962</t>
  </si>
  <si>
    <t>CLI-00705</t>
  </si>
  <si>
    <t>CLI-00898</t>
  </si>
  <si>
    <t>CLI-00476</t>
  </si>
  <si>
    <t>CLI-00450</t>
  </si>
  <si>
    <t>CLI-01204</t>
  </si>
  <si>
    <t>CLI-01830</t>
  </si>
  <si>
    <t>CLI-01488</t>
  </si>
  <si>
    <t>CLI-00960</t>
  </si>
  <si>
    <t>CLI-01463</t>
  </si>
  <si>
    <t>CLI-00601</t>
  </si>
  <si>
    <t>Date_Heure_Panne</t>
  </si>
  <si>
    <t>Cell_ID</t>
  </si>
  <si>
    <t>Duree_Panne_Min</t>
  </si>
  <si>
    <t>Statut_Resolution</t>
  </si>
  <si>
    <t>Logs_Reseau_Part_01.xlsx</t>
  </si>
  <si>
    <t>ANT-0465</t>
  </si>
  <si>
    <t>Résolu</t>
  </si>
  <si>
    <t>ANT-0004</t>
  </si>
  <si>
    <t>ANT-0977</t>
  </si>
  <si>
    <t>Non Résolu</t>
  </si>
  <si>
    <t>ANT-0740</t>
  </si>
  <si>
    <t>En Cours</t>
  </si>
  <si>
    <t>ANT-0897</t>
  </si>
  <si>
    <t>ANT-0737</t>
  </si>
  <si>
    <t>ANT-0270</t>
  </si>
  <si>
    <t>ANT-0996</t>
  </si>
  <si>
    <t>ANT-0513</t>
  </si>
  <si>
    <t>ANT-0781</t>
  </si>
  <si>
    <t>ANT-0183</t>
  </si>
  <si>
    <t>ANT-0520</t>
  </si>
  <si>
    <t>ANT-0935</t>
  </si>
  <si>
    <t>ANT-0109</t>
  </si>
  <si>
    <t>ANT-0892</t>
  </si>
  <si>
    <t>ANT-0641</t>
  </si>
  <si>
    <t>ANT-0306</t>
  </si>
  <si>
    <t>ANT-0862</t>
  </si>
  <si>
    <t>ANT-0655</t>
  </si>
  <si>
    <t>ANT-0624</t>
  </si>
  <si>
    <t>ANT-0204</t>
  </si>
  <si>
    <t>ANT-0157</t>
  </si>
  <si>
    <t>ANT-0383</t>
  </si>
  <si>
    <t>ANT-0166</t>
  </si>
  <si>
    <t>ANT-0553</t>
  </si>
  <si>
    <t>ANT-0798</t>
  </si>
  <si>
    <t>ANT-0945</t>
  </si>
  <si>
    <t>ANT-0544</t>
  </si>
  <si>
    <t>ANT-0941</t>
  </si>
  <si>
    <t>ANT-0001</t>
  </si>
  <si>
    <t>ANT-0614</t>
  </si>
  <si>
    <t>ANT-0332</t>
  </si>
  <si>
    <t>ANT-0501</t>
  </si>
  <si>
    <t>ANT-0020</t>
  </si>
  <si>
    <t>ANT-0115</t>
  </si>
  <si>
    <t>ANT-0952</t>
  </si>
  <si>
    <t>ANT-0372</t>
  </si>
  <si>
    <t>ANT-0900</t>
  </si>
  <si>
    <t>ANT-0852</t>
  </si>
  <si>
    <t>ANT-0315</t>
  </si>
  <si>
    <t>ANT-0246</t>
  </si>
  <si>
    <t>ANT-0060</t>
  </si>
  <si>
    <t>ANT-0247</t>
  </si>
  <si>
    <t>ANT-0581</t>
  </si>
  <si>
    <t>ANT-0970</t>
  </si>
  <si>
    <t>Logs_Reseau_Part_02.xlsx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</si>
  <si>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</si>
  <si>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</si>
  <si>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</si>
  <si>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</si>
  <si>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</si>
  <si>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</si>
  <si>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</si>
  <si>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</si>
  <si>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ANT-0053</t>
  </si>
  <si>
    <t>ANT-0095</t>
  </si>
  <si>
    <t>ANT-0434</t>
  </si>
  <si>
    <t>ANT-0850</t>
  </si>
  <si>
    <t>ANT-0284</t>
  </si>
  <si>
    <t>ANT-0046</t>
  </si>
  <si>
    <t>ANT-0342</t>
  </si>
  <si>
    <t>ANT-0790</t>
  </si>
  <si>
    <t>ANT-0134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</si>
  <si>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</si>
  <si>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</si>
  <si>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</si>
  <si>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</si>
  <si>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</si>
  <si>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</si>
  <si>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</si>
  <si>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</si>
  <si>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ANT-0010</t>
  </si>
  <si>
    <t>ANT-0078</t>
  </si>
  <si>
    <t>ANT-0968</t>
  </si>
  <si>
    <t>ANT-0905</t>
  </si>
  <si>
    <t>ANT-0708</t>
  </si>
  <si>
    <t>ANT-0926</t>
  </si>
  <si>
    <t>ANT-0153</t>
  </si>
  <si>
    <t>ANT-0559</t>
  </si>
  <si>
    <t>ANT-0037</t>
  </si>
  <si>
    <t>ANT-0855</t>
  </si>
  <si>
    <t>ANT-0379</t>
  </si>
  <si>
    <t>ANT-0597</t>
  </si>
  <si>
    <t>ANT-0566</t>
  </si>
  <si>
    <t>ANT-0152</t>
  </si>
  <si>
    <t>ANT-0441</t>
  </si>
  <si>
    <t>ANT-0131</t>
  </si>
  <si>
    <t>ANT-0043</t>
  </si>
  <si>
    <t>ANT-0316</t>
  </si>
  <si>
    <t>Logs_Reseau_Part_03.xlsx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</si>
  <si>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</si>
  <si>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</si>
  <si>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</si>
  <si>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</si>
  <si>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</si>
  <si>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</si>
  <si>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</si>
  <si>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</si>
  <si>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</si>
  <si>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</si>
  <si>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</si>
  <si>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</si>
  <si>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</si>
  <si>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</si>
  <si>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</si>
  <si>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</si>
  <si>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</si>
  <si>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ANT-0163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</si>
  <si>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</si>
  <si>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</si>
  <si>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</si>
  <si>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</si>
  <si>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</si>
  <si>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</si>
  <si>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</si>
  <si>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</si>
  <si>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</si>
  <si>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</si>
  <si>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</si>
  <si>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</si>
  <si>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</si>
  <si>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</si>
  <si>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</si>
  <si>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</si>
  <si>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ANT-0080</t>
  </si>
  <si>
    <t>ANT-0731</t>
  </si>
  <si>
    <t>ANT-0293</t>
  </si>
  <si>
    <t>Logs_Reseau_Part_04.xlsx</t>
  </si>
  <si>
    <t>ANT-0287</t>
  </si>
  <si>
    <t>ANT-0902</t>
  </si>
  <si>
    <t>ANT-0611</t>
  </si>
  <si>
    <t>ANT-0719</t>
  </si>
  <si>
    <t>ANT-0283</t>
  </si>
  <si>
    <t>ANT-0570</t>
  </si>
  <si>
    <t>ANT-0011</t>
  </si>
  <si>
    <t>ANT-0530</t>
  </si>
  <si>
    <t>ANT-0971</t>
  </si>
  <si>
    <t>ANT-0196</t>
  </si>
  <si>
    <t>ANT-0088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</si>
  <si>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</si>
  <si>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</si>
  <si>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</si>
  <si>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</si>
  <si>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</si>
  <si>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</si>
  <si>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</si>
  <si>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</si>
  <si>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</si>
  <si>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</si>
  <si>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</si>
  <si>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ANT-0018</t>
  </si>
  <si>
    <t>ANT-0096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</si>
  <si>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</si>
  <si>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</si>
  <si>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</si>
  <si>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</si>
  <si>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</si>
  <si>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</si>
  <si>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</si>
  <si>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</si>
  <si>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</si>
  <si>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</si>
  <si>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</si>
  <si>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</si>
  <si>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</si>
  <si>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</si>
  <si>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</si>
  <si>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</si>
  <si>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Logs_Reseau_Part_05.xlsx</t>
  </si>
  <si>
    <t>ANT-0259</t>
  </si>
  <si>
    <t>ANT-0119</t>
  </si>
  <si>
    <t>ANT-0994</t>
  </si>
  <si>
    <t>ANT-0792</t>
  </si>
  <si>
    <t>ANT-0414</t>
  </si>
  <si>
    <t>ANT-0886</t>
  </si>
  <si>
    <t>ANT-0527</t>
  </si>
  <si>
    <t>ANT-0845</t>
  </si>
  <si>
    <t>ANT-0002</t>
  </si>
  <si>
    <t>ANT-0674</t>
  </si>
  <si>
    <t>ANT-0891</t>
  </si>
  <si>
    <t>ANT-0556</t>
  </si>
  <si>
    <t>ANT-0474</t>
  </si>
  <si>
    <t>ANT-0424</t>
  </si>
  <si>
    <t>ANT-0056</t>
  </si>
  <si>
    <t>ANT-0193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</si>
  <si>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</si>
  <si>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</si>
  <si>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</si>
  <si>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</si>
  <si>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</si>
  <si>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</si>
  <si>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</si>
  <si>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</si>
  <si>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</si>
  <si>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ANT-0135</t>
  </si>
  <si>
    <t>ANT-0950</t>
  </si>
  <si>
    <t>ANT-0295</t>
  </si>
  <si>
    <t>ANT-0449</t>
  </si>
  <si>
    <t>ANT-0716</t>
  </si>
  <si>
    <t>ANT-0125</t>
  </si>
  <si>
    <t>ANT-0030</t>
  </si>
  <si>
    <t>ANT-0997</t>
  </si>
  <si>
    <t>ANT-0646</t>
  </si>
  <si>
    <t>ANT-0819</t>
  </si>
  <si>
    <t>ANT-0727</t>
  </si>
  <si>
    <t>Logs_Reseau_Part_06.xlsx</t>
  </si>
  <si>
    <t>ANT-0739</t>
  </si>
  <si>
    <t>ANT-0786</t>
  </si>
  <si>
    <t>ANT-0698</t>
  </si>
  <si>
    <t>ANT-0859</t>
  </si>
  <si>
    <t>ANT-0141</t>
  </si>
  <si>
    <t>ANT-0644</t>
  </si>
  <si>
    <t>ANT-0100</t>
  </si>
  <si>
    <t>ANT-0643</t>
  </si>
  <si>
    <t>ANT-0041</t>
  </si>
  <si>
    <t>ANT-0317</t>
  </si>
  <si>
    <t>ANT-0808</t>
  </si>
  <si>
    <t>ANT-0452</t>
  </si>
  <si>
    <t>ANT-0035</t>
  </si>
  <si>
    <t>ANT-0594</t>
  </si>
  <si>
    <t>ANT-0374</t>
  </si>
  <si>
    <t>ANT-0750</t>
  </si>
  <si>
    <t>ANT-0093</t>
  </si>
  <si>
    <t>ANT-0932</t>
  </si>
  <si>
    <t>ANT-0303</t>
  </si>
  <si>
    <t>ANT-0335</t>
  </si>
  <si>
    <t>ANT-0766</t>
  </si>
  <si>
    <t>ANT-0426</t>
  </si>
  <si>
    <t>ANT-0180</t>
  </si>
  <si>
    <t>ANT-0206</t>
  </si>
  <si>
    <t>ANT-0136</t>
  </si>
  <si>
    <t>ANT-0806</t>
  </si>
  <si>
    <t>ANT-0898</t>
  </si>
  <si>
    <t>ANT-0995</t>
  </si>
  <si>
    <t>ANT-0375</t>
  </si>
  <si>
    <t>ANT-0514</t>
  </si>
  <si>
    <t>ANT-0936</t>
  </si>
  <si>
    <t>ANT-0280</t>
  </si>
  <si>
    <t>ANT-0169</t>
  </si>
  <si>
    <t>ANT-0264</t>
  </si>
  <si>
    <t>ANT-0967</t>
  </si>
  <si>
    <t>ANT-0494</t>
  </si>
  <si>
    <t>ANT-0991</t>
  </si>
  <si>
    <t>ANT-0826</t>
  </si>
  <si>
    <t>Logs_Reseau_Part_07.xlsx</t>
  </si>
  <si>
    <t>ANT-0111</t>
  </si>
  <si>
    <t>ANT-0730</t>
  </si>
  <si>
    <t>ANT-0455</t>
  </si>
  <si>
    <t>ANT-0076</t>
  </si>
  <si>
    <t>ANT-0921</t>
  </si>
  <si>
    <t>ANT-0083</t>
  </si>
  <si>
    <t>ANT-0330</t>
  </si>
  <si>
    <t>ANT-0623</t>
  </si>
  <si>
    <t>ANT-0068</t>
  </si>
  <si>
    <t>ANT-0130</t>
  </si>
  <si>
    <t>ANT-0640</t>
  </si>
  <si>
    <t>ANT-0649</t>
  </si>
  <si>
    <t>ANT-0600</t>
  </si>
  <si>
    <t>ANT-0333</t>
  </si>
  <si>
    <t>ANT-0391</t>
  </si>
  <si>
    <t>ANT-0612</t>
  </si>
  <si>
    <t>ANT-0620</t>
  </si>
  <si>
    <t>ANT-0102</t>
  </si>
  <si>
    <t>ANT-0813</t>
  </si>
  <si>
    <t>ANT-0118</t>
  </si>
  <si>
    <t>Logs_Reseau_Part_08.xlsx</t>
  </si>
  <si>
    <t>ANT-0656</t>
  </si>
  <si>
    <t>ANT-0428</t>
  </si>
  <si>
    <t>ANT-0022</t>
  </si>
  <si>
    <t>ANT-0990</t>
  </si>
  <si>
    <t>ANT-0176</t>
  </si>
  <si>
    <t>ANT-0821</t>
  </si>
  <si>
    <t>ANT-0633</t>
  </si>
  <si>
    <t>ANT-0472</t>
  </si>
  <si>
    <t>ANT-0707</t>
  </si>
  <si>
    <t>ANT-0942</t>
  </si>
  <si>
    <t>ANT-0091</t>
  </si>
  <si>
    <t>ANT-0448</t>
  </si>
  <si>
    <t>ANT-0865</t>
  </si>
  <si>
    <t>ANT-0447</t>
  </si>
  <si>
    <t>ANT-0604</t>
  </si>
  <si>
    <t>ANT-0411</t>
  </si>
  <si>
    <t>ANT-0537</t>
  </si>
  <si>
    <t>ANT-0081</t>
  </si>
  <si>
    <t>ANT-0406</t>
  </si>
  <si>
    <t>22/10/2023 02:17</t>
  </si>
  <si>
    <t>ANT-0318</t>
  </si>
  <si>
    <t>ANT-0348</t>
  </si>
  <si>
    <t>ANT-0173</t>
  </si>
  <si>
    <t>ANT-0079</t>
  </si>
  <si>
    <t>ANT-0523</t>
  </si>
  <si>
    <t>Logs_Reseau_Part_09.xlsx</t>
  </si>
  <si>
    <t>ANT-0989</t>
  </si>
  <si>
    <t>ANT-0829</t>
  </si>
  <si>
    <t>ANT-0804</t>
  </si>
  <si>
    <t>ANT-0481</t>
  </si>
  <si>
    <t>ANT-0856</t>
  </si>
  <si>
    <t>ANT-0199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</si>
  <si>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</si>
  <si>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</si>
  <si>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</si>
  <si>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</si>
  <si>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</si>
  <si>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</si>
  <si>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</si>
  <si>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</si>
  <si>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</si>
  <si>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</si>
  <si>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</si>
  <si>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</si>
  <si>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ANT-0142</t>
  </si>
  <si>
    <t>ANT-0894</t>
  </si>
  <si>
    <t>ANT-0257</t>
  </si>
  <si>
    <t>ANT-0054</t>
  </si>
  <si>
    <t>ANT-0657</t>
  </si>
  <si>
    <t>ANT-0493</t>
  </si>
  <si>
    <t>ANT-0896</t>
  </si>
  <si>
    <t>ANT-0381</t>
  </si>
  <si>
    <t>ANT-0568</t>
  </si>
  <si>
    <t>ANT-0957</t>
  </si>
  <si>
    <t>ANT-0106</t>
  </si>
  <si>
    <t>ANT-0529</t>
  </si>
  <si>
    <t>ANT-0872</t>
  </si>
  <si>
    <t>ANT-0128</t>
  </si>
  <si>
    <t>ANT-0292</t>
  </si>
  <si>
    <t>ANT-0086</t>
  </si>
  <si>
    <t>Logs_Reseau_Part_10.xlsx</t>
  </si>
  <si>
    <t>ANT-0360</t>
  </si>
  <si>
    <t>ANT-0458</t>
  </si>
  <si>
    <t>ANT-0044</t>
  </si>
  <si>
    <t>ant-0745</t>
  </si>
  <si>
    <t>ANT-0934</t>
  </si>
  <si>
    <t>ANT-0362</t>
  </si>
  <si>
    <t>ANT-0630</t>
  </si>
  <si>
    <t>ANT-0446</t>
  </si>
  <si>
    <t>ANT-0811</t>
  </si>
  <si>
    <t>ANT-0059</t>
  </si>
  <si>
    <t>ANT-0077</t>
  </si>
  <si>
    <t>ANT-0688</t>
  </si>
  <si>
    <t>ANT-0416</t>
  </si>
  <si>
    <t>ANT-0373</t>
  </si>
  <si>
    <t>ANT-0526</t>
  </si>
  <si>
    <t>ANT-0768</t>
  </si>
  <si>
    <t>ANT-0696</t>
  </si>
  <si>
    <t>ANT-0164</t>
  </si>
  <si>
    <t>ANT-0976</t>
  </si>
  <si>
    <t>ANT-0032</t>
  </si>
  <si>
    <t>ANT-0147</t>
  </si>
  <si>
    <t>ANT-0870</t>
  </si>
  <si>
    <t>ANT-0801</t>
  </si>
  <si>
    <t>ANT-0036</t>
  </si>
  <si>
    <t>ANT-0069</t>
  </si>
  <si>
    <t>ANT-0242</t>
  </si>
  <si>
    <t>ANT-0661</t>
  </si>
  <si>
    <t>Logs_Reseau_Part_11.xlsx</t>
  </si>
  <si>
    <t>ANT-0126</t>
  </si>
  <si>
    <t>ANT-0145</t>
  </si>
  <si>
    <t>ANT-0052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</si>
  <si>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</si>
  <si>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</si>
  <si>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</si>
  <si>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</si>
  <si>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</si>
  <si>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</si>
  <si>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</si>
  <si>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</si>
  <si>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</si>
  <si>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</si>
  <si>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</si>
  <si>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</si>
  <si>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</si>
  <si>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ANT-0195</t>
  </si>
  <si>
    <t>ANT-0782</t>
  </si>
  <si>
    <t>ANT-0528</t>
  </si>
  <si>
    <t>ANT-0479</t>
  </si>
  <si>
    <t>ANT-0901</t>
  </si>
  <si>
    <t>ANT-0510</t>
  </si>
  <si>
    <t>ANT-0024</t>
  </si>
  <si>
    <t>ANT-0403</t>
  </si>
  <si>
    <t>ant-0518</t>
  </si>
  <si>
    <t>ANT-0469</t>
  </si>
  <si>
    <t>ANT-0221</t>
  </si>
  <si>
    <t>ANT-0598</t>
  </si>
  <si>
    <t>Logs_Reseau_Part_12.xlsx</t>
  </si>
  <si>
    <t>ANT-0686</t>
  </si>
  <si>
    <t>ANT-0927</t>
  </si>
  <si>
    <t>ANT-0232</t>
  </si>
  <si>
    <t>ANT-0654</t>
  </si>
  <si>
    <t>ANT-0239</t>
  </si>
  <si>
    <t>ANT-0103</t>
  </si>
  <si>
    <t>ANT-0735</t>
  </si>
  <si>
    <t>ANT-0484</t>
  </si>
  <si>
    <t>ANT-0006</t>
  </si>
  <si>
    <t>ANT-0988</t>
  </si>
  <si>
    <t>ANT-0162</t>
  </si>
  <si>
    <t>ANT-0669</t>
  </si>
  <si>
    <t>ANT-0958</t>
  </si>
  <si>
    <t>ANT-0489</t>
  </si>
  <si>
    <t>ANT-0667</t>
  </si>
  <si>
    <t>ANT-0329</t>
  </si>
  <si>
    <t>ANT-0061</t>
  </si>
  <si>
    <t>ANT-0092</t>
  </si>
  <si>
    <t>ANT-0668</t>
  </si>
  <si>
    <t>ANT-0588</t>
  </si>
  <si>
    <t>ANT-0238</t>
  </si>
  <si>
    <t>ANT-0548</t>
  </si>
  <si>
    <t>ANT-0757</t>
  </si>
  <si>
    <t>Logs_Reseau_Part_13.xlsx</t>
  </si>
  <si>
    <t>ANT-0670</t>
  </si>
  <si>
    <t>ANT-0881</t>
  </si>
  <si>
    <t>ANT-0357</t>
  </si>
  <si>
    <t>ANT-0122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</si>
  <si>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</si>
  <si>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</si>
  <si>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</si>
  <si>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</si>
  <si>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</si>
  <si>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</si>
  <si>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</si>
  <si>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</si>
  <si>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</si>
  <si>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</si>
  <si>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</si>
  <si>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</si>
  <si>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</si>
  <si>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ANT-0159</t>
  </si>
  <si>
    <t>ANT-0194</t>
  </si>
  <si>
    <t>ANT-0960</t>
  </si>
  <si>
    <t>ANT-0743</t>
  </si>
  <si>
    <t>ANT-0784</t>
  </si>
  <si>
    <t>ANT-0116</t>
  </si>
  <si>
    <t>ANT-0033</t>
  </si>
  <si>
    <t>ANT-0677</t>
  </si>
  <si>
    <t>ANT-0430</t>
  </si>
  <si>
    <t>Logs_Reseau_Part_14.xlsx</t>
  </si>
  <si>
    <t>ANT-0007</t>
  </si>
  <si>
    <t>ANT-0422</t>
  </si>
  <si>
    <t>ANT-0013</t>
  </si>
  <si>
    <t>ANT-0543</t>
  </si>
  <si>
    <t>ANT-0549</t>
  </si>
  <si>
    <t>ANT-0294</t>
  </si>
  <si>
    <t>ANT-0833</t>
  </si>
  <si>
    <t>ANT-0715</t>
  </si>
  <si>
    <t>ANT-0691</t>
  </si>
  <si>
    <t>ANT-0963</t>
  </si>
  <si>
    <t>ANT-0184</t>
  </si>
  <si>
    <t>ANT-0110</t>
  </si>
  <si>
    <t>ANT-0099</t>
  </si>
  <si>
    <t>ANT-0197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</si>
  <si>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</si>
  <si>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</si>
  <si>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</si>
  <si>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</si>
  <si>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</si>
  <si>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</si>
  <si>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</si>
  <si>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</si>
  <si>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</si>
  <si>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</si>
  <si>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</si>
  <si>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</si>
  <si>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</si>
  <si>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Logs_Reseau_Part_15.xlsx</t>
  </si>
  <si>
    <t>ANT-0334</t>
  </si>
  <si>
    <t>ANT-0386</t>
  </si>
  <si>
    <t>ANT-0288</t>
  </si>
  <si>
    <t>ANT-0805</t>
  </si>
  <si>
    <t>ANT-0117</t>
  </si>
  <si>
    <t>ANT-0955</t>
  </si>
  <si>
    <t>ANT-0578</t>
  </si>
  <si>
    <t>ANT-0607</t>
  </si>
  <si>
    <t>ANT-0185</t>
  </si>
  <si>
    <t>ANT-0699</t>
  </si>
  <si>
    <t>ANT-0787</t>
  </si>
  <si>
    <t>ANT-0028</t>
  </si>
  <si>
    <t>ANT-0745</t>
  </si>
  <si>
    <t>ANT-0966</t>
  </si>
  <si>
    <t>ANT-0726</t>
  </si>
  <si>
    <t>ANT-0215</t>
  </si>
  <si>
    <t>ANT-0817</t>
  </si>
  <si>
    <t>ANT-0299</t>
  </si>
  <si>
    <t>ANT-0710</t>
  </si>
  <si>
    <t>ANT-0071</t>
  </si>
  <si>
    <t>ANT-0839</t>
  </si>
  <si>
    <t>ANT-0419</t>
  </si>
  <si>
    <t>ANT-0512</t>
  </si>
  <si>
    <t>ANT-0143</t>
  </si>
  <si>
    <t>ANT-0311</t>
  </si>
  <si>
    <t>Logs_Reseau_Part_16.xlsx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</si>
  <si>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</si>
  <si>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</si>
  <si>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</si>
  <si>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</si>
  <si>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</si>
  <si>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</si>
  <si>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</si>
  <si>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</si>
  <si>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</si>
  <si>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</si>
  <si>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</si>
  <si>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</si>
  <si>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</si>
  <si>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</si>
  <si>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</si>
  <si>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ANT-0105</t>
  </si>
  <si>
    <t>ANT-0754</t>
  </si>
  <si>
    <t>ANT-0305</t>
  </si>
  <si>
    <t>ANT-0034</t>
  </si>
  <si>
    <t>ANT-0090</t>
  </si>
  <si>
    <t>ANT-0450</t>
  </si>
  <si>
    <t>Logs_Reseau_Part_17.xlsx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</si>
  <si>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</si>
  <si>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</si>
  <si>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</si>
  <si>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</si>
  <si>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</si>
  <si>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</si>
  <si>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</si>
  <si>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</si>
  <si>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</si>
  <si>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</si>
  <si>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</si>
  <si>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</si>
  <si>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</si>
  <si>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</si>
  <si>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ANT-0073</t>
  </si>
  <si>
    <t>ANT-0911</t>
  </si>
  <si>
    <t>ANT-0370</t>
  </si>
  <si>
    <t>ANT-0397</t>
  </si>
  <si>
    <t>ANT-0882</t>
  </si>
  <si>
    <t>Logs_Reseau_Part_18.xlsx</t>
  </si>
  <si>
    <t>ANT-0244</t>
  </si>
  <si>
    <t>ANT-0504</t>
  </si>
  <si>
    <t>ANT-0985</t>
  </si>
  <si>
    <t>ANT-0062</t>
  </si>
  <si>
    <t>ANT-0146</t>
  </si>
  <si>
    <t>ANT-0045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</si>
  <si>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</si>
  <si>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</si>
  <si>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</si>
  <si>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</si>
  <si>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</si>
  <si>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</si>
  <si>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</si>
  <si>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</si>
  <si>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</si>
  <si>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ANT-0087</t>
  </si>
  <si>
    <t>ANT-0595</t>
  </si>
  <si>
    <t>ANT-0098</t>
  </si>
  <si>
    <t>ANT-0137</t>
  </si>
  <si>
    <t>ANT-0840</t>
  </si>
  <si>
    <t>ANT-0404</t>
  </si>
  <si>
    <t>ANT-0582</t>
  </si>
  <si>
    <t>ANT-0064</t>
  </si>
  <si>
    <t>ANT-0679</t>
  </si>
  <si>
    <t>ANT-0243</t>
  </si>
  <si>
    <t>ANT-0268</t>
  </si>
  <si>
    <t>Logs_Reseau_Part_19.xlsx</t>
  </si>
  <si>
    <t>ANT-0326</t>
  </si>
  <si>
    <t>ANT-0756</t>
  </si>
  <si>
    <t>ANT-0368</t>
  </si>
  <si>
    <t>ANT-0606</t>
  </si>
  <si>
    <t>ANT-0029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</si>
  <si>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</si>
  <si>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</si>
  <si>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</si>
  <si>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</si>
  <si>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</si>
  <si>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</si>
  <si>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</si>
  <si>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</si>
  <si>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ANT-0039</t>
  </si>
  <si>
    <t>ANT-0058</t>
  </si>
  <si>
    <t>ANT-0617</t>
  </si>
  <si>
    <t>ANT-0225</t>
  </si>
  <si>
    <t>ANT-0021</t>
  </si>
  <si>
    <t>ANT-0490</t>
  </si>
  <si>
    <t>Logs_Reseau_Part_20.xlsx</t>
  </si>
  <si>
    <t>ANT-0276</t>
  </si>
  <si>
    <t>ANT-0155</t>
  </si>
  <si>
    <t>ANT-0771</t>
  </si>
  <si>
    <t>ANT-0684</t>
  </si>
  <si>
    <t>ANT-0685</t>
  </si>
  <si>
    <t>ANT-0828</t>
  </si>
  <si>
    <t>ANT-0555</t>
  </si>
  <si>
    <t>ANT-0233</t>
  </si>
  <si>
    <t>ANT-0063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</si>
  <si>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</si>
  <si>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</si>
  <si>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</si>
  <si>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</si>
  <si>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</si>
  <si>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</si>
  <si>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</si>
  <si>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</si>
  <si>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</si>
  <si>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</si>
  <si>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</si>
  <si>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</si>
  <si>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Logs_Reseau_Part_21.xlsx</t>
  </si>
  <si>
    <t>ANT-0639</t>
  </si>
  <si>
    <t>ANT-0599</t>
  </si>
  <si>
    <t>ANT-0008</t>
  </si>
  <si>
    <t>ANT-0864</t>
  </si>
  <si>
    <t>ANT-0860</t>
  </si>
  <si>
    <t>ANT-0384</t>
  </si>
  <si>
    <t>ANT-0663</t>
  </si>
  <si>
    <t>ANT-0290</t>
  </si>
  <si>
    <t>ANT-0066</t>
  </si>
  <si>
    <t>ANT-0345</t>
  </si>
  <si>
    <t>ANT-0672</t>
  </si>
  <si>
    <t>ANT-0154</t>
  </si>
  <si>
    <t>ANT-0922</t>
  </si>
  <si>
    <t>ANT-0825</t>
  </si>
  <si>
    <t>Logs_Reseau_Part_22.xlsx</t>
  </si>
  <si>
    <t>ANT-0050</t>
  </si>
  <si>
    <t>ANT-0427</t>
  </si>
  <si>
    <t>ANT-0390</t>
  </si>
  <si>
    <t>ANT-0127</t>
  </si>
  <si>
    <t>ANT-0561</t>
  </si>
  <si>
    <t>ANT-0486</t>
  </si>
  <si>
    <t>ant-0719</t>
  </si>
  <si>
    <t>ANT-0712</t>
  </si>
  <si>
    <t>ANT-0703</t>
  </si>
  <si>
    <t>ANT-0431</t>
  </si>
  <si>
    <t>ANT-0678</t>
  </si>
  <si>
    <t>ANT-0104</t>
  </si>
  <si>
    <t>ANT-0277</t>
  </si>
  <si>
    <t>ANT-0621</t>
  </si>
  <si>
    <t>ANT-0108</t>
  </si>
  <si>
    <t>ANT-0121</t>
  </si>
  <si>
    <t>Logs_Reseau_Part_23.xlsx</t>
  </si>
  <si>
    <t>ANT-0019</t>
  </si>
  <si>
    <t>ANT-0571</t>
  </si>
  <si>
    <t>ANT-0846</t>
  </si>
  <si>
    <t>ANT-0094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</si>
  <si>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</si>
  <si>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</si>
  <si>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</si>
  <si>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</si>
  <si>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</si>
  <si>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</si>
  <si>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</si>
  <si>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</si>
  <si>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</si>
  <si>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</si>
  <si>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</si>
  <si>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</si>
  <si>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</si>
  <si>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</si>
  <si>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</si>
  <si>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</si>
  <si>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Logs_Reseau_Part_24.xlsx</t>
  </si>
  <si>
    <t>ANT-0753</t>
  </si>
  <si>
    <t>ANT-0123</t>
  </si>
  <si>
    <t>ANT-0387</t>
  </si>
  <si>
    <t>ANT-0042</t>
  </si>
  <si>
    <t>ANT-0439</t>
  </si>
  <si>
    <t>17/10/2023 05:44</t>
  </si>
  <si>
    <t>ANT-0286</t>
  </si>
  <si>
    <t>ANT-0165</t>
  </si>
  <si>
    <t>ANT-0262</t>
  </si>
  <si>
    <t>ANT-0478</t>
  </si>
  <si>
    <t>ANT-0158</t>
  </si>
  <si>
    <t>ANT-0951</t>
  </si>
  <si>
    <t>ANT-0331</t>
  </si>
  <si>
    <t>ANT-0793</t>
  </si>
  <si>
    <t>ant-0309</t>
  </si>
  <si>
    <t>ANT-0809</t>
  </si>
  <si>
    <t>ANT-0367</t>
  </si>
  <si>
    <t>ANT-0075</t>
  </si>
  <si>
    <t>ANT-0725</t>
  </si>
  <si>
    <t>ANT-0539</t>
  </si>
  <si>
    <t>ANT-0226</t>
  </si>
  <si>
    <t>ANT-0980</t>
  </si>
  <si>
    <t>ANT-0189</t>
  </si>
  <si>
    <t>ANT-0070</t>
  </si>
  <si>
    <t>Logs_Reseau_Part_25.xlsx</t>
  </si>
  <si>
    <t>ANT-0186</t>
  </si>
  <si>
    <t>ANT-0873</t>
  </si>
  <si>
    <t>ANT-0101</t>
  </si>
  <si>
    <t>ANT-0203</t>
  </si>
  <si>
    <t>ANT-0744</t>
  </si>
  <si>
    <t>ANT-0499</t>
  </si>
  <si>
    <t>ANT-0975</t>
  </si>
  <si>
    <t>ANT-0366</t>
  </si>
  <si>
    <t>ANT-0132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</si>
  <si>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</si>
  <si>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</si>
  <si>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</si>
  <si>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</si>
  <si>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</si>
  <si>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</si>
  <si>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</si>
  <si>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Registre_Maintenance_Part_01.xlsx</t>
  </si>
  <si>
    <t>5G</t>
  </si>
  <si>
    <t>Ericsson</t>
  </si>
  <si>
    <t>ANT-0084</t>
  </si>
  <si>
    <t>4G</t>
  </si>
  <si>
    <t>Huawei</t>
  </si>
  <si>
    <t>3G</t>
  </si>
  <si>
    <t>ZTE</t>
  </si>
  <si>
    <t>ANT-0880</t>
  </si>
  <si>
    <t>ANT-0847</t>
  </si>
  <si>
    <t>ANT-0144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</si>
  <si>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</si>
  <si>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</si>
  <si>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</si>
  <si>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</si>
  <si>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</si>
  <si>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</si>
  <si>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</si>
  <si>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</si>
  <si>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</si>
  <si>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ANT-0038</t>
  </si>
  <si>
    <t>ANT-0267</t>
  </si>
  <si>
    <t>ANT-0916</t>
  </si>
  <si>
    <t>ANT-0993</t>
  </si>
  <si>
    <t>ANT-0791</t>
  </si>
  <si>
    <t>ANT-0751</t>
  </si>
  <si>
    <t>ANT-0878</t>
  </si>
  <si>
    <t>Registre_Maintenance_Part_02.xlsx</t>
  </si>
  <si>
    <t>ANT-0138</t>
  </si>
  <si>
    <t>ANT-0476</t>
  </si>
  <si>
    <t>ANT-0629</t>
  </si>
  <si>
    <t>ANT-0170</t>
  </si>
  <si>
    <t>ANT-0776</t>
  </si>
  <si>
    <t>ANT-0676</t>
  </si>
  <si>
    <t>ANT-0150</t>
  </si>
  <si>
    <t>ANT-0496</t>
  </si>
  <si>
    <t>ANT-0780</t>
  </si>
  <si>
    <t>ANT-0500</t>
  </si>
  <si>
    <t>ANT-0065</t>
  </si>
  <si>
    <t>ANT-0240</t>
  </si>
  <si>
    <t>ANT-0398</t>
  </si>
  <si>
    <t>ANT-0048</t>
  </si>
  <si>
    <t>Registre_Maintenance_Part_03.xlsx</t>
  </si>
  <si>
    <t>ANT-0665</t>
  </si>
  <si>
    <t>ANT-0281</t>
  </si>
  <si>
    <t>ANT-0584</t>
  </si>
  <si>
    <t>ANT-0179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</si>
  <si>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</si>
  <si>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</si>
  <si>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</si>
  <si>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</si>
  <si>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</si>
  <si>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</si>
  <si>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</si>
  <si>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</si>
  <si>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</si>
  <si>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ANT-0192</t>
  </si>
  <si>
    <t>Registre_Maintenance_Part_04.xlsx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</si>
  <si>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</si>
  <si>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</si>
  <si>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</si>
  <si>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</si>
  <si>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</si>
  <si>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</si>
  <si>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</si>
  <si>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</si>
  <si>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ANT-0023</t>
  </si>
  <si>
    <t>ANT-0645</t>
  </si>
  <si>
    <t>ANT-0525</t>
  </si>
  <si>
    <t>ANT-0151</t>
  </si>
  <si>
    <t>ANT-0171</t>
  </si>
  <si>
    <t>ANT-0265</t>
  </si>
  <si>
    <t>ANT-0876</t>
  </si>
  <si>
    <t>ANT-0871</t>
  </si>
  <si>
    <t>ANT-0982</t>
  </si>
  <si>
    <t>ANT-0291</t>
  </si>
  <si>
    <t>Registre_Maintenance_Part_05.xlsx</t>
  </si>
  <si>
    <t xml:space="preserve">ANT-0222 </t>
  </si>
  <si>
    <t>ANT-0460</t>
  </si>
  <si>
    <t>ANT-1000</t>
  </si>
  <si>
    <t>ANT-0483</t>
  </si>
  <si>
    <t>ANT-0175</t>
  </si>
  <si>
    <t>ANT-0616</t>
  </si>
  <si>
    <t>ANT-0187</t>
  </si>
  <si>
    <t>ANT-0956</t>
  </si>
  <si>
    <t>ANT-0172</t>
  </si>
  <si>
    <t>ANT-0742</t>
  </si>
  <si>
    <t>ANT-0351</t>
  </si>
  <si>
    <t>ANT-0832</t>
  </si>
  <si>
    <t>ANT-0395</t>
  </si>
  <si>
    <t>ANT-0112</t>
  </si>
  <si>
    <t>ANT-0017</t>
  </si>
  <si>
    <t>ANT-0208</t>
  </si>
  <si>
    <t>ANT-0182</t>
  </si>
  <si>
    <t>ANT-0040</t>
  </si>
  <si>
    <t>ANT-0516</t>
  </si>
  <si>
    <t>ANT-0796</t>
  </si>
  <si>
    <t>ANT-0789</t>
  </si>
  <si>
    <t>Registre_Maintenance_Part_06.xlsx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</si>
  <si>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</si>
  <si>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</si>
  <si>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</si>
  <si>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</si>
  <si>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</si>
  <si>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</si>
  <si>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</si>
  <si>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</si>
  <si>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</si>
  <si>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</si>
  <si>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</si>
  <si>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</si>
  <si>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</si>
  <si>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</si>
  <si>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</si>
  <si>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</si>
  <si>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</si>
  <si>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</si>
  <si>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</si>
  <si>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Registre_Maintenance_Part_07.xlsx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</si>
  <si>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</si>
  <si>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</si>
  <si>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</si>
  <si>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</si>
  <si>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</si>
  <si>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</si>
  <si>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</si>
  <si>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</si>
  <si>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</si>
  <si>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</si>
  <si>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</si>
  <si>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</si>
  <si>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</si>
  <si>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ANT-0149</t>
  </si>
  <si>
    <t>ANT-0758</t>
  </si>
  <si>
    <t>Registre_Maintenance_Part_08.xlsx</t>
  </si>
  <si>
    <t>ANT-0889</t>
  </si>
  <si>
    <t>ANT-0228</t>
  </si>
  <si>
    <t>ANT-0682</t>
  </si>
  <si>
    <t>ANT-0082</t>
  </si>
  <si>
    <t>ANT-0895</t>
  </si>
  <si>
    <t>ANT-0207</t>
  </si>
  <si>
    <t>ANT-0907</t>
  </si>
  <si>
    <t>ANT-0200</t>
  </si>
  <si>
    <t>ANT-0947</t>
  </si>
  <si>
    <t>ANT-0915</t>
  </si>
  <si>
    <t>ANT-0174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</si>
  <si>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</si>
  <si>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</si>
  <si>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</si>
  <si>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</si>
  <si>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</si>
  <si>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</si>
  <si>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</si>
  <si>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</si>
  <si>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ANT-0016</t>
  </si>
  <si>
    <t>ANT-0946</t>
  </si>
  <si>
    <t>ANT-0681</t>
  </si>
  <si>
    <t>Registre_Maintenance_Part_09.xlsx</t>
  </si>
  <si>
    <t>ANT-0356</t>
  </si>
  <si>
    <t>ANT-0589</t>
  </si>
  <si>
    <t>ANT-0005</t>
  </si>
  <si>
    <t>ANT-0636</t>
  </si>
  <si>
    <t>ANT-0519</t>
  </si>
  <si>
    <t>ANT-0702</t>
  </si>
  <si>
    <t>ANT-0603</t>
  </si>
  <si>
    <t>ANT-0755</t>
  </si>
  <si>
    <t>ANT-0349</t>
  </si>
  <si>
    <t>ANT-0120</t>
  </si>
  <si>
    <t>ANT-0827</t>
  </si>
  <si>
    <t>ANT-0706</t>
  </si>
  <si>
    <t>ANT-0625</t>
  </si>
  <si>
    <t>ANT-0409</t>
  </si>
  <si>
    <t>ANT-0917</t>
  </si>
  <si>
    <t>Registre_Maintenance_Part_10.xlsx</t>
  </si>
  <si>
    <t>ANT-0984</t>
  </si>
  <si>
    <t>ANT-0890</t>
  </si>
  <si>
    <t>ANT-0322</t>
  </si>
  <si>
    <t>ANT-0188</t>
  </si>
  <si>
    <t>ANT-0272</t>
  </si>
  <si>
    <t>ANT-0736</t>
  </si>
  <si>
    <t>ANT-0769</t>
  </si>
  <si>
    <t>ANT-0256</t>
  </si>
  <si>
    <t>ANT-0365</t>
  </si>
  <si>
    <t>ANT-0824</t>
  </si>
  <si>
    <t>ANT-0863</t>
  </si>
  <si>
    <t>ANT-0910</t>
  </si>
  <si>
    <t>ANT-0323</t>
  </si>
  <si>
    <t>ANT-0648</t>
  </si>
  <si>
    <t>ANT-0694</t>
  </si>
  <si>
    <t>ANT-0482</t>
  </si>
  <si>
    <t>ANT-0178</t>
  </si>
  <si>
    <t>ANT-0352</t>
  </si>
  <si>
    <t>ANT-0904</t>
  </si>
  <si>
    <t>longitude</t>
  </si>
  <si>
    <t>CLI-01132</t>
  </si>
  <si>
    <t>CLI-01710</t>
  </si>
  <si>
    <t>Panne_Heure</t>
  </si>
  <si>
    <t>Type_Client</t>
  </si>
  <si>
    <t>Anciennete_Annee</t>
  </si>
  <si>
    <t>Remise</t>
  </si>
  <si>
    <t>Montant_Remise</t>
  </si>
  <si>
    <t>Total général</t>
  </si>
  <si>
    <t>Duree_Panne_Heure</t>
  </si>
  <si>
    <t>Moyenne</t>
  </si>
  <si>
    <t>EQUIPEMENTIER PAR TECHNOLOGIE</t>
  </si>
  <si>
    <t>MOYENNE D'ABONNEES IMPACTEES</t>
  </si>
  <si>
    <t>Antenne</t>
  </si>
  <si>
    <t>Equipementier par 
technologie</t>
  </si>
  <si>
    <t>Type de Statut Antenne</t>
  </si>
  <si>
    <t>Nombre de Statut Antenne</t>
  </si>
  <si>
    <t>B2B</t>
  </si>
  <si>
    <t>B2C</t>
  </si>
  <si>
    <t>Somme de Facture_Mensuelle</t>
  </si>
  <si>
    <t>Somme de Montant_Remise</t>
  </si>
  <si>
    <t>Nombre de client</t>
  </si>
  <si>
    <t>Type de client</t>
  </si>
  <si>
    <t>Type de forfait</t>
  </si>
  <si>
    <t>TYPE DE CLIENT</t>
  </si>
  <si>
    <t xml:space="preserve">SOMME FACTURE MENSUELLE ET REMISE </t>
  </si>
  <si>
    <t>SOMME FACTURE MENSUELLE PAR FORFAIT</t>
  </si>
  <si>
    <t>Kasaï</t>
  </si>
  <si>
    <t>SOUS CATEGORIE 
TECHNOLOGIE</t>
  </si>
  <si>
    <t>Nombre de Statut_Resolution</t>
  </si>
  <si>
    <t>Technologie et
 Equipementier</t>
  </si>
  <si>
    <t>LES ANTENNES &amp; EQUIPEMENTIERS LES PLUS TOUCHES</t>
  </si>
  <si>
    <t>NOMBRE DE 
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</si>
</sst>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2" xfId="0" applyFont="1" applyBorder="1"/>
    <xf numFmtId="0" fontId="0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164" fontId="1" fillId="3" borderId="2" xfId="0" applyNumberFormat="1" applyFont="1" applyFill="1" applyBorder="1"/>
    <xf numFmtId="0" fontId="0" fillId="2" borderId="1" xfId="0" applyNumberFormat="1" applyFont="1" applyFill="1" applyBorder="1"/>
    <xf numFmtId="164" fontId="0" fillId="2" borderId="2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164" fontId="0" fillId="0" borderId="2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  <xf numFmtId="1" fontId="0" fillId="0" borderId="0" xfId="0" applyNumberFormat="1"/>
    <xf numFmtId="2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4" borderId="0" xfId="0" applyFont="1" applyFill="1" applyAlignment="1">
      <alignment horizontal="left"/>
    </xf>
    <xf numFmtId="0" fontId="2" fillId="4" borderId="0" xfId="0" applyNumberFormat="1" applyFont="1" applyFill="1"/>
    <xf numFmtId="2" fontId="2" fillId="4" borderId="0" xfId="0" applyNumberFormat="1" applyFont="1" applyFill="1"/>
    <xf numFmtId="0" fontId="2" fillId="5" borderId="0" xfId="0" applyFont="1" applyFill="1" applyAlignment="1">
      <alignment horizontal="left"/>
    </xf>
    <xf numFmtId="0" fontId="2" fillId="5" borderId="0" xfId="0" applyNumberFormat="1" applyFont="1" applyFill="1"/>
    <xf numFmtId="0" fontId="0" fillId="0" borderId="0" xfId="0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4" xfId="0" pivotButton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pivotButton="1" applyBorder="1" applyAlignment="1">
      <alignment vertical="center"/>
    </xf>
    <xf numFmtId="0" fontId="0" fillId="0" borderId="4" xfId="0" pivotButton="1" applyBorder="1"/>
    <xf numFmtId="0" fontId="0" fillId="0" borderId="4" xfId="0" applyBorder="1"/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71">
    <dxf>
      <fill>
        <patternFill patternType="solid">
          <bgColor rgb="FFFFC000"/>
        </patternFill>
      </fill>
    </dxf>
    <dxf>
      <font>
        <color theme="0"/>
      </font>
    </dxf>
    <dxf>
      <fill>
        <patternFill patternType="solid">
          <bgColor rgb="FFFFC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alignment vertical="center"/>
    </dxf>
    <dxf>
      <font>
        <color theme="0"/>
      </font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alignment horizontal="center"/>
    </dxf>
    <dxf>
      <alignment vertical="center"/>
    </dxf>
    <dxf>
      <alignment horizontal="center"/>
    </dxf>
    <dxf>
      <alignment textRotation="0"/>
    </dxf>
    <dxf>
      <font>
        <color theme="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:ss"/>
    </dxf>
    <dxf>
      <numFmt numFmtId="0" formatCode="General"/>
    </dxf>
    <dxf>
      <numFmt numFmtId="2" formatCode="0.00"/>
    </dxf>
    <dxf>
      <numFmt numFmtId="0" formatCode="General"/>
    </dxf>
    <dxf>
      <numFmt numFmtId="1" formatCode="0"/>
    </dxf>
    <dxf>
      <numFmt numFmtId="26" formatCode="hh:mm:ss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0"/>
      </font>
    </dxf>
    <dxf>
      <fill>
        <patternFill patternType="solid"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1.xml"/><Relationship Id="rId22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0</xdr:row>
      <xdr:rowOff>19050</xdr:rowOff>
    </xdr:from>
    <xdr:to>
      <xdr:col>12</xdr:col>
      <xdr:colOff>114300</xdr:colOff>
      <xdr:row>5</xdr:row>
      <xdr:rowOff>146050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_Client">
              <a:extLst>
                <a:ext uri="{FF2B5EF4-FFF2-40B4-BE49-F238E27FC236}">
                  <a16:creationId xmlns:a16="http://schemas.microsoft.com/office/drawing/2014/main" id="{51972030-C7A6-C906-7820-3BA1C1A3FF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Cli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350" y="19050"/>
              <a:ext cx="13500100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88900</xdr:rowOff>
    </xdr:from>
    <xdr:to>
      <xdr:col>11</xdr:col>
      <xdr:colOff>158750</xdr:colOff>
      <xdr:row>5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vince_RDC">
              <a:extLst>
                <a:ext uri="{FF2B5EF4-FFF2-40B4-BE49-F238E27FC236}">
                  <a16:creationId xmlns:a16="http://schemas.microsoft.com/office/drawing/2014/main" id="{F2EAF740-3A3C-82AC-5EDE-A4B7055D25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e_RD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3700" y="88900"/>
              <a:ext cx="10287000" cy="1009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Luziku" refreshedDate="46114.666366087964" createdVersion="8" refreshedVersion="8" minRefreshableVersion="3" recordCount="678" xr:uid="{FAC71275-6FB9-4E0D-8DF4-5DFCF49D292D}">
  <cacheSource type="worksheet">
    <worksheetSource name="CLIENT"/>
  </cacheSource>
  <cacheFields count="15">
    <cacheField name="Source.Name" numFmtId="0">
      <sharedItems/>
    </cacheField>
    <cacheField name="ID_Client" numFmtId="0">
      <sharedItems count="678">
        <s v="CLI-00007"/>
        <s v="CLI-00009"/>
        <s v="CLI-00012"/>
        <s v="CLI-00017"/>
        <s v="CLI-00022"/>
        <s v="CLI-00028"/>
        <s v="CLI-00029"/>
        <s v="CLI-00034"/>
        <s v="CLI-00037"/>
        <s v="CLI-00039"/>
        <s v="CLI-00041"/>
        <s v="CLI-00043"/>
        <s v="CLI-00044"/>
        <s v="CLI-00045"/>
        <s v="CLI-00048"/>
        <s v="CLI-00054"/>
        <s v="CLI-00057"/>
        <s v="CLI-00060"/>
        <s v="CLI-00070"/>
        <s v="CLI-00072"/>
        <s v="CLI-00074"/>
        <s v="CLI-00076"/>
        <s v="CLI-00083"/>
        <s v="CLI-00084"/>
        <s v="CLI-00085"/>
        <s v="CLI-00087"/>
        <s v="CLI-00090"/>
        <s v="CLI-00091"/>
        <s v="CLI-00093"/>
        <s v="CLI-00094"/>
        <s v="CLI-00098"/>
        <s v="CLI-00100"/>
        <s v="CLI-00102"/>
        <s v="CLI-00105"/>
        <s v="CLI-00107"/>
        <s v="CLI-00109"/>
        <s v="CLI-00112"/>
        <s v="CLI-00114"/>
        <s v="CLI-00115"/>
        <s v="CLI-00121"/>
        <s v="CLI-00125"/>
        <s v="CLI-00136"/>
        <s v="CLI-00145"/>
        <s v="CLI-00150"/>
        <s v="CLI-00157"/>
        <s v="CLI-00158"/>
        <s v="CLI-00161"/>
        <s v="CLI-00163"/>
        <s v="CLI-00165"/>
        <s v="CLI-00168"/>
        <s v="CLI-00169"/>
        <s v="CLI-00171"/>
        <s v="CLI-00172"/>
        <s v="CLI-00173"/>
        <s v="CLI-00176"/>
        <s v="CLI-00177"/>
        <s v="CLI-00183"/>
        <s v="CLI-00184"/>
        <s v="CLI-00185"/>
        <s v="CLI-00190"/>
        <s v="CLI-00191"/>
        <s v="CLI-00192"/>
        <s v="CLI-00194"/>
        <s v="CLI-00196"/>
        <s v="CLI-00197"/>
        <s v="CLI-00206"/>
        <s v="CLI-00211"/>
        <s v="CLI-00218"/>
        <s v="CLI-00219"/>
        <s v="CLI-00221"/>
        <s v="CLI-00227"/>
        <s v="CLI-00230"/>
        <s v="CLI-00232"/>
        <s v="CLI-00234"/>
        <s v="CLI-00238"/>
        <s v="CLI-00239"/>
        <s v="CLI-00240"/>
        <s v="CLI-00241"/>
        <s v="CLI-00243"/>
        <s v="CLI-00247"/>
        <s v="CLI-00248"/>
        <s v="CLI-00250"/>
        <s v="CLI-00251"/>
        <s v="CLI-00257"/>
        <s v="CLI-00262"/>
        <s v="CLI-00265"/>
        <s v="CLI-00267"/>
        <s v="CLI-00269"/>
        <s v="CLI-00271"/>
        <s v="CLI-00273"/>
        <s v="CLI-00274"/>
        <s v="CLI-00277"/>
        <s v="CLI-00279"/>
        <s v="CLI-00280"/>
        <s v="CLI-00288"/>
        <s v="CLI-00291"/>
        <s v="CLI-00296"/>
        <s v="CLI-00298"/>
        <s v="CLI-00299"/>
        <s v="CLI-00304"/>
        <s v="CLI-00305"/>
        <s v="CLI-00306"/>
        <s v="CLI-00310"/>
        <s v="CLI-00313"/>
        <s v="CLI-00315"/>
        <s v="CLI-00316"/>
        <s v="CLI-00318"/>
        <s v="CLI-00324"/>
        <s v="CLI-00327"/>
        <s v="CLI-00329"/>
        <s v="CLI-00334"/>
        <s v="CLI-00335"/>
        <s v="CLI-00338"/>
        <s v="CLI-00341"/>
        <s v="CLI-00346"/>
        <s v="CLI-00349"/>
        <s v="CLI-00352"/>
        <s v="CLI-00359"/>
        <s v="CLI-00361"/>
        <s v="CLI-00365"/>
        <s v="CLI-00368"/>
        <s v="CLI-00370"/>
        <s v="CLI-00373"/>
        <s v="CLI-00374"/>
        <s v="CLI-00376"/>
        <s v="CLI-00377"/>
        <s v="CLI-00382"/>
        <s v="CLI-00384"/>
        <s v="CLI-00386"/>
        <s v="CLI-00387"/>
        <s v="CLI-00388"/>
        <s v="CLI-00391"/>
        <s v="CLI-00394"/>
        <s v="CLI-00407"/>
        <s v="CLI-00410"/>
        <s v="CLI-00413"/>
        <s v="CLI-00417"/>
        <s v="CLI-00418"/>
        <s v="CLI-00424"/>
        <s v="CLI-00429"/>
        <s v="CLI-00431"/>
        <s v="CLI-00433"/>
        <s v="CLI-00435"/>
        <s v="CLI-00439"/>
        <s v="CLI-00442"/>
        <s v="CLI-00447"/>
        <s v="CLI-00450"/>
        <s v="CLI-00460"/>
        <s v="CLI-00469"/>
        <s v="CLI-00471"/>
        <s v="CLI-00476"/>
        <s v="CLI-00481"/>
        <s v="CLI-00483"/>
        <s v="CLI-00484"/>
        <s v="CLI-00485"/>
        <s v="CLI-00488"/>
        <s v="CLI-00491"/>
        <s v="CLI-00492"/>
        <s v="CLI-00496"/>
        <s v="CLI-00505"/>
        <s v="CLI-00509"/>
        <s v="CLI-00510"/>
        <s v="CLI-00516"/>
        <s v="CLI-00519"/>
        <s v="CLI-00520"/>
        <s v="CLI-00522"/>
        <s v="CLI-00523"/>
        <s v="CLI-00524"/>
        <s v="CLI-00525"/>
        <s v="CLI-00530"/>
        <s v="CLI-00532"/>
        <s v="CLI-00533"/>
        <s v="CLI-00534"/>
        <s v="CLI-00535"/>
        <s v="CLI-00537"/>
        <s v="CLI-00541"/>
        <s v="CLI-00543"/>
        <s v="CLI-00546"/>
        <s v="CLI-00549"/>
        <s v="CLI-00550"/>
        <s v="CLI-00552"/>
        <s v="CLI-00559"/>
        <s v="CLI-00562"/>
        <s v="CLI-00563"/>
        <s v="CLI-00569"/>
        <s v="CLI-00576"/>
        <s v="CLI-00580"/>
        <s v="CLI-00582"/>
        <s v="CLI-00584"/>
        <s v="CLI-00590"/>
        <s v="CLI-00595"/>
        <s v="CLI-00596"/>
        <s v="CLI-00601"/>
        <s v="CLI-00606"/>
        <s v="CLI-00610"/>
        <s v="CLI-00611"/>
        <s v="CLI-00612"/>
        <s v="CLI-00616"/>
        <s v="CLI-00620"/>
        <s v="CLI-00621"/>
        <s v="CLI-00632"/>
        <s v="CLI-00634"/>
        <s v="CLI-00636"/>
        <s v="CLI-00642"/>
        <s v="CLI-00643"/>
        <s v="CLI-00647"/>
        <s v="CLI-00649"/>
        <s v="CLI-00650"/>
        <s v="CLI-00655"/>
        <s v="CLI-00663"/>
        <s v="CLI-00666"/>
        <s v="CLI-00670"/>
        <s v="CLI-00671"/>
        <s v="CLI-00674"/>
        <s v="CLI-00675"/>
        <s v="CLI-00682"/>
        <s v="CLI-00684"/>
        <s v="CLI-00695"/>
        <s v="CLI-00700"/>
        <s v="CLI-00705"/>
        <s v="CLI-00711"/>
        <s v="CLI-00716"/>
        <s v="CLI-00726"/>
        <s v="CLI-00728"/>
        <s v="CLI-00731"/>
        <s v="CLI-00736"/>
        <s v="CLI-00739"/>
        <s v="CLI-00745"/>
        <s v="CLI-00753"/>
        <s v="CLI-00754"/>
        <s v="CLI-00755"/>
        <s v="CLI-00760"/>
        <s v="CLI-00766"/>
        <s v="CLI-00768"/>
        <s v="CLI-00773"/>
        <s v="CLI-00781"/>
        <s v="CLI-00782"/>
        <s v="CLI-00783"/>
        <s v="CLI-00786"/>
        <s v="CLI-00788"/>
        <s v="CLI-00795"/>
        <s v="CLI-00796"/>
        <s v="CLI-00799"/>
        <s v="CLI-00803"/>
        <s v="CLI-00805"/>
        <s v="CLI-00806"/>
        <s v="CLI-00808"/>
        <s v="CLI-00809"/>
        <s v="CLI-00813"/>
        <s v="CLI-00815"/>
        <s v="CLI-00819"/>
        <s v="CLI-00821"/>
        <s v="CLI-00822"/>
        <s v="CLI-00825"/>
        <s v="CLI-00830"/>
        <s v="CLI-00833"/>
        <s v="CLI-00834"/>
        <s v="CLI-00837"/>
        <s v="CLI-00841"/>
        <s v="CLI-00846"/>
        <s v="CLI-00849"/>
        <s v="CLI-00852"/>
        <s v="CLI-00853"/>
        <s v="CLI-00855"/>
        <s v="CLI-00857"/>
        <s v="CLI-00862"/>
        <s v="CLI-00865"/>
        <s v="CLI-00866"/>
        <s v="CLI-00867"/>
        <s v="CLI-00868"/>
        <s v="CLI-00871"/>
        <s v="CLI-00873"/>
        <s v="CLI-00876"/>
        <s v="CLI-00879"/>
        <s v="CLI-00881"/>
        <s v="CLI-00884"/>
        <s v="CLI-00885"/>
        <s v="CLI-00886"/>
        <s v="CLI-00887"/>
        <s v="CLI-00889"/>
        <s v="CLI-00890"/>
        <s v="CLI-00893"/>
        <s v="CLI-00894"/>
        <s v="CLI-00896"/>
        <s v="CLI-00898"/>
        <s v="CLI-00899"/>
        <s v="CLI-00901"/>
        <s v="CLI-00902"/>
        <s v="CLI-00905"/>
        <s v="CLI-00907"/>
        <s v="CLI-00909"/>
        <s v="CLI-00912"/>
        <s v="CLI-00921"/>
        <s v="CLI-00922"/>
        <s v="CLI-00924"/>
        <s v="CLI-00925"/>
        <s v="CLI-00928"/>
        <s v="CLI-00929"/>
        <s v="CLI-00930"/>
        <s v="CLI-00932"/>
        <s v="CLI-00938"/>
        <s v="CLI-00939"/>
        <s v="CLI-00948"/>
        <s v="CLI-00950"/>
        <s v="CLI-00952"/>
        <s v="CLI-00957"/>
        <s v="CLI-00959"/>
        <s v="CLI-00960"/>
        <s v="CLI-00961"/>
        <s v="CLI-00962"/>
        <s v="CLI-00964"/>
        <s v="CLI-00965"/>
        <s v="CLI-00966"/>
        <s v="CLI-00970"/>
        <s v="CLI-00973"/>
        <s v="CLI-00974"/>
        <s v="CLI-00978"/>
        <s v="CLI-00979"/>
        <s v="CLI-00980"/>
        <s v="CLI-00986"/>
        <s v="CLI-00994"/>
        <s v="CLI-00996"/>
        <s v="CLI-00997"/>
        <s v="CLI-00999"/>
        <s v="CLI-01000"/>
        <s v="CLI-01003"/>
        <s v="CLI-01005"/>
        <s v="CLI-01006"/>
        <s v="CLI-01007"/>
        <s v="CLI-01010"/>
        <s v="CLI-01013"/>
        <s v="CLI-01014"/>
        <s v="CLI-01015"/>
        <s v="CLI-01016"/>
        <s v="CLI-01017"/>
        <s v="CLI-01021"/>
        <s v="CLI-01023"/>
        <s v="CLI-01025"/>
        <s v="CLI-01032"/>
        <s v="CLI-01034"/>
        <s v="CLI-01037"/>
        <s v="CLI-01046"/>
        <s v="CLI-01050"/>
        <s v="CLI-01052"/>
        <s v="CLI-01058"/>
        <s v="CLI-01059"/>
        <s v="CLI-01069"/>
        <s v="CLI-01072"/>
        <s v="CLI-01075"/>
        <s v="CLI-01077"/>
        <s v="CLI-01078"/>
        <s v="CLI-01080"/>
        <s v="CLI-01082"/>
        <s v="CLI-01087"/>
        <s v="CLI-01093"/>
        <s v="CLI-01095"/>
        <s v="CLI-01096"/>
        <s v="CLI-01104"/>
        <s v="CLI-01118"/>
        <s v="CLI-01121"/>
        <s v="CLI-01122"/>
        <s v="CLI-01128"/>
        <s v="CLI-01129"/>
        <s v="CLI-01132"/>
        <s v="CLI-01134"/>
        <s v="CLI-01136"/>
        <s v="CLI-01139"/>
        <s v="CLI-01141"/>
        <s v="CLI-01144"/>
        <s v="CLI-01146"/>
        <s v="CLI-01149"/>
        <s v="CLI-01154"/>
        <s v="CLI-01162"/>
        <s v="CLI-01165"/>
        <s v="CLI-01166"/>
        <s v="CLI-01167"/>
        <s v="CLI-01169"/>
        <s v="CLI-01170"/>
        <s v="CLI-01180"/>
        <s v="CLI-01181"/>
        <s v="CLI-01186"/>
        <s v="CLI-01189"/>
        <s v="CLI-01194"/>
        <s v="CLI-01196"/>
        <s v="CLI-01197"/>
        <s v="CLI-01199"/>
        <s v="CLI-01200"/>
        <s v="CLI-01203"/>
        <s v="CLI-01204"/>
        <s v="CLI-01210"/>
        <s v="CLI-01211"/>
        <s v="CLI-01217"/>
        <s v="CLI-01221"/>
        <s v="CLI-01224"/>
        <s v="CLI-01226"/>
        <s v="CLI-01233"/>
        <s v="CLI-01234"/>
        <s v="CLI-01236"/>
        <s v="CLI-01238"/>
        <s v="CLI-01241"/>
        <s v="CLI-01242"/>
        <s v="CLI-01253"/>
        <s v="CLI-01254"/>
        <s v="CLI-01256"/>
        <s v="CLI-01258"/>
        <s v="CLI-01264"/>
        <s v="CLI-01266"/>
        <s v="CLI-01267"/>
        <s v="CLI-01270"/>
        <s v="CLI-01275"/>
        <s v="CLI-01278"/>
        <s v="CLI-01283"/>
        <s v="CLI-01284"/>
        <s v="CLI-01287"/>
        <s v="CLI-01290"/>
        <s v="CLI-01291"/>
        <s v="CLI-01292"/>
        <s v="CLI-01294"/>
        <s v="CLI-01304"/>
        <s v="CLI-01309"/>
        <s v="CLI-01313"/>
        <s v="CLI-01314"/>
        <s v="CLI-01319"/>
        <s v="CLI-01320"/>
        <s v="CLI-01322"/>
        <s v="CLI-01325"/>
        <s v="CLI-01326"/>
        <s v="CLI-01327"/>
        <s v="CLI-01329"/>
        <s v="CLI-01330"/>
        <s v="CLI-01339"/>
        <s v="CLI-01340"/>
        <s v="CLI-01344"/>
        <s v="CLI-01347"/>
        <s v="CLI-01348"/>
        <s v="CLI-01349"/>
        <s v="CLI-01351"/>
        <s v="CLI-01354"/>
        <s v="CLI-01355"/>
        <s v="CLI-01357"/>
        <s v="CLI-01359"/>
        <s v="CLI-01360"/>
        <s v="CLI-01361"/>
        <s v="CLI-01363"/>
        <s v="CLI-01373"/>
        <s v="CLI-01374"/>
        <s v="CLI-01375"/>
        <s v="CLI-01380"/>
        <s v="CLI-01386"/>
        <s v="CLI-01394"/>
        <s v="CLI-01396"/>
        <s v="CLI-01403"/>
        <s v="CLI-01404"/>
        <s v="CLI-01405"/>
        <s v="CLI-01406"/>
        <s v="CLI-01407"/>
        <s v="CLI-01408"/>
        <s v="CLI-01415"/>
        <s v="CLI-01419"/>
        <s v="CLI-01420"/>
        <s v="CLI-01424"/>
        <s v="CLI-01431"/>
        <s v="CLI-01432"/>
        <s v="CLI-01433"/>
        <s v="CLI-01435"/>
        <s v="CLI-01436"/>
        <s v="CLI-01437"/>
        <s v="CLI-01438"/>
        <s v="CLI-01442"/>
        <s v="CLI-01450"/>
        <s v="CLI-01451"/>
        <s v="CLI-01453"/>
        <s v="CLI-01455"/>
        <s v="CLI-01461"/>
        <s v="CLI-01462"/>
        <s v="CLI-01463"/>
        <s v="CLI-01466"/>
        <s v="CLI-01470"/>
        <s v="CLI-01472"/>
        <s v="CLI-01473"/>
        <s v="CLI-01475"/>
        <s v="CLI-01479"/>
        <s v="CLI-01480"/>
        <s v="CLI-01484"/>
        <s v="CLI-01485"/>
        <s v="CLI-01488"/>
        <s v="CLI-01489"/>
        <s v="CLI-01494"/>
        <s v="CLI-01496"/>
        <s v="CLI-01503"/>
        <s v="CLI-01505"/>
        <s v="CLI-01506"/>
        <s v="CLI-01507"/>
        <s v="CLI-01508"/>
        <s v="CLI-01510"/>
        <s v="CLI-01511"/>
        <s v="CLI-01515"/>
        <s v="CLI-01520"/>
        <s v="CLI-01524"/>
        <s v="CLI-01530"/>
        <s v="CLI-01532"/>
        <s v="CLI-01533"/>
        <s v="CLI-01535"/>
        <s v="CLI-01536"/>
        <s v="CLI-01542"/>
        <s v="CLI-01543"/>
        <s v="CLI-01549"/>
        <s v="CLI-01550"/>
        <s v="CLI-01555"/>
        <s v="CLI-01560"/>
        <s v="CLI-01561"/>
        <s v="CLI-01563"/>
        <s v="CLI-01565"/>
        <s v="CLI-01566"/>
        <s v="CLI-01568"/>
        <s v="CLI-01571"/>
        <s v="CLI-01573"/>
        <s v="CLI-01578"/>
        <s v="CLI-01588"/>
        <s v="CLI-01591"/>
        <s v="CLI-01595"/>
        <s v="CLI-01598"/>
        <s v="CLI-01600"/>
        <s v="CLI-01602"/>
        <s v="CLI-01603"/>
        <s v="CLI-01604"/>
        <s v="CLI-01606"/>
        <s v="CLI-01607"/>
        <s v="CLI-01616"/>
        <s v="CLI-01617"/>
        <s v="CLI-01618"/>
        <s v="CLI-01619"/>
        <s v="CLI-01621"/>
        <s v="CLI-01622"/>
        <s v="CLI-01623"/>
        <s v="CLI-01624"/>
        <s v="CLI-01629"/>
        <s v="CLI-01630"/>
        <s v="CLI-01637"/>
        <s v="CLI-01638"/>
        <s v="CLI-01651"/>
        <s v="CLI-01653"/>
        <s v="CLI-01654"/>
        <s v="CLI-01658"/>
        <s v="CLI-01662"/>
        <s v="CLI-01666"/>
        <s v="CLI-01668"/>
        <s v="CLI-01669"/>
        <s v="CLI-01680"/>
        <s v="CLI-01682"/>
        <s v="CLI-01683"/>
        <s v="CLI-01685"/>
        <s v="CLI-01686"/>
        <s v="CLI-01687"/>
        <s v="CLI-01688"/>
        <s v="CLI-01694"/>
        <s v="CLI-01695"/>
        <s v="CLI-01697"/>
        <s v="CLI-01698"/>
        <s v="CLI-01701"/>
        <s v="CLI-01702"/>
        <s v="CLI-01704"/>
        <s v="CLI-01705"/>
        <s v="CLI-01706"/>
        <s v="CLI-01709"/>
        <s v="CLI-01710"/>
        <s v="CLI-01714"/>
        <s v="CLI-01719"/>
        <s v="CLI-01720"/>
        <s v="CLI-01721"/>
        <s v="CLI-01722"/>
        <s v="CLI-01723"/>
        <s v="CLI-01724"/>
        <s v="CLI-01726"/>
        <s v="CLI-01728"/>
        <s v="CLI-01729"/>
        <s v="CLI-01731"/>
        <s v="CLI-01732"/>
        <s v="CLI-01735"/>
        <s v="CLI-01736"/>
        <s v="CLI-01739"/>
        <s v="CLI-01740"/>
        <s v="CLI-01741"/>
        <s v="CLI-01746"/>
        <s v="CLI-01749"/>
        <s v="CLI-01757"/>
        <s v="CLI-01759"/>
        <s v="CLI-01761"/>
        <s v="CLI-01765"/>
        <s v="CLI-01768"/>
        <s v="CLI-01773"/>
        <s v="CLI-01775"/>
        <s v="CLI-01780"/>
        <s v="CLI-01782"/>
        <s v="CLI-01783"/>
        <s v="CLI-01788"/>
        <s v="CLI-01793"/>
        <s v="CLI-01796"/>
        <s v="CLI-01802"/>
        <s v="CLI-01804"/>
        <s v="CLI-01812"/>
        <s v="CLI-01814"/>
        <s v="CLI-01816"/>
        <s v="CLI-01818"/>
        <s v="CLI-01820"/>
        <s v="CLI-01821"/>
        <s v="CLI-01822"/>
        <s v="CLI-01823"/>
        <s v="CLI-01824"/>
        <s v="CLI-01830"/>
        <s v="CLI-01832"/>
        <s v="CLI-01835"/>
        <s v="CLI-01836"/>
        <s v="CLI-01837"/>
        <s v="CLI-01839"/>
        <s v="CLI-01843"/>
        <s v="CLI-01844"/>
        <s v="CLI-01845"/>
        <s v="CLI-01846"/>
        <s v="CLI-01847"/>
        <s v="CLI-01848"/>
        <s v="CLI-01850"/>
        <s v="CLI-01851"/>
        <s v="CLI-01852"/>
        <s v="CLI-01854"/>
        <s v="CLI-01855"/>
        <s v="CLI-01858"/>
        <s v="CLI-01860"/>
        <s v="CLI-01861"/>
        <s v="CLI-01868"/>
        <s v="CLI-01871"/>
        <s v="CLI-01873"/>
        <s v="CLI-01876"/>
        <s v="CLI-01877"/>
        <s v="CLI-01880"/>
        <s v="CLI-01885"/>
        <s v="CLI-01888"/>
        <s v="CLI-01890"/>
        <s v="CLI-01891"/>
        <s v="CLI-01893"/>
        <s v="CLI-01906"/>
        <s v="CLI-01908"/>
        <s v="CLI-01911"/>
        <s v="CLI-01916"/>
        <s v="CLI-01917"/>
        <s v="CLI-01920"/>
        <s v="CLI-01923"/>
        <s v="CLI-01926"/>
        <s v="CLI-01927"/>
        <s v="CLI-01929"/>
        <s v="CLI-01931"/>
        <s v="CLI-01932"/>
        <s v="CLI-01933"/>
        <s v="CLI-01938"/>
        <s v="CLI-01940"/>
        <s v="CLI-01949"/>
        <s v="CLI-01950"/>
        <s v="CLI-01957"/>
        <s v="CLI-01959"/>
        <s v="CLI-01960"/>
        <s v="CLI-01964"/>
        <s v="CLI-01966"/>
        <s v="CLI-01967"/>
        <s v="CLI-01969"/>
        <s v="CLI-01970"/>
        <s v="CLI-01971"/>
        <s v="CLI-01972"/>
        <s v="CLI-01974"/>
        <s v="CLI-01975"/>
        <s v="CLI-01977"/>
        <s v="CLI-01979"/>
        <s v="CLI-01981"/>
        <s v="CLI-01982"/>
        <s v="CLI-01988"/>
        <s v="CLI-01990"/>
        <s v="CLI-01995"/>
        <s v="CLI-01998"/>
        <s v="CLI-01999"/>
      </sharedItems>
    </cacheField>
    <cacheField name="Province_Client" numFmtId="0">
      <sharedItems count="26">
        <s v="Tanganyika"/>
        <s v="Kwilu"/>
        <s v="Kongo-Central"/>
        <s v="Haut-Lomami"/>
        <s v="Bas-Uele"/>
        <s v="Maniema"/>
        <s v="Ituri"/>
        <s v="Nord-Kivu"/>
        <s v="Lomami"/>
        <s v="Sud-Kivu"/>
        <s v="Kasai"/>
        <s v="Kasai-Central"/>
        <s v="Sud-Ubangi"/>
        <s v="Haut-Katanga"/>
        <s v="Haut-Uele"/>
        <s v="Mongala"/>
        <s v="Mai-Ndombe"/>
        <s v="Equateur"/>
        <s v="Kwango"/>
        <s v="Tshopo"/>
        <s v="Tshuapa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-53" maxValue="120"/>
    </cacheField>
    <cacheField name="Type_Forfait" numFmtId="0">
      <sharedItems count="4">
        <s v="Bloqué 5Go"/>
        <s v="Pro Monde"/>
        <s v="Illimité 50Go"/>
        <s v="Premium 5G 150Go"/>
      </sharedItems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0">
      <sharedItems containsSemiMixedTypes="0" containsString="0" containsNumber="1" minValue="10.28" maxValue="99.93" count="648">
        <n v="98.95"/>
        <n v="84.66"/>
        <n v="15.88"/>
        <n v="43.83"/>
        <n v="21.17"/>
        <n v="33.74"/>
        <n v="10.28"/>
        <n v="15.93"/>
        <n v="11.15"/>
        <n v="21.27"/>
        <n v="61.52"/>
        <n v="40.880000000000003"/>
        <n v="83.73"/>
        <n v="71.319999999999993"/>
        <n v="38.369999999999997"/>
        <n v="65.709999999999994"/>
        <n v="89.56"/>
        <n v="90.13"/>
        <n v="64.709999999999994"/>
        <n v="97.89"/>
        <n v="33.159999999999997"/>
        <n v="56.05"/>
        <n v="27.81"/>
        <n v="45.59"/>
        <n v="23.83"/>
        <n v="55.67"/>
        <n v="78.09"/>
        <n v="27.86"/>
        <n v="48.64"/>
        <n v="42.02"/>
        <n v="45.85"/>
        <n v="10.89"/>
        <n v="93.25"/>
        <n v="54.37"/>
        <n v="86.64"/>
        <n v="88.12"/>
        <n v="52.82"/>
        <n v="10.47"/>
        <n v="38.950000000000003"/>
        <n v="76.42"/>
        <n v="44.84"/>
        <n v="69.36"/>
        <n v="65.489999999999995"/>
        <n v="36.93"/>
        <n v="82.81"/>
        <n v="24.11"/>
        <n v="31.48"/>
        <n v="41.76"/>
        <n v="28.38"/>
        <n v="13.21"/>
        <n v="65.78"/>
        <n v="89.16"/>
        <n v="77.12"/>
        <n v="43.81"/>
        <n v="81.11"/>
        <n v="46.41"/>
        <n v="88.58"/>
        <n v="83.04"/>
        <n v="19.47"/>
        <n v="76.86"/>
        <n v="32.51"/>
        <n v="35.380000000000003"/>
        <n v="21.26"/>
        <n v="36.42"/>
        <n v="97.46"/>
        <n v="53.98"/>
        <n v="72.790000000000006"/>
        <n v="38.19"/>
        <n v="55.43"/>
        <n v="32.08"/>
        <n v="15.39"/>
        <n v="86.17"/>
        <n v="13.97"/>
        <n v="19.09"/>
        <n v="66.680000000000007"/>
        <n v="25.98"/>
        <n v="42.33"/>
        <n v="69.42"/>
        <n v="31.02"/>
        <n v="97.25"/>
        <n v="25.14"/>
        <n v="72.39"/>
        <n v="32.58"/>
        <n v="37.08"/>
        <n v="27.06"/>
        <n v="72.36"/>
        <n v="76.53"/>
        <n v="43.98"/>
        <n v="17.63"/>
        <n v="96.91"/>
        <n v="86.22"/>
        <n v="37.979999999999997"/>
        <n v="62.87"/>
        <n v="12.11"/>
        <n v="48.31"/>
        <n v="41.84"/>
        <n v="28.98"/>
        <n v="28.39"/>
        <n v="15.71"/>
        <n v="61.27"/>
        <n v="62.49"/>
        <n v="32.369999999999997"/>
        <n v="75.739999999999995"/>
        <n v="48.91"/>
        <n v="84.45"/>
        <n v="50.44"/>
        <n v="28.52"/>
        <n v="43.71"/>
        <n v="40.659999999999997"/>
        <n v="58.38"/>
        <n v="46.57"/>
        <n v="28.55"/>
        <n v="36.54"/>
        <n v="65.540000000000006"/>
        <n v="85.19"/>
        <n v="88.29"/>
        <n v="16.93"/>
        <n v="82.19"/>
        <n v="75.88"/>
        <n v="23.55"/>
        <n v="53.87"/>
        <n v="49.03"/>
        <n v="33.93"/>
        <n v="45.27"/>
        <n v="95.11"/>
        <n v="64.77"/>
        <n v="52.91"/>
        <n v="20.32"/>
        <n v="94.51"/>
        <n v="53.58"/>
        <n v="41.35"/>
        <n v="14.12"/>
        <n v="81.260000000000005"/>
        <n v="65.47"/>
        <n v="52.85"/>
        <n v="81.459999999999994"/>
        <n v="37.909999999999997"/>
        <n v="12.07"/>
        <n v="64.34"/>
        <n v="71.72"/>
        <n v="45.02"/>
        <n v="59.92"/>
        <n v="89.55"/>
        <n v="61.54"/>
        <n v="89.05"/>
        <n v="49.47"/>
        <n v="71.37"/>
        <n v="97.78"/>
        <n v="71.930000000000007"/>
        <n v="15.12"/>
        <n v="37.43"/>
        <n v="40.58"/>
        <n v="50.14"/>
        <n v="53.27"/>
        <n v="92.96"/>
        <n v="86.68"/>
        <n v="51.28"/>
        <n v="52.64"/>
        <n v="62.53"/>
        <n v="58.28"/>
        <n v="46.88"/>
        <n v="65.87"/>
        <n v="60.95"/>
        <n v="39.57"/>
        <n v="29.76"/>
        <n v="38.49"/>
        <n v="21.55"/>
        <n v="86.63"/>
        <n v="58.59"/>
        <n v="16.25"/>
        <n v="77.63"/>
        <n v="39.81"/>
        <n v="35.54"/>
        <n v="88.35"/>
        <n v="55.29"/>
        <n v="68.790000000000006"/>
        <n v="91.32"/>
        <n v="72.94"/>
        <n v="12.52"/>
        <n v="67.209999999999994"/>
        <n v="88.03"/>
        <n v="95.09"/>
        <n v="37.35"/>
        <n v="45.51"/>
        <n v="77.08"/>
        <n v="35.81"/>
        <n v="50.55"/>
        <n v="43.06"/>
        <n v="81.569999999999993"/>
        <n v="19.68"/>
        <n v="21.67"/>
        <n v="95.53"/>
        <n v="47.72"/>
        <n v="94.38"/>
        <n v="18.77"/>
        <n v="83.74"/>
        <n v="26.75"/>
        <n v="28.46"/>
        <n v="31.36"/>
        <n v="39.58"/>
        <n v="47.82"/>
        <n v="85.82"/>
        <n v="62.34"/>
        <n v="98.67"/>
        <n v="21.49"/>
        <n v="80.680000000000007"/>
        <n v="97.98"/>
        <n v="90.78"/>
        <n v="24.46"/>
        <n v="72.430000000000007"/>
        <n v="32.35"/>
        <n v="29.07"/>
        <n v="29.15"/>
        <n v="18.39"/>
        <n v="70.09"/>
        <n v="36.94"/>
        <n v="74.569999999999993"/>
        <n v="88.59"/>
        <n v="18.28"/>
        <n v="26.24"/>
        <n v="67.87"/>
        <n v="96.31"/>
        <n v="75.680000000000007"/>
        <n v="41.33"/>
        <n v="20.46"/>
        <n v="61.55"/>
        <n v="96.59"/>
        <n v="69.19"/>
        <n v="68.67"/>
        <n v="54.28"/>
        <n v="83.49"/>
        <n v="39.56"/>
        <n v="78.12"/>
        <n v="90.12"/>
        <n v="54.03"/>
        <n v="21.07"/>
        <n v="36.97"/>
        <n v="55.19"/>
        <n v="82.65"/>
        <n v="58.07"/>
        <n v="96.32"/>
        <n v="61.98"/>
        <n v="53.73"/>
        <n v="85.75"/>
        <n v="41.91"/>
        <n v="56.48"/>
        <n v="63.92"/>
        <n v="80.36"/>
        <n v="30.93"/>
        <n v="12.31"/>
        <n v="10.33"/>
        <n v="97.26"/>
        <n v="66.69"/>
        <n v="70.02"/>
        <n v="98.17"/>
        <n v="78.44"/>
        <n v="50.64"/>
        <n v="56.81"/>
        <n v="30.27"/>
        <n v="48.13"/>
        <n v="41.66"/>
        <n v="68.010000000000005"/>
        <n v="15.17"/>
        <n v="56.84"/>
        <n v="59.76"/>
        <n v="99.89"/>
        <n v="56.18"/>
        <n v="43.45"/>
        <n v="93.01"/>
        <n v="88.95"/>
        <n v="57.76"/>
        <n v="68.38"/>
        <n v="55.88"/>
        <n v="54.69"/>
        <n v="98.11"/>
        <n v="24.57"/>
        <n v="90.99"/>
        <n v="49.25"/>
        <n v="90.85"/>
        <n v="89.19"/>
        <n v="27.97"/>
        <n v="32.49"/>
        <n v="39.35"/>
        <n v="67.17"/>
        <n v="69.16"/>
        <n v="50.15"/>
        <n v="83.32"/>
        <n v="44.41"/>
        <n v="67.260000000000005"/>
        <n v="25.37"/>
        <n v="76.05"/>
        <n v="60.05"/>
        <n v="68.319999999999993"/>
        <n v="67.459999999999994"/>
        <n v="39.880000000000003"/>
        <n v="88.61"/>
        <n v="35.92"/>
        <n v="54.64"/>
        <n v="74.239999999999995"/>
        <n v="82.56"/>
        <n v="96.57"/>
        <n v="54.43"/>
        <n v="39.18"/>
        <n v="48.55"/>
        <n v="90.14"/>
        <n v="77.77"/>
        <n v="82.16"/>
        <n v="66.36"/>
        <n v="19.78"/>
        <n v="83.67"/>
        <n v="68.650000000000006"/>
        <n v="97.32"/>
        <n v="86.78"/>
        <n v="90.81"/>
        <n v="35.96"/>
        <n v="20.89"/>
        <n v="53.11"/>
        <n v="94.72"/>
        <n v="14.77"/>
        <n v="12.37"/>
        <n v="11.63"/>
        <n v="11.46"/>
        <n v="28.96"/>
        <n v="29.68"/>
        <n v="26.95"/>
        <n v="45.58"/>
        <n v="71.010000000000005"/>
        <n v="87.24"/>
        <n v="74.989999999999995"/>
        <n v="41.52"/>
        <n v="68.78"/>
        <n v="56.94"/>
        <n v="13.62"/>
        <n v="22.81"/>
        <n v="30.35"/>
        <n v="41.85"/>
        <n v="30.97"/>
        <n v="29.37"/>
        <n v="11.29"/>
        <n v="86.14"/>
        <n v="23.65"/>
        <n v="33.76"/>
        <n v="32.06"/>
        <n v="64.349999999999994"/>
        <n v="34.450000000000003"/>
        <n v="94.77"/>
        <n v="92.72"/>
        <n v="49.01"/>
        <n v="43.95"/>
        <n v="85.54"/>
        <n v="22.77"/>
        <n v="51.99"/>
        <n v="15.01"/>
        <n v="62.61"/>
        <n v="39.14"/>
        <n v="46.98"/>
        <n v="55.47"/>
        <n v="40.21"/>
        <n v="20.62"/>
        <n v="88.88"/>
        <n v="35.17"/>
        <n v="29.18"/>
        <n v="31.56"/>
        <n v="56.29"/>
        <n v="23.35"/>
        <n v="10.98"/>
        <n v="56.34"/>
        <n v="57.74"/>
        <n v="41.92"/>
        <n v="70.08"/>
        <n v="40.29"/>
        <n v="55.04"/>
        <n v="78.150000000000006"/>
        <n v="59.46"/>
        <n v="52.98"/>
        <n v="59.96"/>
        <n v="53.97"/>
        <n v="59.87"/>
        <n v="35.32"/>
        <n v="76.75"/>
        <n v="71.19"/>
        <n v="41.29"/>
        <n v="35.43"/>
        <n v="52.16"/>
        <n v="44.14"/>
        <n v="35.03"/>
        <n v="80.34"/>
        <n v="60.62"/>
        <n v="51.68"/>
        <n v="74.319999999999993"/>
        <n v="56.67"/>
        <n v="24.95"/>
        <n v="38.36"/>
        <n v="40.94"/>
        <n v="84.32"/>
        <n v="71.52"/>
        <n v="45.86"/>
        <n v="39.21"/>
        <n v="52.03"/>
        <n v="76.64"/>
        <n v="21.06"/>
        <n v="22.97"/>
        <n v="10.46"/>
        <n v="59.65"/>
        <n v="18.48"/>
        <n v="49.94"/>
        <n v="64.97"/>
        <n v="90.71"/>
        <n v="62.65"/>
        <n v="95.17"/>
        <n v="12.09"/>
        <n v="11.41"/>
        <n v="19.440000000000001"/>
        <n v="30.92"/>
        <n v="53.39"/>
        <n v="80.48"/>
        <n v="85.74"/>
        <n v="60.35"/>
        <n v="58.67"/>
        <n v="42.51"/>
        <n v="62.88"/>
        <n v="18.72"/>
        <n v="63.83"/>
        <n v="20.96"/>
        <n v="21.31"/>
        <n v="37.82"/>
        <n v="43.99"/>
        <n v="58.74"/>
        <n v="48.05"/>
        <n v="19.760000000000002"/>
        <n v="49.02"/>
        <n v="30.38"/>
        <n v="16.16"/>
        <n v="84.94"/>
        <n v="30.12"/>
        <n v="95.74"/>
        <n v="95.71"/>
        <n v="63.67"/>
        <n v="13.19"/>
        <n v="19.12"/>
        <n v="76.22"/>
        <n v="19.260000000000002"/>
        <n v="77.14"/>
        <n v="26.53"/>
        <n v="59.15"/>
        <n v="67.489999999999995"/>
        <n v="67.92"/>
        <n v="24.91"/>
        <n v="26.19"/>
        <n v="58.54"/>
        <n v="72.27"/>
        <n v="32.78"/>
        <n v="26.26"/>
        <n v="67.180000000000007"/>
        <n v="96.67"/>
        <n v="22.39"/>
        <n v="88.85"/>
        <n v="83.82"/>
        <n v="46.16"/>
        <n v="26.73"/>
        <n v="19.37"/>
        <n v="27.53"/>
        <n v="21.59"/>
        <n v="49.05"/>
        <n v="82.05"/>
        <n v="99.83"/>
        <n v="56.59"/>
        <n v="19.39"/>
        <n v="67.430000000000007"/>
        <n v="25.85"/>
        <n v="77.73"/>
        <n v="50.89"/>
        <n v="23.27"/>
        <n v="64.22"/>
        <n v="81.489999999999995"/>
        <n v="25.46"/>
        <n v="37.479999999999997"/>
        <n v="71.13"/>
        <n v="80.459999999999994"/>
        <n v="12.13"/>
        <n v="62.48"/>
        <n v="24.51"/>
        <n v="24.53"/>
        <n v="97.51"/>
        <n v="28.11"/>
        <n v="26.86"/>
        <n v="72.86"/>
        <n v="57.66"/>
        <n v="76.95"/>
        <n v="18.07"/>
        <n v="34.14"/>
        <n v="12.89"/>
        <n v="14.78"/>
        <n v="87.34"/>
        <n v="73.84"/>
        <n v="85.09"/>
        <n v="95.18"/>
        <n v="38.619999999999997"/>
        <n v="95.13"/>
        <n v="41.99"/>
        <n v="31.44"/>
        <n v="47.18"/>
        <n v="13.41"/>
        <n v="50.45"/>
        <n v="13.76"/>
        <n v="84.95"/>
        <n v="26.63"/>
        <n v="63.74"/>
        <n v="54.58"/>
        <n v="34.770000000000003"/>
        <n v="50.39"/>
        <n v="90.05"/>
        <n v="22.03"/>
        <n v="52.26"/>
        <n v="52.07"/>
        <n v="64.27"/>
        <n v="33.28"/>
        <n v="33.96"/>
        <n v="67.650000000000006"/>
        <n v="74.42"/>
        <n v="18.95"/>
        <n v="56.88"/>
        <n v="40.06"/>
        <n v="70.81"/>
        <n v="27.04"/>
        <n v="71.86"/>
        <n v="16.29"/>
        <n v="99.93"/>
        <n v="27.93"/>
        <n v="88.84"/>
        <n v="67.77"/>
        <n v="87.37"/>
        <n v="84.93"/>
        <n v="96.23"/>
        <n v="72.010000000000005"/>
        <n v="24.03"/>
        <n v="23.01"/>
        <n v="82.94"/>
        <n v="45.16"/>
        <n v="66.94"/>
        <n v="34.64"/>
        <n v="69.849999999999994"/>
        <n v="58.26"/>
        <n v="96.52"/>
        <n v="10.58"/>
        <n v="93.11"/>
        <n v="81.38"/>
        <n v="85.66"/>
        <n v="17.440000000000001"/>
        <n v="64.290000000000006"/>
        <n v="64.39"/>
        <n v="99.02"/>
        <n v="87.79"/>
        <n v="80.069999999999993"/>
        <n v="34.630000000000003"/>
        <n v="90.53"/>
        <n v="23.19"/>
        <n v="73.040000000000006"/>
        <n v="26.64"/>
        <n v="65.819999999999993"/>
        <n v="50.67"/>
        <n v="62.62"/>
        <n v="20.22"/>
        <n v="53.61"/>
        <n v="55.17"/>
        <n v="33.380000000000003"/>
        <n v="79.150000000000006"/>
        <n v="52.71"/>
        <n v="40.51"/>
        <n v="64.73"/>
        <n v="34.57"/>
        <n v="98.22"/>
        <n v="80.72"/>
        <n v="86.19"/>
        <n v="83.24"/>
        <n v="49.06"/>
        <n v="40.159999999999997"/>
        <n v="23.11"/>
        <n v="98.77"/>
        <n v="25.06"/>
        <n v="76.38"/>
        <n v="73.73"/>
        <n v="29.57"/>
        <n v="23.05"/>
        <n v="66.34"/>
        <n v="93.98"/>
        <n v="10.94"/>
        <n v="80.08"/>
        <n v="38.270000000000003"/>
        <n v="73.12"/>
        <n v="68.53"/>
        <n v="31.25"/>
        <n v="28.51"/>
        <n v="83.16"/>
        <n v="31.05"/>
        <n v="98.01"/>
        <n v="98.44"/>
        <n v="54.63"/>
        <n v="45.21"/>
        <n v="56.86"/>
        <n v="14.91"/>
        <n v="29.24"/>
        <n v="60.34"/>
        <n v="68.17"/>
        <n v="44.47"/>
        <n v="75.03"/>
        <n v="63.46"/>
        <n v="11.78"/>
        <n v="24.01"/>
        <n v="71.760000000000005"/>
        <n v="91.95"/>
        <n v="92.63"/>
        <n v="92.99"/>
        <n v="97.58"/>
        <n v="70.19"/>
        <n v="83.14"/>
        <n v="58.64"/>
        <n v="75.260000000000005"/>
        <n v="28.56"/>
        <n v="53.94"/>
        <n v="61.26"/>
        <n v="67.040000000000006"/>
        <n v="61.57"/>
        <n v="27.33"/>
        <n v="10.87"/>
        <n v="61.43"/>
        <n v="21.15"/>
        <n v="53.65"/>
        <n v="84.74"/>
        <n v="33.04"/>
        <n v="72.319999999999993"/>
        <n v="15.42"/>
        <n v="65.41"/>
        <n v="53.95"/>
        <n v="76.41"/>
        <n v="38.69"/>
        <n v="83.36"/>
        <n v="21.14"/>
        <n v="69.17"/>
        <n v="27.66"/>
        <n v="70.12"/>
        <n v="61.92"/>
        <n v="39.72"/>
        <n v="51.35"/>
        <n v="24.83"/>
        <n v="93.81"/>
        <n v="83.95"/>
        <n v="28.35"/>
      </sharedItems>
    </cacheField>
    <cacheField name="Plaintes_Service_Client" numFmtId="0">
      <sharedItems containsSemiMixedTypes="0" containsString="0" containsNumber="1" containsInteger="1" minValue="0" maxValue="5"/>
    </cacheField>
    <cacheField name="Type_Client" numFmtId="0">
      <sharedItems count="2">
        <s v="B2B"/>
        <s v="B2C"/>
      </sharedItems>
    </cacheField>
    <cacheField name="Panne_Heure" numFmtId="21">
      <sharedItems containsSemiMixedTypes="0" containsNonDate="0" containsDate="1" containsString="0" minDate="1899-12-30T00:01:00" maxDate="1899-12-30T08:19:00" count="377">
        <d v="1899-12-30T01:52:00"/>
        <d v="1899-12-30T04:57:00"/>
        <d v="1899-12-30T02:52:00"/>
        <d v="1899-12-30T02:04:00"/>
        <d v="1899-12-30T08:08:00"/>
        <d v="1899-12-30T03:36:00"/>
        <d v="1899-12-30T05:44:00"/>
        <d v="1899-12-30T01:35:00"/>
        <d v="1899-12-30T05:32:00"/>
        <d v="1899-12-30T00:31:00"/>
        <d v="1899-12-30T01:45:00"/>
        <d v="1899-12-30T02:12:00"/>
        <d v="1899-12-30T05:45:00"/>
        <d v="1899-12-30T00:54:00"/>
        <d v="1899-12-30T07:41:00"/>
        <d v="1899-12-30T00:40:00"/>
        <d v="1899-12-30T03:02:00"/>
        <d v="1899-12-30T02:40:00"/>
        <d v="1899-12-30T01:59:00"/>
        <d v="1899-12-30T04:24:00"/>
        <d v="1899-12-30T01:00:00"/>
        <d v="1899-12-30T04:43:00"/>
        <d v="1899-12-30T08:19:00"/>
        <d v="1899-12-30T01:15:00"/>
        <d v="1899-12-30T07:09:00"/>
        <d v="1899-12-30T06:40:00"/>
        <d v="1899-12-30T07:15:00"/>
        <d v="1899-12-30T00:42:00"/>
        <d v="1899-12-30T08:13:00"/>
        <d v="1899-12-30T02:47:00"/>
        <d v="1899-12-30T06:28:00"/>
        <d v="1899-12-30T02:30:00"/>
        <d v="1899-12-30T01:28:00"/>
        <d v="1899-12-30T07:16:00"/>
        <d v="1899-12-30T00:52:00"/>
        <d v="1899-12-30T07:34:00"/>
        <d v="1899-12-30T01:04:00"/>
        <d v="1899-12-30T08:06:00"/>
        <d v="1899-12-30T07:47:00"/>
        <d v="1899-12-30T03:44:00"/>
        <d v="1899-12-30T05:25:00"/>
        <d v="1899-12-30T02:05:00"/>
        <d v="1899-12-30T07:25:00"/>
        <d v="1899-12-30T00:27:00"/>
        <d v="1899-12-30T00:11:00"/>
        <d v="1899-12-30T06:42:00"/>
        <d v="1899-12-30T07:37:00"/>
        <d v="1899-12-30T03:08:00"/>
        <d v="1899-12-30T02:15:00"/>
        <d v="1899-12-30T06:43:00"/>
        <d v="1899-12-30T01:48:00"/>
        <d v="1899-12-30T05:05:00"/>
        <d v="1899-12-30T05:19:00"/>
        <d v="1899-12-30T03:11:00"/>
        <d v="1899-12-30T02:34:00"/>
        <d v="1899-12-30T00:35:00"/>
        <d v="1899-12-30T01:47:00"/>
        <d v="1899-12-30T03:07:00"/>
        <d v="1899-12-30T06:18:00"/>
        <d v="1899-12-30T01:24:00"/>
        <d v="1899-12-30T03:39:00"/>
        <d v="1899-12-30T06:07:00"/>
        <d v="1899-12-30T01:16:00"/>
        <d v="1899-12-30T05:54:00"/>
        <d v="1899-12-30T00:22:00"/>
        <d v="1899-12-30T03:12:00"/>
        <d v="1899-12-30T05:06:00"/>
        <d v="1899-12-30T02:16:00"/>
        <d v="1899-12-30T00:20:00"/>
        <d v="1899-12-30T07:55:00"/>
        <d v="1899-12-30T07:05:00"/>
        <d v="1899-12-30T04:08:00"/>
        <d v="1899-12-30T05:40:00"/>
        <d v="1899-12-30T00:26:00"/>
        <d v="1899-12-30T03:01:00"/>
        <d v="1899-12-30T02:17:00"/>
        <d v="1899-12-30T07:29:00"/>
        <d v="1899-12-30T06:32:00"/>
        <d v="1899-12-30T00:38:00"/>
        <d v="1899-12-30T05:34:00"/>
        <d v="1899-12-30T00:48:00"/>
        <d v="1899-12-30T03:54:00"/>
        <d v="1899-12-30T06:20:00"/>
        <d v="1899-12-30T06:11:00"/>
        <d v="1899-12-30T05:47:00"/>
        <d v="1899-12-30T06:53:00"/>
        <d v="1899-12-30T08:16:00"/>
        <d v="1899-12-30T05:28:00"/>
        <d v="1899-12-30T02:31:00"/>
        <d v="1899-12-30T02:55:00"/>
        <d v="1899-12-30T06:02:00"/>
        <d v="1899-12-30T00:49:00"/>
        <d v="1899-12-30T01:33:00"/>
        <d v="1899-12-30T01:34:00"/>
        <d v="1899-12-30T01:21:00"/>
        <d v="1899-12-30T00:34:00"/>
        <d v="1899-12-30T02:35:00"/>
        <d v="1899-12-30T08:07:00"/>
        <d v="1899-12-30T03:34:00"/>
        <d v="1899-12-30T00:23:00"/>
        <d v="1899-12-30T05:04:00"/>
        <d v="1899-12-30T02:00:00"/>
        <d v="1899-12-30T01:39:00"/>
        <d v="1899-12-30T05:00:00"/>
        <d v="1899-12-30T04:30:00"/>
        <d v="1899-12-30T00:41:00"/>
        <d v="1899-12-30T04:23:00"/>
        <d v="1899-12-30T02:53:00"/>
        <d v="1899-12-30T00:30:00"/>
        <d v="1899-12-30T04:31:00"/>
        <d v="1899-12-30T04:42:00"/>
        <d v="1899-12-30T05:23:00"/>
        <d v="1899-12-30T03:40:00"/>
        <d v="1899-12-30T03:33:00"/>
        <d v="1899-12-30T06:56:00"/>
        <d v="1899-12-30T05:36:00"/>
        <d v="1899-12-30T00:21:00"/>
        <d v="1899-12-30T04:33:00"/>
        <d v="1899-12-30T05:43:00"/>
        <d v="1899-12-30T06:47:00"/>
        <d v="1899-12-30T04:02:00"/>
        <d v="1899-12-30T01:38:00"/>
        <d v="1899-12-30T07:30:00"/>
        <d v="1899-12-30T00:06:00"/>
        <d v="1899-12-30T02:32:00"/>
        <d v="1899-12-30T06:30:00"/>
        <d v="1899-12-30T03:16:00"/>
        <d v="1899-12-30T03:06:00"/>
        <d v="1899-12-30T04:20:00"/>
        <d v="1899-12-30T05:03:00"/>
        <d v="1899-12-30T02:03:00"/>
        <d v="1899-12-30T03:27:00"/>
        <d v="1899-12-30T06:58:00"/>
        <d v="1899-12-30T07:45:00"/>
        <d v="1899-12-30T02:19:00"/>
        <d v="1899-12-30T00:32:00"/>
        <d v="1899-12-30T05:07:00"/>
        <d v="1899-12-30T03:23:00"/>
        <d v="1899-12-30T03:38:00"/>
        <d v="1899-12-30T04:48:00"/>
        <d v="1899-12-30T05:52:00"/>
        <d v="1899-12-30T04:00:00"/>
        <d v="1899-12-30T06:09:00"/>
        <d v="1899-12-30T00:51:00"/>
        <d v="1899-12-30T07:03:00"/>
        <d v="1899-12-30T08:03:00"/>
        <d v="1899-12-30T03:13:00"/>
        <d v="1899-12-30T05:42:00"/>
        <d v="1899-12-30T05:21:00"/>
        <d v="1899-12-30T05:10:00"/>
        <d v="1899-12-30T06:10:00"/>
        <d v="1899-12-30T01:51:00"/>
        <d v="1899-12-30T04:01:00"/>
        <d v="1899-12-30T03:46:00"/>
        <d v="1899-12-30T04:22:00"/>
        <d v="1899-12-30T04:28:00"/>
        <d v="1899-12-30T08:00:00"/>
        <d v="1899-12-30T03:57:00"/>
        <d v="1899-12-30T05:16:00"/>
        <d v="1899-12-30T06:44:00"/>
        <d v="1899-12-30T04:51:00"/>
        <d v="1899-12-30T06:21:00"/>
        <d v="1899-12-30T01:58:00"/>
        <d v="1899-12-30T01:12:00"/>
        <d v="1899-12-30T06:45:00"/>
        <d v="1899-12-30T04:21:00"/>
        <d v="1899-12-30T04:13:00"/>
        <d v="1899-12-30T02:57:00"/>
        <d v="1899-12-30T06:31:00"/>
        <d v="1899-12-30T07:01:00"/>
        <d v="1899-12-30T00:56:00"/>
        <d v="1899-12-30T07:32:00"/>
        <d v="1899-12-30T06:25:00"/>
        <d v="1899-12-30T01:42:00"/>
        <d v="1899-12-30T05:37:00"/>
        <d v="1899-12-30T01:29:00"/>
        <d v="1899-12-30T03:28:00"/>
        <d v="1899-12-30T07:54:00"/>
        <d v="1899-12-30T07:10:00"/>
        <d v="1899-12-30T04:03:00"/>
        <d v="1899-12-30T00:14:00"/>
        <d v="1899-12-30T04:59:00"/>
        <d v="1899-12-30T08:04:00"/>
        <d v="1899-12-30T06:23:00"/>
        <d v="1899-12-30T07:42:00"/>
        <d v="1899-12-30T00:43:00"/>
        <d v="1899-12-30T06:37:00"/>
        <d v="1899-12-30T04:40:00"/>
        <d v="1899-12-30T00:33:00"/>
        <d v="1899-12-30T01:49:00"/>
        <d v="1899-12-30T01:30:00"/>
        <d v="1899-12-30T07:52:00"/>
        <d v="1899-12-30T03:56:00"/>
        <d v="1899-12-30T02:13:00"/>
        <d v="1899-12-30T07:43:00"/>
        <d v="1899-12-30T07:33:00"/>
        <d v="1899-12-30T00:09:00"/>
        <d v="1899-12-30T00:16:00"/>
        <d v="1899-12-30T07:40:00"/>
        <d v="1899-12-30T01:03:00"/>
        <d v="1899-12-30T03:35:00"/>
        <d v="1899-12-30T07:38:00"/>
        <d v="1899-12-30T00:50:00"/>
        <d v="1899-12-30T03:25:00"/>
        <d v="1899-12-30T04:34:00"/>
        <d v="1899-12-30T05:13:00"/>
        <d v="1899-12-30T02:06:00"/>
        <d v="1899-12-30T08:02:00"/>
        <d v="1899-12-30T03:47:00"/>
        <d v="1899-12-30T07:00:00"/>
        <d v="1899-12-30T05:53:00"/>
        <d v="1899-12-30T00:17:00"/>
        <d v="1899-12-30T01:27:00"/>
        <d v="1899-12-30T02:18:00"/>
        <d v="1899-12-30T00:55:00"/>
        <d v="1899-12-30T04:07:00"/>
        <d v="1899-12-30T02:01:00"/>
        <d v="1899-12-30T03:14:00"/>
        <d v="1899-12-30T01:06:00"/>
        <d v="1899-12-30T04:49:00"/>
        <d v="1899-12-30T05:12:00"/>
        <d v="1899-12-30T00:05:00"/>
        <d v="1899-12-30T05:17:00"/>
        <d v="1899-12-30T01:36:00"/>
        <d v="1899-12-30T04:25:00"/>
        <d v="1899-12-30T02:08:00"/>
        <d v="1899-12-30T00:03:00"/>
        <d v="1899-12-30T01:08:00"/>
        <d v="1899-12-30T03:48:00"/>
        <d v="1899-12-30T01:44:00"/>
        <d v="1899-12-30T06:27:00"/>
        <d v="1899-12-30T00:47:00"/>
        <d v="1899-12-30T03:59:00"/>
        <d v="1899-12-30T05:27:00"/>
        <d v="1899-12-30T04:27:00"/>
        <d v="1899-12-30T00:15:00"/>
        <d v="1899-12-30T07:19:00"/>
        <d v="1899-12-30T07:56:00"/>
        <d v="1899-12-30T08:01:00"/>
        <d v="1899-12-30T02:58:00"/>
        <d v="1899-12-30T05:56:00"/>
        <d v="1899-12-30T01:43:00"/>
        <d v="1899-12-30T00:58:00"/>
        <d v="1899-12-30T01:02:00"/>
        <d v="1899-12-30T00:37:00"/>
        <d v="1899-12-30T06:19:00"/>
        <d v="1899-12-30T04:50:00"/>
        <d v="1899-12-30T00:25:00"/>
        <d v="1899-12-30T03:55:00"/>
        <d v="1899-12-30T01:11:00"/>
        <d v="1899-12-30T01:10:00"/>
        <d v="1899-12-30T06:52:00"/>
        <d v="1899-12-30T06:08:00"/>
        <d v="1899-12-30T05:38:00"/>
        <d v="1899-12-30T07:26:00"/>
        <d v="1899-12-30T03:10:00"/>
        <d v="1899-12-30T04:04:00"/>
        <d v="1899-12-30T07:24:00"/>
        <d v="1899-12-30T04:12:00"/>
        <d v="1899-12-30T02:51:00"/>
        <d v="1899-12-30T05:39:00"/>
        <d v="1899-12-30T02:49:00"/>
        <d v="1899-12-30T05:59:00"/>
        <d v="1899-12-30T02:48:00"/>
        <d v="1899-12-30T07:22:00"/>
        <d v="1899-12-30T05:33:00"/>
        <d v="1899-12-30T04:45:00"/>
        <d v="1899-12-30T03:45:00"/>
        <d v="1899-12-30T03:52:00"/>
        <d v="1899-12-30T05:50:00"/>
        <d v="1899-12-30T07:53:00"/>
        <d v="1899-12-30T04:52:00"/>
        <d v="1899-12-30T01:05:00"/>
        <d v="1899-12-30T07:31:00"/>
        <d v="1899-12-30T05:55:00"/>
        <d v="1899-12-30T01:17:00"/>
        <d v="1899-12-30T05:20:00"/>
        <d v="1899-12-30T06:57:00"/>
        <d v="1899-12-30T02:10:00"/>
        <d v="1899-12-30T02:41:00"/>
        <d v="1899-12-30T07:17:00"/>
        <d v="1899-12-30T07:23:00"/>
        <d v="1899-12-30T00:07:00"/>
        <d v="1899-12-30T05:48:00"/>
        <d v="1899-12-30T03:29:00"/>
        <d v="1899-12-30T04:39:00"/>
        <d v="1899-12-30T05:30:00"/>
        <d v="1899-12-30T01:41:00"/>
        <d v="1899-12-30T02:23:00"/>
        <d v="1899-12-30T07:28:00"/>
        <d v="1899-12-30T04:38:00"/>
        <d v="1899-12-30T02:02:00"/>
        <d v="1899-12-30T05:11:00"/>
        <d v="1899-12-30T01:55:00"/>
        <d v="1899-12-30T08:09:00"/>
        <d v="1899-12-30T05:14:00"/>
        <d v="1899-12-30T00:39:00"/>
        <d v="1899-12-30T02:11:00"/>
        <d v="1899-12-30T00:02:00"/>
        <d v="1899-12-30T05:57:00"/>
        <d v="1899-12-30T03:00:00"/>
        <d v="1899-12-30T04:53:00"/>
        <d v="1899-12-30T00:28:00"/>
        <d v="1899-12-30T01:25:00"/>
        <d v="1899-12-30T06:12:00"/>
        <d v="1899-12-30T00:45:00"/>
        <d v="1899-12-30T02:22:00"/>
        <d v="1899-12-30T00:57:00"/>
        <d v="1899-12-30T03:30:00"/>
        <d v="1899-12-30T06:29:00"/>
        <d v="1899-12-30T03:26:00"/>
        <d v="1899-12-30T07:27:00"/>
        <d v="1899-12-30T08:11:00"/>
        <d v="1899-12-30T01:01:00"/>
        <d v="1899-12-30T03:09:00"/>
        <d v="1899-12-30T02:28:00"/>
        <d v="1899-12-30T05:24:00"/>
        <d v="1899-12-30T00:08:00"/>
        <d v="1899-12-30T02:50:00"/>
        <d v="1899-12-30T07:08:00"/>
        <d v="1899-12-30T05:35:00"/>
        <d v="1899-12-30T02:45:00"/>
        <d v="1899-12-30T04:15:00"/>
        <d v="1899-12-30T04:17:00"/>
        <d v="1899-12-30T07:07:00"/>
        <d v="1899-12-30T00:18:00"/>
        <d v="1899-12-30T05:29:00"/>
        <d v="1899-12-30T01:18:00"/>
        <d v="1899-12-30T00:04:00"/>
        <d v="1899-12-30T02:56:00"/>
        <d v="1899-12-30T03:19:00"/>
        <d v="1899-12-30T03:42:00"/>
        <d v="1899-12-30T06:14:00"/>
        <d v="1899-12-30T02:42:00"/>
        <d v="1899-12-30T01:50:00"/>
        <d v="1899-12-30T06:15:00"/>
        <d v="1899-12-30T00:01:00"/>
        <d v="1899-12-30T01:31:00"/>
        <d v="1899-12-30T03:18:00"/>
        <d v="1899-12-30T06:24:00"/>
        <d v="1899-12-30T06:26:00"/>
        <d v="1899-12-30T01:26:00"/>
        <d v="1899-12-30T08:05:00"/>
        <d v="1899-12-30T06:54:00"/>
        <d v="1899-12-30T06:04:00"/>
        <d v="1899-12-30T04:35:00"/>
        <d v="1899-12-30T01:54:00"/>
        <d v="1899-12-30T02:54:00"/>
        <d v="1899-12-30T03:51:00"/>
        <d v="1899-12-30T04:58:00"/>
        <d v="1899-12-30T07:51:00"/>
        <d v="1899-12-30T03:15:00"/>
        <d v="1899-12-30T04:41:00"/>
        <d v="1899-12-30T02:33:00"/>
        <d v="1899-12-30T02:07:00"/>
        <d v="1899-12-30T07:13:00"/>
        <d v="1899-12-30T04:18:00"/>
        <d v="1899-12-30T03:53:00"/>
        <d v="1899-12-30T04:05:00"/>
        <d v="1899-12-30T05:26:00"/>
        <d v="1899-12-30T00:13:00"/>
        <d v="1899-12-30T05:58:00"/>
        <d v="1899-12-30T01:56:00"/>
        <d v="1899-12-30T01:20:00"/>
        <d v="1899-12-30T06:38:00"/>
        <d v="1899-12-30T03:49:00"/>
        <d v="1899-12-30T04:36:00"/>
        <d v="1899-12-30T08:18:00"/>
        <d v="1899-12-30T04:56:00"/>
        <d v="1899-12-30T07:12:00"/>
        <d v="1899-12-30T06:55:00"/>
        <d v="1899-12-30T06:05:00"/>
        <d v="1899-12-30T03:17:00"/>
        <d v="1899-12-30T04:06:00"/>
        <d v="1899-12-30T02:21:00"/>
        <d v="1899-12-30T02:09:00"/>
        <d v="1899-12-30T02:29:00"/>
      </sharedItems>
      <fieldGroup par="14"/>
    </cacheField>
    <cacheField name="Anciennete_Annee" numFmtId="1">
      <sharedItems containsSemiMixedTypes="0" containsString="0" containsNumber="1" minValue="-4.416666666666667" maxValue="10"/>
    </cacheField>
    <cacheField name="Remise" numFmtId="0">
      <sharedItems containsSemiMixedTypes="0" containsString="0" containsNumber="1" minValue="0" maxValue="0.45" count="3">
        <n v="0.1"/>
        <n v="0.45"/>
        <n v="0"/>
      </sharedItems>
    </cacheField>
    <cacheField name="Montant_Remise" numFmtId="2">
      <sharedItems containsSemiMixedTypes="0" containsString="0" containsNumber="1" minValue="0" maxValue="44.968500000000006" count="446">
        <n v="9.8950000000000014"/>
        <n v="38.097000000000001"/>
        <n v="0"/>
        <n v="9.5265000000000004"/>
        <n v="3.3740000000000006"/>
        <n v="4.6259999999999994"/>
        <n v="5.0175000000000001"/>
        <n v="2.1270000000000002"/>
        <n v="6.152000000000001"/>
        <n v="37.6785"/>
        <n v="17.266500000000001"/>
        <n v="8.9560000000000013"/>
        <n v="44.0505"/>
        <n v="25.2225"/>
        <n v="12.5145"/>
        <n v="20.515500000000003"/>
        <n v="10.7235"/>
        <n v="25.051500000000001"/>
        <n v="35.140500000000003"/>
        <n v="12.537000000000001"/>
        <n v="4.8640000000000008"/>
        <n v="18.909000000000002"/>
        <n v="4.9005000000000001"/>
        <n v="24.4665"/>
        <n v="39.654000000000003"/>
        <n v="4.7115"/>
        <n v="17.527500000000003"/>
        <n v="34.389000000000003"/>
        <n v="20.178000000000001"/>
        <n v="29.470499999999998"/>
        <n v="8.2810000000000006"/>
        <n v="10.849500000000001"/>
        <n v="14.166"/>
        <n v="12.770999999999999"/>
        <n v="5.9445000000000006"/>
        <n v="8.9160000000000004"/>
        <n v="34.704000000000001"/>
        <n v="36.499499999999998"/>
        <n v="39.860999999999997"/>
        <n v="8.3040000000000003"/>
        <n v="3.2509999999999999"/>
        <n v="2.1260000000000003"/>
        <n v="16.389000000000003"/>
        <n v="32.755500000000005"/>
        <n v="24.9435"/>
        <n v="14.436"/>
        <n v="6.2865000000000002"/>
        <n v="11.691000000000001"/>
        <n v="19.048500000000001"/>
        <n v="31.239000000000001"/>
        <n v="13.959"/>
        <n v="43.762500000000003"/>
        <n v="7.2390000000000008"/>
        <n v="3.258"/>
        <n v="16.686"/>
        <n v="12.177"/>
        <n v="19.791"/>
        <n v="43.609499999999997"/>
        <n v="8.6219999999999999"/>
        <n v="3.798"/>
        <n v="5.4494999999999996"/>
        <n v="21.739500000000003"/>
        <n v="18.828000000000003"/>
        <n v="13.041"/>
        <n v="12.775500000000001"/>
        <n v="7.0695000000000006"/>
        <n v="27.5715"/>
        <n v="34.082999999999998"/>
        <n v="4.891"/>
        <n v="22.698"/>
        <n v="4.0659999999999998"/>
        <n v="26.271000000000001"/>
        <n v="4.657"/>
        <n v="16.443000000000001"/>
        <n v="29.493000000000002"/>
        <n v="36.985500000000002"/>
        <n v="34.146000000000001"/>
        <n v="24.241499999999998"/>
        <n v="20.371500000000001"/>
        <n v="42.799500000000002"/>
        <n v="29.1465"/>
        <n v="37.264500000000005"/>
        <n v="23.8095"/>
        <n v="24.111000000000001"/>
        <n v="6.3540000000000001"/>
        <n v="36.567"/>
        <n v="29.461500000000001"/>
        <n v="17.0595"/>
        <n v="28.953000000000003"/>
        <n v="32.274000000000001"/>
        <n v="20.259"/>
        <n v="26.964000000000002"/>
        <n v="40.297499999999999"/>
        <n v="27.693000000000001"/>
        <n v="22.261500000000002"/>
        <n v="44.001000000000005"/>
        <n v="32.368500000000004"/>
        <n v="6.8039999999999994"/>
        <n v="16.843499999999999"/>
        <n v="5.0140000000000002"/>
        <n v="23.971500000000002"/>
        <n v="41.832000000000001"/>
        <n v="8.668000000000001"/>
        <n v="23.688000000000002"/>
        <n v="26.226000000000003"/>
        <n v="29.641500000000004"/>
        <n v="27.427500000000002"/>
        <n v="17.8065"/>
        <n v="13.392000000000001"/>
        <n v="38.983499999999999"/>
        <n v="26.365500000000001"/>
        <n v="17.9145"/>
        <n v="3.5540000000000003"/>
        <n v="39.7575"/>
        <n v="40.302"/>
        <n v="5.5289999999999999"/>
        <n v="41.094000000000001"/>
        <n v="32.823"/>
        <n v="5.6340000000000003"/>
        <n v="30.244499999999999"/>
        <n v="39.613500000000002"/>
        <n v="9.5090000000000003"/>
        <n v="16.807500000000001"/>
        <n v="34.686"/>
        <n v="16.114500000000003"/>
        <n v="22.747499999999999"/>
        <n v="19.377000000000002"/>
        <n v="36.706499999999998"/>
        <n v="8.8559999999999999"/>
        <n v="9.7515000000000018"/>
        <n v="21.474"/>
        <n v="9.4380000000000006"/>
        <n v="37.683"/>
        <n v="12.0375"/>
        <n v="12.807"/>
        <n v="14.112"/>
        <n v="21.519000000000002"/>
        <n v="8.581999999999999"/>
        <n v="28.053000000000001"/>
        <n v="44.401499999999999"/>
        <n v="9.6704999999999988"/>
        <n v="44.091000000000001"/>
        <n v="40.850999999999999"/>
        <n v="7.2430000000000012"/>
        <n v="14.557500000000001"/>
        <n v="13.1175"/>
        <n v="8.275500000000001"/>
        <n v="31.540500000000002"/>
        <n v="16.623000000000001"/>
        <n v="39.865500000000004"/>
        <n v="8.2260000000000009"/>
        <n v="11.808"/>
        <n v="30.541500000000003"/>
        <n v="34.056000000000004"/>
        <n v="18.598500000000001"/>
        <n v="27.697499999999998"/>
        <n v="43.465500000000006"/>
        <n v="30.901500000000002"/>
        <n v="37.570499999999996"/>
        <n v="40.554000000000002"/>
        <n v="9.4510000000000005"/>
        <n v="24.313500000000001"/>
        <n v="9.4815000000000005"/>
        <n v="16.636500000000002"/>
        <n v="24.8355"/>
        <n v="5.8070000000000004"/>
        <n v="43.344000000000001"/>
        <n v="27.890999999999998"/>
        <n v="24.1785"/>
        <n v="38.587499999999999"/>
        <n v="18.859500000000001"/>
        <n v="5.6479999999999997"/>
        <n v="28.764000000000003"/>
        <n v="36.161999999999999"/>
        <n v="31.509"/>
        <n v="44.176500000000004"/>
        <n v="35.298000000000002"/>
        <n v="21.6585"/>
        <n v="18.747"/>
        <n v="30.604500000000002"/>
        <n v="6.8265000000000002"/>
        <n v="25.578000000000003"/>
        <n v="25.280999999999999"/>
        <n v="40.027500000000003"/>
        <n v="25.146000000000001"/>
        <n v="5.4690000000000003"/>
        <n v="44.149500000000003"/>
        <n v="11.0565"/>
        <n v="22.162500000000001"/>
        <n v="40.8825"/>
        <n v="12.586499999999999"/>
        <n v="14.620500000000002"/>
        <n v="22.567499999999999"/>
        <n v="30.267000000000003"/>
        <n v="11.416500000000001"/>
        <n v="6.7459999999999996"/>
        <n v="3.5920000000000005"/>
        <n v="33.408000000000001"/>
        <n v="8.2560000000000002"/>
        <n v="43.456499999999998"/>
        <n v="5.4430000000000005"/>
        <n v="4.8550000000000004"/>
        <n v="9.0140000000000011"/>
        <n v="36.972000000000001"/>
        <n v="8.9010000000000016"/>
        <n v="37.651499999999999"/>
        <n v="18.396000000000001"/>
        <n v="43.793999999999997"/>
        <n v="39.051000000000002"/>
        <n v="40.8645"/>
        <n v="6.6464999999999996"/>
        <n v="5.2335000000000003"/>
        <n v="39.257999999999996"/>
        <n v="33.7455"/>
        <n v="4.1520000000000001"/>
        <n v="30.951000000000001"/>
        <n v="6.1289999999999996"/>
        <n v="10.2645"/>
        <n v="18.8325"/>
        <n v="3.097"/>
        <n v="13.2165"/>
        <n v="5.0804999999999998"/>
        <n v="15.192"/>
        <n v="3.2060000000000004"/>
        <n v="9.4770000000000003"/>
        <n v="22.054500000000001"/>
        <n v="19.777500000000003"/>
        <n v="8.5540000000000003"/>
        <n v="43.339500000000001"/>
        <n v="6.7545000000000002"/>
        <n v="28.174500000000002"/>
        <n v="3.9140000000000001"/>
        <n v="24.961500000000001"/>
        <n v="18.0945"/>
        <n v="9.2789999999999999"/>
        <n v="39.996000000000002"/>
        <n v="15.826500000000001"/>
        <n v="13.131"/>
        <n v="14.202"/>
        <n v="10.5075"/>
        <n v="25.353000000000002"/>
        <n v="18.864000000000001"/>
        <n v="31.536000000000001"/>
        <n v="18.130500000000001"/>
        <n v="24.768000000000001"/>
        <n v="35.167500000000004"/>
        <n v="26.757000000000001"/>
        <n v="5.298"/>
        <n v="26.981999999999999"/>
        <n v="5.3970000000000002"/>
        <n v="26.941499999999998"/>
        <n v="3.532"/>
        <n v="32.035499999999999"/>
        <n v="4.1290000000000004"/>
        <n v="15.9435"/>
        <n v="5.2160000000000002"/>
        <n v="15.763500000000001"/>
        <n v="36.153000000000006"/>
        <n v="27.279"/>
        <n v="23.256"/>
        <n v="33.443999999999996"/>
        <n v="25.5015"/>
        <n v="2.4950000000000001"/>
        <n v="37.943999999999996"/>
        <n v="32.183999999999997"/>
        <n v="4.5860000000000003"/>
        <n v="17.644500000000001"/>
        <n v="23.413500000000003"/>
        <n v="2.2970000000000002"/>
        <n v="4.7070000000000007"/>
        <n v="26.842500000000001"/>
        <n v="22.472999999999999"/>
        <n v="29.236499999999999"/>
        <n v="40.819499999999998"/>
        <n v="42.826500000000003"/>
        <n v="5.4405000000000001"/>
        <n v="1.141"/>
        <n v="8.7480000000000011"/>
        <n v="36.216000000000001"/>
        <n v="38.582999999999998"/>
        <n v="27.157500000000002"/>
        <n v="26.401500000000002"/>
        <n v="28.296000000000003"/>
        <n v="28.723500000000001"/>
        <n v="9.4320000000000004"/>
        <n v="17.019000000000002"/>
        <n v="26.433"/>
        <n v="8.8920000000000012"/>
        <n v="22.059000000000001"/>
        <n v="13.554"/>
        <n v="9.5739999999999998"/>
        <n v="9.5709999999999997"/>
        <n v="5.9355000000000002"/>
        <n v="34.298999999999999"/>
        <n v="8.6670000000000016"/>
        <n v="30.564"/>
        <n v="11.785500000000001"/>
        <n v="26.343"/>
        <n v="7.2270000000000003"/>
        <n v="14.751000000000001"/>
        <n v="43.5015"/>
        <n v="7.6050000000000004"/>
        <n v="10.0755"/>
        <n v="39.982500000000002"/>
        <n v="4.6159999999999997"/>
        <n v="12.028500000000001"/>
        <n v="12.388500000000001"/>
        <n v="36.922499999999999"/>
        <n v="44.923499999999997"/>
        <n v="1.9390000000000001"/>
        <n v="30.343500000000002"/>
        <n v="28.651500000000002"/>
        <n v="10.471500000000001"/>
        <n v="28.899000000000001"/>
        <n v="16.866"/>
        <n v="36.207000000000001"/>
        <n v="5.4585000000000008"/>
        <n v="28.116"/>
        <n v="11.029500000000001"/>
        <n v="11.038500000000001"/>
        <n v="43.8795"/>
        <n v="12.6495"/>
        <n v="7.2860000000000005"/>
        <n v="8.1315000000000008"/>
        <n v="5.8005000000000004"/>
        <n v="6.6509999999999998"/>
        <n v="33.228000000000002"/>
        <n v="38.290500000000002"/>
        <n v="3.8620000000000001"/>
        <n v="42.808500000000002"/>
        <n v="18.895500000000002"/>
        <n v="14.148000000000001"/>
        <n v="4.718"/>
        <n v="43.082999999999998"/>
        <n v="1.3410000000000002"/>
        <n v="22.702500000000001"/>
        <n v="6.1920000000000002"/>
        <n v="38.227499999999999"/>
        <n v="2.6630000000000003"/>
        <n v="6.3740000000000006"/>
        <n v="24.561"/>
        <n v="15.646500000000001"/>
        <n v="22.6755"/>
        <n v="2.2030000000000003"/>
        <n v="23.4315"/>
        <n v="28.921499999999998"/>
        <n v="33.489000000000004"/>
        <n v="8.5274999999999999"/>
        <n v="25.596"/>
        <n v="18.027000000000001"/>
        <n v="31.864500000000003"/>
        <n v="2.7040000000000002"/>
        <n v="32.337000000000003"/>
        <n v="7.3304999999999998"/>
        <n v="44.968500000000006"/>
        <n v="2.7930000000000001"/>
        <n v="30.496499999999997"/>
        <n v="39.316500000000005"/>
        <n v="38.218500000000006"/>
        <n v="32.404500000000006"/>
        <n v="10.813500000000001"/>
        <n v="10.354500000000002"/>
        <n v="37.323"/>
        <n v="20.321999999999999"/>
        <n v="30.123000000000001"/>
        <n v="43.767000000000003"/>
        <n v="26.216999999999999"/>
        <n v="43.433999999999997"/>
        <n v="4.7610000000000001"/>
        <n v="41.899500000000003"/>
        <n v="36.621000000000002"/>
        <n v="7.8480000000000008"/>
        <n v="28.930500000000002"/>
        <n v="28.9755"/>
        <n v="39.505500000000005"/>
        <n v="36.031500000000001"/>
        <n v="32.868000000000002"/>
        <n v="11.988000000000001"/>
        <n v="29.618999999999996"/>
        <n v="17.811"/>
        <n v="2.0219999999999998"/>
        <n v="24.124500000000001"/>
        <n v="24.826500000000003"/>
        <n v="15.021000000000001"/>
        <n v="35.617500000000007"/>
        <n v="18.229499999999998"/>
        <n v="29.128500000000003"/>
        <n v="15.5565"/>
        <n v="34.438500000000005"/>
        <n v="44.198999999999998"/>
        <n v="36.323999999999998"/>
        <n v="37.457999999999998"/>
        <n v="4.9060000000000006"/>
        <n v="10.3995"/>
        <n v="11.276999999999999"/>
        <n v="34.371000000000002"/>
        <n v="13.3065"/>
        <n v="2.3050000000000002"/>
        <n v="29.853000000000002"/>
        <n v="42.291000000000004"/>
        <n v="1.0940000000000001"/>
        <n v="36.036000000000001"/>
        <n v="17.221500000000002"/>
        <n v="6.8530000000000006"/>
        <n v="14.0625"/>
        <n v="7.3125"/>
        <n v="12.829500000000001"/>
        <n v="13.9725"/>
        <n v="44.298000000000002"/>
        <n v="24.583500000000001"/>
        <n v="20.3445"/>
        <n v="25.587"/>
        <n v="13.157999999999999"/>
        <n v="27.153000000000002"/>
        <n v="1.9120000000000001"/>
        <n v="30.676500000000001"/>
        <n v="4.4470000000000001"/>
        <n v="33.763500000000001"/>
        <n v="2.4010000000000002"/>
        <n v="32.292000000000002"/>
        <n v="41.377500000000005"/>
        <n v="41.683500000000002"/>
        <n v="9.2989999999999995"/>
        <n v="33.867000000000004"/>
        <n v="12.852"/>
        <n v="27.567"/>
        <n v="27.706500000000002"/>
        <n v="4.8914999999999997"/>
        <n v="27.6435"/>
        <n v="24.142499999999998"/>
        <n v="38.132999999999996"/>
        <n v="16.618500000000001"/>
        <n v="14.868"/>
        <n v="32.543999999999997"/>
        <n v="6.9390000000000001"/>
        <n v="29.4345"/>
        <n v="34.384500000000003"/>
        <n v="37.512"/>
        <n v="9.5129999999999999"/>
        <n v="31.1265"/>
        <n v="12.447000000000001"/>
        <n v="17.873999999999999"/>
        <n v="23.107500000000002"/>
        <n v="11.173499999999999"/>
        <n v="42.214500000000001"/>
        <n v="37.777500000000003"/>
      </sharedItems>
    </cacheField>
    <cacheField name="Minutes (Panne_Heure)" numFmtId="0" databaseField="0">
      <fieldGroup base="9">
        <rangePr groupBy="minutes" startDate="1899-12-30T00:01:00" endDate="1899-12-30T08:19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eures (Panne_Heure)" numFmtId="0" databaseField="0">
      <fieldGroup base="9">
        <rangePr groupBy="hours" startDate="1899-12-30T00:01:00" endDate="1899-12-30T08:19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 pivotCacheId="212216728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 Luziku" refreshedDate="46114.837129976855" backgroundQuery="1" createdVersion="8" refreshedVersion="8" minRefreshableVersion="3" recordCount="0" supportSubquery="1" supportAdvancedDrill="1" xr:uid="{82E290A3-5A4A-4066-8347-E83957154D0E}">
  <cacheSource type="external" connectionId="28"/>
  <cacheFields count="4">
    <cacheField name="[LOGS_Rx5].[Statut_Resolution].[Statut_Resolution]" caption="Statut_Resolution" numFmtId="0" hierarchy="4" level="1">
      <sharedItems count="2">
        <s v="En Cours"/>
        <s v="Non Résolu"/>
      </sharedItems>
    </cacheField>
    <cacheField name="[Measures].[Nombre de Statut_Resolution]" caption="Nombre de Statut_Resolution" numFmtId="0" hierarchy="15" level="32767"/>
    <cacheField name="[Measures].[Moyenne]" caption="Moyenne" numFmtId="0" hierarchy="11" level="32767"/>
    <cacheField name="[LOGS_Rx5].[Province_RDC].[Province_RDC]" caption="Province_RDC" numFmtId="0" hierarchy="5" level="1">
      <sharedItems containsSemiMixedTypes="0" containsNonDate="0" containsString="0"/>
    </cacheField>
  </cacheFields>
  <cacheHierarchies count="17">
    <cacheHierarchy uniqueName="[LOGS_Rx5].[Source.Name]" caption="Source.Name" attribute="1" defaultMemberUniqueName="[LOGS_Rx5].[Source.Name].[All]" allUniqueName="[LOGS_Rx5].[Source.Name].[All]" dimensionUniqueName="[LOGS_Rx5]" displayFolder="" count="0" memberValueDatatype="130" unbalanced="0"/>
    <cacheHierarchy uniqueName="[LOGS_Rx5].[Date_Heure_Panne]" caption="Date_Heure_Panne" attribute="1" time="1" defaultMemberUniqueName="[LOGS_Rx5].[Date_Heure_Panne].[All]" allUniqueName="[LOGS_Rx5].[Date_Heure_Panne].[All]" dimensionUniqueName="[LOGS_Rx5]" displayFolder="" count="0" memberValueDatatype="7" unbalanced="0"/>
    <cacheHierarchy uniqueName="[LOGS_Rx5].[Cell_ID]" caption="Cell_ID" attribute="1" defaultMemberUniqueName="[LOGS_Rx5].[Cell_ID].[All]" allUniqueName="[LOGS_Rx5].[Cell_ID].[All]" dimensionUniqueName="[LOGS_Rx5]" displayFolder="" count="0" memberValueDatatype="130" unbalanced="0"/>
    <cacheHierarchy uniqueName="[LOGS_Rx5].[Duree_Panne_Min]" caption="Duree_Panne_Min" attribute="1" defaultMemberUniqueName="[LOGS_Rx5].[Duree_Panne_Min].[All]" allUniqueName="[LOGS_Rx5].[Duree_Panne_Min].[All]" dimensionUniqueName="[LOGS_Rx5]" displayFolder="" count="0" memberValueDatatype="20" unbalanced="0"/>
    <cacheHierarchy uniqueName="[LOGS_Rx5].[Statut_Resolution]" caption="Statut_Resolution" attribute="1" defaultMemberUniqueName="[LOGS_Rx5].[Statut_Resolution].[All]" allUniqueName="[LOGS_Rx5].[Statut_Resolution].[All]" dimensionUniqueName="[LOGS_Rx5]" displayFolder="" count="2" memberValueDatatype="130" unbalanced="0">
      <fieldsUsage count="2">
        <fieldUsage x="-1"/>
        <fieldUsage x="0"/>
      </fieldsUsage>
    </cacheHierarchy>
    <cacheHierarchy uniqueName="[LOGS_Rx5].[Province_RDC]" caption="Province_RDC" attribute="1" defaultMemberUniqueName="[LOGS_Rx5].[Province_RDC].[All]" allUniqueName="[LOGS_Rx5].[Province_RDC].[All]" dimensionUniqueName="[LOGS_Rx5]" displayFolder="" count="2" memberValueDatatype="130" unbalanced="0">
      <fieldsUsage count="2">
        <fieldUsage x="-1"/>
        <fieldUsage x="3"/>
      </fieldsUsage>
    </cacheHierarchy>
    <cacheHierarchy uniqueName="[LOGS_Rx5].[Latitude]" caption="Latitude" attribute="1" defaultMemberUniqueName="[LOGS_Rx5].[Latitude].[All]" allUniqueName="[LOGS_Rx5].[Latitude].[All]" dimensionUniqueName="[LOGS_Rx5]" displayFolder="" count="0" memberValueDatatype="5" unbalanced="0"/>
    <cacheHierarchy uniqueName="[LOGS_Rx5].[longitude]" caption="longitude" attribute="1" defaultMemberUniqueName="[LOGS_Rx5].[longitude].[All]" allUniqueName="[LOGS_Rx5].[longitude].[All]" dimensionUniqueName="[LOGS_Rx5]" displayFolder="" count="0" memberValueDatatype="5" unbalanced="0"/>
    <cacheHierarchy uniqueName="[LOGS_Rx5].[Technologie]" caption="Technologie" attribute="1" defaultMemberUniqueName="[LOGS_Rx5].[Technologie].[All]" allUniqueName="[LOGS_Rx5].[Technologie].[All]" dimensionUniqueName="[LOGS_Rx5]" displayFolder="" count="0" memberValueDatatype="130" unbalanced="0"/>
    <cacheHierarchy uniqueName="[LOGS_Rx5].[Equipementier]" caption="Equipementier" attribute="1" defaultMemberUniqueName="[LOGS_Rx5].[Equipementier].[All]" allUniqueName="[LOGS_Rx5].[Equipementier].[All]" dimensionUniqueName="[LOGS_Rx5]" displayFolder="" count="0" memberValueDatatype="130" unbalanced="0"/>
    <cacheHierarchy uniqueName="[LOGS_Rx5].[Duree_Panne_Heure]" caption="Duree_Panne_Heure" attribute="1" defaultMemberUniqueName="[LOGS_Rx5].[Duree_Panne_Heure].[All]" allUniqueName="[LOGS_Rx5].[Duree_Panne_Heure].[All]" dimensionUniqueName="[LOGS_Rx5]" displayFolder="" count="0" memberValueDatatype="130" unbalanced="0"/>
    <cacheHierarchy uniqueName="[Measures].[Moyenne]" caption="Moyenne" measure="1" displayFolder="" measureGroup="LOGS_Rx5" count="0" oneField="1">
      <fieldsUsage count="1">
        <fieldUsage x="2"/>
      </fieldsUsage>
    </cacheHierarchy>
    <cacheHierarchy uniqueName="[Measures].[__XL_Count LOGS_Rx5]" caption="__XL_Count LOGS_Rx5" measure="1" displayFolder="" measureGroup="LOGS_Rx5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x5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x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Duree_Panne_Heure]" caption="Nombre de Duree_Panne_Heure" measure="1" displayFolder="" measureGroup="LOGS_Rx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LOGS_Rx5" uniqueName="[LOGS_Rx5]" caption="LOGS_Rx5"/>
    <dimension measure="1" name="Measures" uniqueName="[Measures]" caption="Measures"/>
  </dimensions>
  <measureGroups count="1">
    <measureGroup name="LOGS_Rx5" caption="LOGS_Rx5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 Luziku" refreshedDate="46114.837130439817" backgroundQuery="1" createdVersion="8" refreshedVersion="8" minRefreshableVersion="3" recordCount="0" supportSubquery="1" supportAdvancedDrill="1" xr:uid="{285FB57D-2BB8-43D0-AFEA-E3A0BC283529}">
  <cacheSource type="external" connectionId="28"/>
  <cacheFields count="4">
    <cacheField name="[LOGS_Rx5].[Equipementier].[Equipementier]" caption="Equipementier" numFmtId="0" hierarchy="9" level="1">
      <sharedItems count="4">
        <s v="Ericsson"/>
        <s v="Huawei"/>
        <s v="Nokia"/>
        <s v="ZTE"/>
      </sharedItems>
    </cacheField>
    <cacheField name="[LOGS_Rx5].[Technologie].[Technologie]" caption="Technologie" numFmtId="0" hierarchy="8" level="1">
      <sharedItems count="3">
        <s v="5G"/>
        <s v="3G"/>
        <s v="4G"/>
      </sharedItems>
    </cacheField>
    <cacheField name="[Measures].[Nombre de Cell_ID]" caption="Nombre de Cell_ID" numFmtId="0" hierarchy="14" level="32767"/>
    <cacheField name="[LOGS_Rx5].[Province_RDC].[Province_RDC]" caption="Province_RDC" numFmtId="0" hierarchy="5" level="1">
      <sharedItems containsSemiMixedTypes="0" containsNonDate="0" containsString="0"/>
    </cacheField>
  </cacheFields>
  <cacheHierarchies count="17">
    <cacheHierarchy uniqueName="[LOGS_Rx5].[Source.Name]" caption="Source.Name" attribute="1" defaultMemberUniqueName="[LOGS_Rx5].[Source.Name].[All]" allUniqueName="[LOGS_Rx5].[Source.Name].[All]" dimensionUniqueName="[LOGS_Rx5]" displayFolder="" count="0" memberValueDatatype="130" unbalanced="0"/>
    <cacheHierarchy uniqueName="[LOGS_Rx5].[Date_Heure_Panne]" caption="Date_Heure_Panne" attribute="1" time="1" defaultMemberUniqueName="[LOGS_Rx5].[Date_Heure_Panne].[All]" allUniqueName="[LOGS_Rx5].[Date_Heure_Panne].[All]" dimensionUniqueName="[LOGS_Rx5]" displayFolder="" count="0" memberValueDatatype="7" unbalanced="0"/>
    <cacheHierarchy uniqueName="[LOGS_Rx5].[Cell_ID]" caption="Cell_ID" attribute="1" defaultMemberUniqueName="[LOGS_Rx5].[Cell_ID].[All]" allUniqueName="[LOGS_Rx5].[Cell_ID].[All]" dimensionUniqueName="[LOGS_Rx5]" displayFolder="" count="0" memberValueDatatype="130" unbalanced="0"/>
    <cacheHierarchy uniqueName="[LOGS_Rx5].[Duree_Panne_Min]" caption="Duree_Panne_Min" attribute="1" defaultMemberUniqueName="[LOGS_Rx5].[Duree_Panne_Min].[All]" allUniqueName="[LOGS_Rx5].[Duree_Panne_Min].[All]" dimensionUniqueName="[LOGS_Rx5]" displayFolder="" count="0" memberValueDatatype="20" unbalanced="0"/>
    <cacheHierarchy uniqueName="[LOGS_Rx5].[Statut_Resolution]" caption="Statut_Resolution" attribute="1" defaultMemberUniqueName="[LOGS_Rx5].[Statut_Resolution].[All]" allUniqueName="[LOGS_Rx5].[Statut_Resolution].[All]" dimensionUniqueName="[LOGS_Rx5]" displayFolder="" count="0" memberValueDatatype="130" unbalanced="0"/>
    <cacheHierarchy uniqueName="[LOGS_Rx5].[Province_RDC]" caption="Province_RDC" attribute="1" defaultMemberUniqueName="[LOGS_Rx5].[Province_RDC].[All]" allUniqueName="[LOGS_Rx5].[Province_RDC].[All]" dimensionUniqueName="[LOGS_Rx5]" displayFolder="" count="2" memberValueDatatype="130" unbalanced="0">
      <fieldsUsage count="2">
        <fieldUsage x="-1"/>
        <fieldUsage x="3"/>
      </fieldsUsage>
    </cacheHierarchy>
    <cacheHierarchy uniqueName="[LOGS_Rx5].[Latitude]" caption="Latitude" attribute="1" defaultMemberUniqueName="[LOGS_Rx5].[Latitude].[All]" allUniqueName="[LOGS_Rx5].[Latitude].[All]" dimensionUniqueName="[LOGS_Rx5]" displayFolder="" count="0" memberValueDatatype="5" unbalanced="0"/>
    <cacheHierarchy uniqueName="[LOGS_Rx5].[longitude]" caption="longitude" attribute="1" defaultMemberUniqueName="[LOGS_Rx5].[longitude].[All]" allUniqueName="[LOGS_Rx5].[longitude].[All]" dimensionUniqueName="[LOGS_Rx5]" displayFolder="" count="0" memberValueDatatype="5" unbalanced="0"/>
    <cacheHierarchy uniqueName="[LOGS_Rx5].[Technologie]" caption="Technologie" attribute="1" defaultMemberUniqueName="[LOGS_Rx5].[Technologie].[All]" allUniqueName="[LOGS_Rx5].[Technologie].[All]" dimensionUniqueName="[LOGS_Rx5]" displayFolder="" count="2" memberValueDatatype="130" unbalanced="0">
      <fieldsUsage count="2">
        <fieldUsage x="-1"/>
        <fieldUsage x="1"/>
      </fieldsUsage>
    </cacheHierarchy>
    <cacheHierarchy uniqueName="[LOGS_Rx5].[Equipementier]" caption="Equipementier" attribute="1" defaultMemberUniqueName="[LOGS_Rx5].[Equipementier].[All]" allUniqueName="[LOGS_Rx5].[Equipementier].[All]" dimensionUniqueName="[LOGS_Rx5]" displayFolder="" count="2" memberValueDatatype="130" unbalanced="0">
      <fieldsUsage count="2">
        <fieldUsage x="-1"/>
        <fieldUsage x="0"/>
      </fieldsUsage>
    </cacheHierarchy>
    <cacheHierarchy uniqueName="[LOGS_Rx5].[Duree_Panne_Heure]" caption="Duree_Panne_Heure" attribute="1" defaultMemberUniqueName="[LOGS_Rx5].[Duree_Panne_Heure].[All]" allUniqueName="[LOGS_Rx5].[Duree_Panne_Heure].[All]" dimensionUniqueName="[LOGS_Rx5]" displayFolder="" count="0" memberValueDatatype="130" unbalanced="0"/>
    <cacheHierarchy uniqueName="[Measures].[Moyenne]" caption="Moyenne" measure="1" displayFolder="" measureGroup="LOGS_Rx5" count="0"/>
    <cacheHierarchy uniqueName="[Measures].[__XL_Count LOGS_Rx5]" caption="__XL_Count LOGS_Rx5" measure="1" displayFolder="" measureGroup="LOGS_Rx5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x5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x5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Duree_Panne_Heure]" caption="Nombre de Duree_Panne_Heure" measure="1" displayFolder="" measureGroup="LOGS_Rx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LOGS_Rx5" uniqueName="[LOGS_Rx5]" caption="LOGS_Rx5"/>
    <dimension measure="1" name="Measures" uniqueName="[Measures]" caption="Measures"/>
  </dimensions>
  <measureGroups count="1">
    <measureGroup name="LOGS_Rx5" caption="LOGS_Rx5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 Luziku" refreshedDate="46114.83713078704" backgroundQuery="1" createdVersion="8" refreshedVersion="8" minRefreshableVersion="3" recordCount="0" supportSubquery="1" supportAdvancedDrill="1" xr:uid="{13AB88A3-BA9E-4A87-84CB-F3EE15980CBE}">
  <cacheSource type="external" connectionId="28"/>
  <cacheFields count="3">
    <cacheField name="[LOGS_Rx5].[Technologie].[Technologie]" caption="Technologie" numFmtId="0" hierarchy="8" level="1">
      <sharedItems count="3">
        <s v="3G"/>
        <s v="4G"/>
        <s v="5G"/>
      </sharedItems>
    </cacheField>
    <cacheField name="[Measures].[Nombre de Cell_ID]" caption="Nombre de Cell_ID" numFmtId="0" hierarchy="14" level="32767"/>
    <cacheField name="[LOGS_Rx5].[Province_RDC].[Province_RDC]" caption="Province_RDC" numFmtId="0" hierarchy="5" level="1">
      <sharedItems containsSemiMixedTypes="0" containsNonDate="0" containsString="0"/>
    </cacheField>
  </cacheFields>
  <cacheHierarchies count="17">
    <cacheHierarchy uniqueName="[LOGS_Rx5].[Source.Name]" caption="Source.Name" attribute="1" defaultMemberUniqueName="[LOGS_Rx5].[Source.Name].[All]" allUniqueName="[LOGS_Rx5].[Source.Name].[All]" dimensionUniqueName="[LOGS_Rx5]" displayFolder="" count="0" memberValueDatatype="130" unbalanced="0"/>
    <cacheHierarchy uniqueName="[LOGS_Rx5].[Date_Heure_Panne]" caption="Date_Heure_Panne" attribute="1" time="1" defaultMemberUniqueName="[LOGS_Rx5].[Date_Heure_Panne].[All]" allUniqueName="[LOGS_Rx5].[Date_Heure_Panne].[All]" dimensionUniqueName="[LOGS_Rx5]" displayFolder="" count="0" memberValueDatatype="7" unbalanced="0"/>
    <cacheHierarchy uniqueName="[LOGS_Rx5].[Cell_ID]" caption="Cell_ID" attribute="1" defaultMemberUniqueName="[LOGS_Rx5].[Cell_ID].[All]" allUniqueName="[LOGS_Rx5].[Cell_ID].[All]" dimensionUniqueName="[LOGS_Rx5]" displayFolder="" count="0" memberValueDatatype="130" unbalanced="0"/>
    <cacheHierarchy uniqueName="[LOGS_Rx5].[Duree_Panne_Min]" caption="Duree_Panne_Min" attribute="1" defaultMemberUniqueName="[LOGS_Rx5].[Duree_Panne_Min].[All]" allUniqueName="[LOGS_Rx5].[Duree_Panne_Min].[All]" dimensionUniqueName="[LOGS_Rx5]" displayFolder="" count="0" memberValueDatatype="20" unbalanced="0"/>
    <cacheHierarchy uniqueName="[LOGS_Rx5].[Statut_Resolution]" caption="Statut_Resolution" attribute="1" defaultMemberUniqueName="[LOGS_Rx5].[Statut_Resolution].[All]" allUniqueName="[LOGS_Rx5].[Statut_Resolution].[All]" dimensionUniqueName="[LOGS_Rx5]" displayFolder="" count="0" memberValueDatatype="130" unbalanced="0"/>
    <cacheHierarchy uniqueName="[LOGS_Rx5].[Province_RDC]" caption="Province_RDC" attribute="1" defaultMemberUniqueName="[LOGS_Rx5].[Province_RDC].[All]" allUniqueName="[LOGS_Rx5].[Province_RDC].[All]" dimensionUniqueName="[LOGS_Rx5]" displayFolder="" count="2" memberValueDatatype="130" unbalanced="0">
      <fieldsUsage count="2">
        <fieldUsage x="-1"/>
        <fieldUsage x="2"/>
      </fieldsUsage>
    </cacheHierarchy>
    <cacheHierarchy uniqueName="[LOGS_Rx5].[Latitude]" caption="Latitude" attribute="1" defaultMemberUniqueName="[LOGS_Rx5].[Latitude].[All]" allUniqueName="[LOGS_Rx5].[Latitude].[All]" dimensionUniqueName="[LOGS_Rx5]" displayFolder="" count="0" memberValueDatatype="5" unbalanced="0"/>
    <cacheHierarchy uniqueName="[LOGS_Rx5].[longitude]" caption="longitude" attribute="1" defaultMemberUniqueName="[LOGS_Rx5].[longitude].[All]" allUniqueName="[LOGS_Rx5].[longitude].[All]" dimensionUniqueName="[LOGS_Rx5]" displayFolder="" count="0" memberValueDatatype="5" unbalanced="0"/>
    <cacheHierarchy uniqueName="[LOGS_Rx5].[Technologie]" caption="Technologie" attribute="1" defaultMemberUniqueName="[LOGS_Rx5].[Technologie].[All]" allUniqueName="[LOGS_Rx5].[Technologie].[All]" dimensionUniqueName="[LOGS_Rx5]" displayFolder="" count="2" memberValueDatatype="130" unbalanced="0">
      <fieldsUsage count="2">
        <fieldUsage x="-1"/>
        <fieldUsage x="0"/>
      </fieldsUsage>
    </cacheHierarchy>
    <cacheHierarchy uniqueName="[LOGS_Rx5].[Equipementier]" caption="Equipementier" attribute="1" defaultMemberUniqueName="[LOGS_Rx5].[Equipementier].[All]" allUniqueName="[LOGS_Rx5].[Equipementier].[All]" dimensionUniqueName="[LOGS_Rx5]" displayFolder="" count="0" memberValueDatatype="130" unbalanced="0"/>
    <cacheHierarchy uniqueName="[LOGS_Rx5].[Duree_Panne_Heure]" caption="Duree_Panne_Heure" attribute="1" defaultMemberUniqueName="[LOGS_Rx5].[Duree_Panne_Heure].[All]" allUniqueName="[LOGS_Rx5].[Duree_Panne_Heure].[All]" dimensionUniqueName="[LOGS_Rx5]" displayFolder="" count="0" memberValueDatatype="130" unbalanced="0"/>
    <cacheHierarchy uniqueName="[Measures].[Moyenne]" caption="Moyenne" measure="1" displayFolder="" measureGroup="LOGS_Rx5" count="0"/>
    <cacheHierarchy uniqueName="[Measures].[__XL_Count LOGS_Rx5]" caption="__XL_Count LOGS_Rx5" measure="1" displayFolder="" measureGroup="LOGS_Rx5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x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x5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Duree_Panne_Heure]" caption="Nombre de Duree_Panne_Heure" measure="1" displayFolder="" measureGroup="LOGS_Rx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LOGS_Rx5" uniqueName="[LOGS_Rx5]" caption="LOGS_Rx5"/>
    <dimension measure="1" name="Measures" uniqueName="[Measures]" caption="Measures"/>
  </dimensions>
  <measureGroups count="1">
    <measureGroup name="LOGS_Rx5" caption="LOGS_Rx5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 Luziku" refreshedDate="46114.882257060184" backgroundQuery="1" createdVersion="8" refreshedVersion="8" minRefreshableVersion="3" recordCount="0" supportSubquery="1" supportAdvancedDrill="1" xr:uid="{ADFD159F-EA3C-47BB-A3C4-B0B78744A2BB}">
  <cacheSource type="external" connectionId="28"/>
  <cacheFields count="4">
    <cacheField name="[LOGS_Rx5].[Equipementier].[Equipementier]" caption="Equipementier" numFmtId="0" hierarchy="9" level="1">
      <sharedItems count="4">
        <s v="Ericsson"/>
        <s v="Huawei"/>
        <s v="Nokia"/>
        <s v="ZTE"/>
      </sharedItems>
    </cacheField>
    <cacheField name="[Measures].[Nombre de Statut_Resolution]" caption="Nombre de Statut_Resolution" numFmtId="0" hierarchy="15" level="32767"/>
    <cacheField name="[LOGS_Rx5].[Statut_Resolution].[Statut_Resolution]" caption="Statut_Resolution" numFmtId="0" hierarchy="4" level="1">
      <sharedItems containsSemiMixedTypes="0" containsNonDate="0" containsString="0"/>
    </cacheField>
    <cacheField name="[LOGS_Rx5].[Technologie].[Technologie]" caption="Technologie" numFmtId="0" hierarchy="8" level="1">
      <sharedItems count="3">
        <s v="3G"/>
        <s v="4G"/>
        <s v="5G"/>
      </sharedItems>
    </cacheField>
  </cacheFields>
  <cacheHierarchies count="17">
    <cacheHierarchy uniqueName="[LOGS_Rx5].[Source.Name]" caption="Source.Name" attribute="1" defaultMemberUniqueName="[LOGS_Rx5].[Source.Name].[All]" allUniqueName="[LOGS_Rx5].[Source.Name].[All]" dimensionUniqueName="[LOGS_Rx5]" displayFolder="" count="0" memberValueDatatype="130" unbalanced="0"/>
    <cacheHierarchy uniqueName="[LOGS_Rx5].[Date_Heure_Panne]" caption="Date_Heure_Panne" attribute="1" time="1" defaultMemberUniqueName="[LOGS_Rx5].[Date_Heure_Panne].[All]" allUniqueName="[LOGS_Rx5].[Date_Heure_Panne].[All]" dimensionUniqueName="[LOGS_Rx5]" displayFolder="" count="0" memberValueDatatype="7" unbalanced="0"/>
    <cacheHierarchy uniqueName="[LOGS_Rx5].[Cell_ID]" caption="Cell_ID" attribute="1" defaultMemberUniqueName="[LOGS_Rx5].[Cell_ID].[All]" allUniqueName="[LOGS_Rx5].[Cell_ID].[All]" dimensionUniqueName="[LOGS_Rx5]" displayFolder="" count="0" memberValueDatatype="130" unbalanced="0"/>
    <cacheHierarchy uniqueName="[LOGS_Rx5].[Duree_Panne_Min]" caption="Duree_Panne_Min" attribute="1" defaultMemberUniqueName="[LOGS_Rx5].[Duree_Panne_Min].[All]" allUniqueName="[LOGS_Rx5].[Duree_Panne_Min].[All]" dimensionUniqueName="[LOGS_Rx5]" displayFolder="" count="0" memberValueDatatype="20" unbalanced="0"/>
    <cacheHierarchy uniqueName="[LOGS_Rx5].[Statut_Resolution]" caption="Statut_Resolution" attribute="1" defaultMemberUniqueName="[LOGS_Rx5].[Statut_Resolution].[All]" allUniqueName="[LOGS_Rx5].[Statut_Resolution].[All]" dimensionUniqueName="[LOGS_Rx5]" displayFolder="" count="2" memberValueDatatype="130" unbalanced="0">
      <fieldsUsage count="2">
        <fieldUsage x="-1"/>
        <fieldUsage x="2"/>
      </fieldsUsage>
    </cacheHierarchy>
    <cacheHierarchy uniqueName="[LOGS_Rx5].[Province_RDC]" caption="Province_RDC" attribute="1" defaultMemberUniqueName="[LOGS_Rx5].[Province_RDC].[All]" allUniqueName="[LOGS_Rx5].[Province_RDC].[All]" dimensionUniqueName="[LOGS_Rx5]" displayFolder="" count="0" memberValueDatatype="130" unbalanced="0"/>
    <cacheHierarchy uniqueName="[LOGS_Rx5].[Latitude]" caption="Latitude" attribute="1" defaultMemberUniqueName="[LOGS_Rx5].[Latitude].[All]" allUniqueName="[LOGS_Rx5].[Latitude].[All]" dimensionUniqueName="[LOGS_Rx5]" displayFolder="" count="0" memberValueDatatype="5" unbalanced="0"/>
    <cacheHierarchy uniqueName="[LOGS_Rx5].[longitude]" caption="longitude" attribute="1" defaultMemberUniqueName="[LOGS_Rx5].[longitude].[All]" allUniqueName="[LOGS_Rx5].[longitude].[All]" dimensionUniqueName="[LOGS_Rx5]" displayFolder="" count="0" memberValueDatatype="5" unbalanced="0"/>
    <cacheHierarchy uniqueName="[LOGS_Rx5].[Technologie]" caption="Technologie" attribute="1" defaultMemberUniqueName="[LOGS_Rx5].[Technologie].[All]" allUniqueName="[LOGS_Rx5].[Technologie].[All]" dimensionUniqueName="[LOGS_Rx5]" displayFolder="" count="2" memberValueDatatype="130" unbalanced="0">
      <fieldsUsage count="2">
        <fieldUsage x="-1"/>
        <fieldUsage x="3"/>
      </fieldsUsage>
    </cacheHierarchy>
    <cacheHierarchy uniqueName="[LOGS_Rx5].[Equipementier]" caption="Equipementier" attribute="1" defaultMemberUniqueName="[LOGS_Rx5].[Equipementier].[All]" allUniqueName="[LOGS_Rx5].[Equipementier].[All]" dimensionUniqueName="[LOGS_Rx5]" displayFolder="" count="2" memberValueDatatype="130" unbalanced="0">
      <fieldsUsage count="2">
        <fieldUsage x="-1"/>
        <fieldUsage x="0"/>
      </fieldsUsage>
    </cacheHierarchy>
    <cacheHierarchy uniqueName="[LOGS_Rx5].[Duree_Panne_Heure]" caption="Duree_Panne_Heure" attribute="1" defaultMemberUniqueName="[LOGS_Rx5].[Duree_Panne_Heure].[All]" allUniqueName="[LOGS_Rx5].[Duree_Panne_Heure].[All]" dimensionUniqueName="[LOGS_Rx5]" displayFolder="" count="0" memberValueDatatype="130" unbalanced="0"/>
    <cacheHierarchy uniqueName="[Measures].[Moyenne]" caption="Moyenne" measure="1" displayFolder="" measureGroup="LOGS_Rx5" count="0"/>
    <cacheHierarchy uniqueName="[Measures].[__XL_Count LOGS_Rx5]" caption="__XL_Count LOGS_Rx5" measure="1" displayFolder="" measureGroup="LOGS_Rx5" count="0" hidden="1"/>
    <cacheHierarchy uniqueName="[Measures].[__No measures defined]" caption="__No measures defined" measure="1" displayFolder="" count="0" hidden="1"/>
    <cacheHierarchy uniqueName="[Measures].[Nombre de Cell_ID]" caption="Nombre de Cell_ID" measure="1" displayFolder="" measureGroup="LOGS_Rx5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x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Nombre de Duree_Panne_Heure]" caption="Nombre de Duree_Panne_Heure" measure="1" displayFolder="" measureGroup="LOGS_Rx5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name="LOGS_Rx5" uniqueName="[LOGS_Rx5]" caption="LOGS_Rx5"/>
    <dimension measure="1" name="Measures" uniqueName="[Measures]" caption="Measures"/>
  </dimensions>
  <measureGroups count="1">
    <measureGroup name="LOGS_Rx5" caption="LOGS_Rx5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 Luziku" refreshedDate="46114.652127199071" backgroundQuery="1" createdVersion="3" refreshedVersion="8" minRefreshableVersion="3" recordCount="0" supportSubquery="1" supportAdvancedDrill="1" xr:uid="{A06C1767-7732-4272-AC98-9DF0CCB91D43}">
  <cacheSource type="external" connectionId="28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">
    <cacheHierarchy uniqueName="[LOGS_Rx5].[Source.Name]" caption="Source.Name" attribute="1" defaultMemberUniqueName="[LOGS_Rx5].[Source.Name].[All]" allUniqueName="[LOGS_Rx5].[Source.Name].[All]" dimensionUniqueName="[LOGS_Rx5]" displayFolder="" count="0" memberValueDatatype="130" unbalanced="0"/>
    <cacheHierarchy uniqueName="[LOGS_Rx5].[Date_Heure_Panne]" caption="Date_Heure_Panne" attribute="1" time="1" defaultMemberUniqueName="[LOGS_Rx5].[Date_Heure_Panne].[All]" allUniqueName="[LOGS_Rx5].[Date_Heure_Panne].[All]" dimensionUniqueName="[LOGS_Rx5]" displayFolder="" count="0" memberValueDatatype="7" unbalanced="0"/>
    <cacheHierarchy uniqueName="[LOGS_Rx5].[Cell_ID]" caption="Cell_ID" attribute="1" defaultMemberUniqueName="[LOGS_Rx5].[Cell_ID].[All]" allUniqueName="[LOGS_Rx5].[Cell_ID].[All]" dimensionUniqueName="[LOGS_Rx5]" displayFolder="" count="0" memberValueDatatype="130" unbalanced="0"/>
    <cacheHierarchy uniqueName="[LOGS_Rx5].[Duree_Panne_Min]" caption="Duree_Panne_Min" attribute="1" defaultMemberUniqueName="[LOGS_Rx5].[Duree_Panne_Min].[All]" allUniqueName="[LOGS_Rx5].[Duree_Panne_Min].[All]" dimensionUniqueName="[LOGS_Rx5]" displayFolder="" count="0" memberValueDatatype="20" unbalanced="0"/>
    <cacheHierarchy uniqueName="[LOGS_Rx5].[Statut_Resolution]" caption="Statut_Resolution" attribute="1" defaultMemberUniqueName="[LOGS_Rx5].[Statut_Resolution].[All]" allUniqueName="[LOGS_Rx5].[Statut_Resolution].[All]" dimensionUniqueName="[LOGS_Rx5]" displayFolder="" count="0" memberValueDatatype="130" unbalanced="0"/>
    <cacheHierarchy uniqueName="[LOGS_Rx5].[Province_RDC]" caption="Province_RDC" attribute="1" defaultMemberUniqueName="[LOGS_Rx5].[Province_RDC].[All]" allUniqueName="[LOGS_Rx5].[Province_RDC].[All]" dimensionUniqueName="[LOGS_Rx5]" displayFolder="" count="2" memberValueDatatype="130" unbalanced="0"/>
    <cacheHierarchy uniqueName="[LOGS_Rx5].[Latitude]" caption="Latitude" attribute="1" defaultMemberUniqueName="[LOGS_Rx5].[Latitude].[All]" allUniqueName="[LOGS_Rx5].[Latitude].[All]" dimensionUniqueName="[LOGS_Rx5]" displayFolder="" count="0" memberValueDatatype="5" unbalanced="0"/>
    <cacheHierarchy uniqueName="[LOGS_Rx5].[longitude]" caption="longitude" attribute="1" defaultMemberUniqueName="[LOGS_Rx5].[longitude].[All]" allUniqueName="[LOGS_Rx5].[longitude].[All]" dimensionUniqueName="[LOGS_Rx5]" displayFolder="" count="0" memberValueDatatype="5" unbalanced="0"/>
    <cacheHierarchy uniqueName="[LOGS_Rx5].[Technologie]" caption="Technologie" attribute="1" defaultMemberUniqueName="[LOGS_Rx5].[Technologie].[All]" allUniqueName="[LOGS_Rx5].[Technologie].[All]" dimensionUniqueName="[LOGS_Rx5]" displayFolder="" count="0" memberValueDatatype="130" unbalanced="0"/>
    <cacheHierarchy uniqueName="[LOGS_Rx5].[Equipementier]" caption="Equipementier" attribute="1" defaultMemberUniqueName="[LOGS_Rx5].[Equipementier].[All]" allUniqueName="[LOGS_Rx5].[Equipementier].[All]" dimensionUniqueName="[LOGS_Rx5]" displayFolder="" count="0" memberValueDatatype="130" unbalanced="0"/>
    <cacheHierarchy uniqueName="[LOGS_Rx5].[Duree_Panne_Heure]" caption="Duree_Panne_Heure" attribute="1" defaultMemberUniqueName="[LOGS_Rx5].[Duree_Panne_Heure].[All]" allUniqueName="[LOGS_Rx5].[Duree_Panne_Heure].[All]" dimensionUniqueName="[LOGS_Rx5]" displayFolder="" count="0" memberValueDatatype="130" unbalanced="0"/>
    <cacheHierarchy uniqueName="[Measures].[Nombre de Cell_ID]" caption="Nombre de Cell_ID" measure="1" displayFolder="" measureGroup="LOGS_Rx5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Nombre de Statut_Resolution]" caption="Nombre de Statut_Resolution" measure="1" displayFolder="" measureGroup="LOGS_Rx5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Moyenne]" caption="Moyenne" measure="1" displayFolder="" measureGroup="LOGS_Rx5" count="0"/>
    <cacheHierarchy uniqueName="[Measures].[__XL_Count LOGS_Rx5]" caption="__XL_Count LOGS_Rx5" measure="1" displayFolder="" measureGroup="LOGS_Rx5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795037072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8">
  <r>
    <s v="Clients_Churn_Part_05.xlsx"/>
    <x v="0"/>
    <x v="0"/>
    <n v="110"/>
    <x v="0"/>
    <n v="112"/>
    <x v="0"/>
    <n v="5"/>
    <x v="0"/>
    <x v="0"/>
    <n v="9.1666666666666661"/>
    <x v="0"/>
    <x v="0"/>
  </r>
  <r>
    <s v="Clients_Churn_Part_10.xlsx"/>
    <x v="1"/>
    <x v="1"/>
    <n v="105"/>
    <x v="1"/>
    <n v="297"/>
    <x v="1"/>
    <n v="2"/>
    <x v="1"/>
    <x v="1"/>
    <n v="8.75"/>
    <x v="1"/>
    <x v="1"/>
  </r>
  <r>
    <s v="Clients_Churn_Part_10.xlsx"/>
    <x v="2"/>
    <x v="2"/>
    <n v="105"/>
    <x v="2"/>
    <n v="172"/>
    <x v="2"/>
    <n v="5"/>
    <x v="1"/>
    <x v="2"/>
    <n v="8.75"/>
    <x v="2"/>
    <x v="2"/>
  </r>
  <r>
    <s v="Clients_Churn_Part_03.xlsx"/>
    <x v="3"/>
    <x v="0"/>
    <n v="29"/>
    <x v="2"/>
    <n v="124"/>
    <x v="3"/>
    <n v="5"/>
    <x v="1"/>
    <x v="3"/>
    <n v="2.4166666666666665"/>
    <x v="2"/>
    <x v="2"/>
  </r>
  <r>
    <s v="Clients_Churn_Part_07.xlsx"/>
    <x v="4"/>
    <x v="3"/>
    <n v="77"/>
    <x v="3"/>
    <n v="488"/>
    <x v="4"/>
    <n v="0"/>
    <x v="0"/>
    <x v="4"/>
    <n v="6.416666666666667"/>
    <x v="1"/>
    <x v="3"/>
  </r>
  <r>
    <s v="Clients_Churn_Part_13.xlsx"/>
    <x v="5"/>
    <x v="1"/>
    <n v="18"/>
    <x v="1"/>
    <n v="216"/>
    <x v="5"/>
    <n v="5"/>
    <x v="0"/>
    <x v="5"/>
    <n v="1.5"/>
    <x v="0"/>
    <x v="4"/>
  </r>
  <r>
    <s v="Clients_Churn_Part_06.xlsx"/>
    <x v="6"/>
    <x v="4"/>
    <n v="119"/>
    <x v="1"/>
    <n v="344"/>
    <x v="6"/>
    <n v="0"/>
    <x v="1"/>
    <x v="6"/>
    <n v="9.9166666666666661"/>
    <x v="1"/>
    <x v="5"/>
  </r>
  <r>
    <s v="Clients_Churn_Part_13.xlsx"/>
    <x v="7"/>
    <x v="2"/>
    <n v="25"/>
    <x v="0"/>
    <n v="95"/>
    <x v="7"/>
    <n v="4"/>
    <x v="1"/>
    <x v="7"/>
    <n v="2.0833333333333335"/>
    <x v="2"/>
    <x v="2"/>
  </r>
  <r>
    <s v="Clients_Churn_Part_13.xlsx"/>
    <x v="8"/>
    <x v="0"/>
    <n v="35"/>
    <x v="3"/>
    <n v="332"/>
    <x v="8"/>
    <n v="0"/>
    <x v="0"/>
    <x v="8"/>
    <n v="2.9166666666666665"/>
    <x v="1"/>
    <x v="6"/>
  </r>
  <r>
    <s v="Clients_Churn_Part_15.xlsx"/>
    <x v="9"/>
    <x v="5"/>
    <n v="119"/>
    <x v="1"/>
    <n v="31"/>
    <x v="9"/>
    <n v="5"/>
    <x v="0"/>
    <x v="9"/>
    <n v="9.9166666666666661"/>
    <x v="0"/>
    <x v="7"/>
  </r>
  <r>
    <s v="Clients_Churn_Part_01.xlsx"/>
    <x v="10"/>
    <x v="6"/>
    <n v="103"/>
    <x v="1"/>
    <n v="105"/>
    <x v="10"/>
    <n v="3"/>
    <x v="0"/>
    <x v="10"/>
    <n v="8.5833333333333339"/>
    <x v="0"/>
    <x v="8"/>
  </r>
  <r>
    <s v="Clients_Churn_Part_06.xlsx"/>
    <x v="11"/>
    <x v="7"/>
    <n v="118"/>
    <x v="1"/>
    <n v="132"/>
    <x v="11"/>
    <n v="4"/>
    <x v="1"/>
    <x v="11"/>
    <n v="9.8333333333333339"/>
    <x v="2"/>
    <x v="2"/>
  </r>
  <r>
    <s v="Clients_Churn_Part_03.xlsx"/>
    <x v="12"/>
    <x v="8"/>
    <n v="53"/>
    <x v="2"/>
    <n v="345"/>
    <x v="12"/>
    <n v="0"/>
    <x v="1"/>
    <x v="12"/>
    <n v="4.416666666666667"/>
    <x v="1"/>
    <x v="9"/>
  </r>
  <r>
    <s v="Clients_Churn_Part_14.xlsx"/>
    <x v="13"/>
    <x v="0"/>
    <n v="33"/>
    <x v="0"/>
    <n v="54"/>
    <x v="13"/>
    <n v="4"/>
    <x v="1"/>
    <x v="13"/>
    <n v="2.75"/>
    <x v="2"/>
    <x v="2"/>
  </r>
  <r>
    <s v="Clients_Churn_Part_06.xlsx"/>
    <x v="14"/>
    <x v="6"/>
    <n v="16"/>
    <x v="0"/>
    <n v="461"/>
    <x v="14"/>
    <n v="4"/>
    <x v="1"/>
    <x v="14"/>
    <n v="1.3333333333333333"/>
    <x v="1"/>
    <x v="10"/>
  </r>
  <r>
    <s v="Clients_Churn_Part_10.xlsx"/>
    <x v="15"/>
    <x v="9"/>
    <n v="34"/>
    <x v="0"/>
    <n v="40"/>
    <x v="15"/>
    <n v="5"/>
    <x v="1"/>
    <x v="15"/>
    <n v="2.8333333333333335"/>
    <x v="2"/>
    <x v="2"/>
  </r>
  <r>
    <s v="Clients_Churn_Part_05.xlsx"/>
    <x v="16"/>
    <x v="10"/>
    <n v="4"/>
    <x v="0"/>
    <n v="182"/>
    <x v="16"/>
    <n v="4"/>
    <x v="0"/>
    <x v="16"/>
    <n v="0.33333333333333331"/>
    <x v="0"/>
    <x v="11"/>
  </r>
  <r>
    <s v="Clients_Churn_Part_01.xlsx"/>
    <x v="17"/>
    <x v="11"/>
    <n v="72"/>
    <x v="1"/>
    <n v="160"/>
    <x v="17"/>
    <n v="2"/>
    <x v="1"/>
    <x v="17"/>
    <n v="6"/>
    <x v="2"/>
    <x v="2"/>
  </r>
  <r>
    <s v="Clients_Churn_Part_04.xlsx"/>
    <x v="18"/>
    <x v="12"/>
    <n v="52"/>
    <x v="2"/>
    <n v="119"/>
    <x v="18"/>
    <n v="4"/>
    <x v="1"/>
    <x v="18"/>
    <n v="4.333333333333333"/>
    <x v="2"/>
    <x v="2"/>
  </r>
  <r>
    <s v="Clients_Churn_Part_03.xlsx"/>
    <x v="19"/>
    <x v="10"/>
    <n v="67"/>
    <x v="2"/>
    <n v="264"/>
    <x v="19"/>
    <n v="1"/>
    <x v="1"/>
    <x v="19"/>
    <n v="5.583333333333333"/>
    <x v="1"/>
    <x v="12"/>
  </r>
  <r>
    <s v="Clients_Churn_Part_09.xlsx"/>
    <x v="20"/>
    <x v="2"/>
    <n v="78"/>
    <x v="3"/>
    <n v="60"/>
    <x v="20"/>
    <n v="5"/>
    <x v="1"/>
    <x v="20"/>
    <n v="6.5"/>
    <x v="2"/>
    <x v="2"/>
  </r>
  <r>
    <s v="Clients_Churn_Part_01.xlsx"/>
    <x v="21"/>
    <x v="13"/>
    <n v="46"/>
    <x v="3"/>
    <n v="283"/>
    <x v="21"/>
    <n v="1"/>
    <x v="1"/>
    <x v="21"/>
    <n v="3.8333333333333335"/>
    <x v="1"/>
    <x v="13"/>
  </r>
  <r>
    <s v="Clients_Churn_Part_12.xlsx"/>
    <x v="22"/>
    <x v="14"/>
    <n v="17"/>
    <x v="3"/>
    <n v="499"/>
    <x v="22"/>
    <n v="2"/>
    <x v="1"/>
    <x v="22"/>
    <n v="1.4166666666666667"/>
    <x v="1"/>
    <x v="14"/>
  </r>
  <r>
    <s v="Clients_Churn_Part_09.xlsx"/>
    <x v="23"/>
    <x v="2"/>
    <n v="15"/>
    <x v="3"/>
    <n v="75"/>
    <x v="23"/>
    <n v="0"/>
    <x v="0"/>
    <x v="23"/>
    <n v="1.25"/>
    <x v="1"/>
    <x v="15"/>
  </r>
  <r>
    <s v="Clients_Churn_Part_08.xlsx"/>
    <x v="24"/>
    <x v="15"/>
    <n v="106"/>
    <x v="1"/>
    <n v="429"/>
    <x v="24"/>
    <n v="1"/>
    <x v="1"/>
    <x v="24"/>
    <n v="8.8333333333333339"/>
    <x v="1"/>
    <x v="16"/>
  </r>
  <r>
    <s v="Clients_Churn_Part_01.xlsx"/>
    <x v="25"/>
    <x v="10"/>
    <n v="14"/>
    <x v="3"/>
    <n v="75"/>
    <x v="25"/>
    <n v="3"/>
    <x v="1"/>
    <x v="23"/>
    <n v="1.1666666666666667"/>
    <x v="1"/>
    <x v="17"/>
  </r>
  <r>
    <s v="Clients_Churn_Part_10.xlsx"/>
    <x v="26"/>
    <x v="16"/>
    <n v="15"/>
    <x v="0"/>
    <n v="400"/>
    <x v="26"/>
    <n v="0"/>
    <x v="1"/>
    <x v="25"/>
    <n v="1.25"/>
    <x v="1"/>
    <x v="18"/>
  </r>
  <r>
    <s v="Clients_Churn_Part_08.xlsx"/>
    <x v="27"/>
    <x v="17"/>
    <n v="50"/>
    <x v="0"/>
    <n v="435"/>
    <x v="27"/>
    <n v="3"/>
    <x v="0"/>
    <x v="26"/>
    <n v="4.166666666666667"/>
    <x v="1"/>
    <x v="19"/>
  </r>
  <r>
    <s v="Clients_Churn_Part_12.xlsx"/>
    <x v="28"/>
    <x v="5"/>
    <n v="12"/>
    <x v="1"/>
    <n v="42"/>
    <x v="28"/>
    <n v="0"/>
    <x v="0"/>
    <x v="27"/>
    <n v="1"/>
    <x v="0"/>
    <x v="20"/>
  </r>
  <r>
    <s v="Clients_Churn_Part_08.xlsx"/>
    <x v="29"/>
    <x v="18"/>
    <n v="29"/>
    <x v="1"/>
    <n v="493"/>
    <x v="29"/>
    <n v="1"/>
    <x v="0"/>
    <x v="28"/>
    <n v="2.4166666666666665"/>
    <x v="1"/>
    <x v="21"/>
  </r>
  <r>
    <s v="Clients_Churn_Part_12.xlsx"/>
    <x v="30"/>
    <x v="3"/>
    <n v="42"/>
    <x v="1"/>
    <n v="167"/>
    <x v="30"/>
    <n v="2"/>
    <x v="1"/>
    <x v="29"/>
    <n v="3.5"/>
    <x v="2"/>
    <x v="2"/>
  </r>
  <r>
    <s v="Clients_Churn_Part_11.xlsx"/>
    <x v="31"/>
    <x v="19"/>
    <n v="74"/>
    <x v="0"/>
    <n v="388"/>
    <x v="31"/>
    <n v="4"/>
    <x v="1"/>
    <x v="30"/>
    <n v="6.166666666666667"/>
    <x v="1"/>
    <x v="22"/>
  </r>
  <r>
    <s v="Clients_Churn_Part_06.xlsx"/>
    <x v="32"/>
    <x v="14"/>
    <n v="93"/>
    <x v="3"/>
    <n v="150"/>
    <x v="32"/>
    <n v="3"/>
    <x v="1"/>
    <x v="31"/>
    <n v="7.75"/>
    <x v="2"/>
    <x v="2"/>
  </r>
  <r>
    <s v="Clients_Churn_Part_14.xlsx"/>
    <x v="33"/>
    <x v="20"/>
    <n v="19"/>
    <x v="0"/>
    <n v="345"/>
    <x v="33"/>
    <n v="2"/>
    <x v="1"/>
    <x v="12"/>
    <n v="1.5833333333333333"/>
    <x v="1"/>
    <x v="23"/>
  </r>
  <r>
    <s v="Clients_Churn_Part_05.xlsx"/>
    <x v="34"/>
    <x v="21"/>
    <n v="82"/>
    <x v="3"/>
    <n v="88"/>
    <x v="34"/>
    <n v="1"/>
    <x v="1"/>
    <x v="32"/>
    <n v="6.833333333333333"/>
    <x v="2"/>
    <x v="2"/>
  </r>
  <r>
    <s v="Clients_Churn_Part_09.xlsx"/>
    <x v="35"/>
    <x v="15"/>
    <n v="42"/>
    <x v="0"/>
    <n v="436"/>
    <x v="35"/>
    <n v="0"/>
    <x v="1"/>
    <x v="33"/>
    <n v="3.5"/>
    <x v="1"/>
    <x v="24"/>
  </r>
  <r>
    <s v="Clients_Churn_Part_03.xlsx"/>
    <x v="36"/>
    <x v="22"/>
    <n v="98"/>
    <x v="0"/>
    <n v="52"/>
    <x v="36"/>
    <n v="2"/>
    <x v="1"/>
    <x v="34"/>
    <n v="8.1666666666666661"/>
    <x v="2"/>
    <x v="2"/>
  </r>
  <r>
    <s v="Clients_Churn_Part_01.xlsx"/>
    <x v="37"/>
    <x v="4"/>
    <n v="59"/>
    <x v="2"/>
    <n v="454"/>
    <x v="37"/>
    <n v="5"/>
    <x v="1"/>
    <x v="35"/>
    <n v="4.916666666666667"/>
    <x v="1"/>
    <x v="25"/>
  </r>
  <r>
    <s v="Clients_Churn_Part_02.xlsx"/>
    <x v="38"/>
    <x v="16"/>
    <n v="25"/>
    <x v="3"/>
    <n v="64"/>
    <x v="38"/>
    <n v="5"/>
    <x v="1"/>
    <x v="36"/>
    <n v="2.0833333333333335"/>
    <x v="1"/>
    <x v="26"/>
  </r>
  <r>
    <s v="Clients_Churn_Part_08.xlsx"/>
    <x v="39"/>
    <x v="10"/>
    <n v="43"/>
    <x v="3"/>
    <n v="486"/>
    <x v="39"/>
    <n v="1"/>
    <x v="1"/>
    <x v="37"/>
    <n v="3.5833333333333335"/>
    <x v="1"/>
    <x v="27"/>
  </r>
  <r>
    <s v="Clients_Churn_Part_15.xlsx"/>
    <x v="40"/>
    <x v="16"/>
    <n v="108"/>
    <x v="0"/>
    <n v="467"/>
    <x v="40"/>
    <n v="4"/>
    <x v="1"/>
    <x v="38"/>
    <n v="9"/>
    <x v="1"/>
    <x v="28"/>
  </r>
  <r>
    <s v="Clients_Churn_Part_04.xlsx"/>
    <x v="41"/>
    <x v="13"/>
    <n v="120"/>
    <x v="2"/>
    <n v="224"/>
    <x v="41"/>
    <n v="0"/>
    <x v="1"/>
    <x v="39"/>
    <n v="10"/>
    <x v="2"/>
    <x v="2"/>
  </r>
  <r>
    <s v="Clients_Churn_Part_11.xlsx"/>
    <x v="42"/>
    <x v="19"/>
    <n v="23"/>
    <x v="0"/>
    <n v="325"/>
    <x v="42"/>
    <n v="1"/>
    <x v="0"/>
    <x v="40"/>
    <n v="1.9166666666666667"/>
    <x v="1"/>
    <x v="29"/>
  </r>
  <r>
    <s v="Clients_Churn_Part_08.xlsx"/>
    <x v="43"/>
    <x v="8"/>
    <n v="12"/>
    <x v="1"/>
    <n v="125"/>
    <x v="43"/>
    <n v="0"/>
    <x v="1"/>
    <x v="41"/>
    <n v="1"/>
    <x v="2"/>
    <x v="2"/>
  </r>
  <r>
    <s v="Clients_Churn_Part_12.xlsx"/>
    <x v="44"/>
    <x v="5"/>
    <n v="12"/>
    <x v="2"/>
    <n v="112"/>
    <x v="44"/>
    <n v="0"/>
    <x v="0"/>
    <x v="0"/>
    <n v="1"/>
    <x v="0"/>
    <x v="30"/>
  </r>
  <r>
    <s v="Clients_Churn_Part_10.xlsx"/>
    <x v="45"/>
    <x v="21"/>
    <n v="35"/>
    <x v="1"/>
    <n v="445"/>
    <x v="45"/>
    <n v="2"/>
    <x v="1"/>
    <x v="42"/>
    <n v="2.9166666666666665"/>
    <x v="1"/>
    <x v="31"/>
  </r>
  <r>
    <s v="Clients_Churn_Part_13.xlsx"/>
    <x v="46"/>
    <x v="5"/>
    <n v="43"/>
    <x v="3"/>
    <n v="27"/>
    <x v="46"/>
    <n v="5"/>
    <x v="1"/>
    <x v="43"/>
    <n v="3.5833333333333335"/>
    <x v="1"/>
    <x v="32"/>
  </r>
  <r>
    <s v="Clients_Churn_Part_12.xlsx"/>
    <x v="47"/>
    <x v="6"/>
    <n v="81"/>
    <x v="2"/>
    <n v="11"/>
    <x v="47"/>
    <n v="5"/>
    <x v="1"/>
    <x v="44"/>
    <n v="6.75"/>
    <x v="2"/>
    <x v="2"/>
  </r>
  <r>
    <s v="Clients_Churn_Part_04.xlsx"/>
    <x v="48"/>
    <x v="17"/>
    <n v="102"/>
    <x v="3"/>
    <n v="402"/>
    <x v="48"/>
    <n v="5"/>
    <x v="0"/>
    <x v="45"/>
    <n v="8.5"/>
    <x v="1"/>
    <x v="33"/>
  </r>
  <r>
    <s v="Clients_Churn_Part_13.xlsx"/>
    <x v="49"/>
    <x v="16"/>
    <n v="22"/>
    <x v="1"/>
    <n v="457"/>
    <x v="49"/>
    <n v="1"/>
    <x v="1"/>
    <x v="46"/>
    <n v="1.8333333333333333"/>
    <x v="1"/>
    <x v="34"/>
  </r>
  <r>
    <s v="Clients_Churn_Part_05.xlsx"/>
    <x v="50"/>
    <x v="10"/>
    <n v="91"/>
    <x v="0"/>
    <n v="188"/>
    <x v="50"/>
    <n v="4"/>
    <x v="1"/>
    <x v="47"/>
    <n v="7.583333333333333"/>
    <x v="2"/>
    <x v="2"/>
  </r>
  <r>
    <s v="Clients_Churn_Part_13.xlsx"/>
    <x v="51"/>
    <x v="4"/>
    <n v="1"/>
    <x v="0"/>
    <n v="135"/>
    <x v="51"/>
    <n v="3"/>
    <x v="0"/>
    <x v="48"/>
    <n v="8.3333333333333329E-2"/>
    <x v="0"/>
    <x v="35"/>
  </r>
  <r>
    <s v="Clients_Churn_Part_01.xlsx"/>
    <x v="52"/>
    <x v="11"/>
    <n v="15"/>
    <x v="1"/>
    <n v="403"/>
    <x v="52"/>
    <n v="1"/>
    <x v="0"/>
    <x v="49"/>
    <n v="1.25"/>
    <x v="1"/>
    <x v="36"/>
  </r>
  <r>
    <s v="Clients_Churn_Part_06.xlsx"/>
    <x v="53"/>
    <x v="12"/>
    <n v="50"/>
    <x v="1"/>
    <n v="108"/>
    <x v="53"/>
    <n v="5"/>
    <x v="1"/>
    <x v="50"/>
    <n v="4.166666666666667"/>
    <x v="2"/>
    <x v="2"/>
  </r>
  <r>
    <s v="Clients_Churn_Part_07.xlsx"/>
    <x v="54"/>
    <x v="5"/>
    <n v="19"/>
    <x v="0"/>
    <n v="305"/>
    <x v="54"/>
    <n v="1"/>
    <x v="1"/>
    <x v="51"/>
    <n v="1.5833333333333333"/>
    <x v="1"/>
    <x v="37"/>
  </r>
  <r>
    <s v="Clients_Churn_Part_14.xlsx"/>
    <x v="55"/>
    <x v="8"/>
    <n v="56"/>
    <x v="0"/>
    <n v="27"/>
    <x v="55"/>
    <n v="3"/>
    <x v="1"/>
    <x v="43"/>
    <n v="4.666666666666667"/>
    <x v="2"/>
    <x v="2"/>
  </r>
  <r>
    <s v="Clients_Churn_Part_06.xlsx"/>
    <x v="56"/>
    <x v="16"/>
    <n v="98"/>
    <x v="3"/>
    <n v="319"/>
    <x v="56"/>
    <n v="0"/>
    <x v="1"/>
    <x v="52"/>
    <n v="8.1666666666666661"/>
    <x v="1"/>
    <x v="38"/>
  </r>
  <r>
    <s v="Clients_Churn_Part_08.xlsx"/>
    <x v="57"/>
    <x v="23"/>
    <n v="71"/>
    <x v="3"/>
    <n v="191"/>
    <x v="57"/>
    <n v="4"/>
    <x v="0"/>
    <x v="53"/>
    <n v="5.916666666666667"/>
    <x v="0"/>
    <x v="39"/>
  </r>
  <r>
    <s v="Clients_Churn_Part_01.xlsx"/>
    <x v="58"/>
    <x v="5"/>
    <n v="81"/>
    <x v="1"/>
    <n v="154"/>
    <x v="58"/>
    <n v="3"/>
    <x v="1"/>
    <x v="54"/>
    <n v="6.75"/>
    <x v="2"/>
    <x v="2"/>
  </r>
  <r>
    <s v="Clients_Churn_Part_11.xlsx"/>
    <x v="59"/>
    <x v="13"/>
    <n v="34"/>
    <x v="0"/>
    <n v="35"/>
    <x v="59"/>
    <n v="1"/>
    <x v="1"/>
    <x v="55"/>
    <n v="2.8333333333333335"/>
    <x v="2"/>
    <x v="2"/>
  </r>
  <r>
    <s v="Clients_Churn_Part_12.xlsx"/>
    <x v="60"/>
    <x v="13"/>
    <n v="55"/>
    <x v="2"/>
    <n v="60"/>
    <x v="60"/>
    <n v="4"/>
    <x v="0"/>
    <x v="20"/>
    <n v="4.583333333333333"/>
    <x v="0"/>
    <x v="40"/>
  </r>
  <r>
    <s v="Clients_Churn_Part_09.xlsx"/>
    <x v="61"/>
    <x v="19"/>
    <n v="47"/>
    <x v="1"/>
    <n v="107"/>
    <x v="61"/>
    <n v="1"/>
    <x v="1"/>
    <x v="56"/>
    <n v="3.9166666666666665"/>
    <x v="2"/>
    <x v="2"/>
  </r>
  <r>
    <s v="Clients_Churn_Part_10.xlsx"/>
    <x v="62"/>
    <x v="7"/>
    <n v="48"/>
    <x v="2"/>
    <n v="187"/>
    <x v="62"/>
    <n v="2"/>
    <x v="0"/>
    <x v="57"/>
    <n v="4"/>
    <x v="0"/>
    <x v="41"/>
  </r>
  <r>
    <s v="Clients_Churn_Part_08.xlsx"/>
    <x v="63"/>
    <x v="7"/>
    <n v="47"/>
    <x v="1"/>
    <n v="378"/>
    <x v="63"/>
    <n v="1"/>
    <x v="1"/>
    <x v="58"/>
    <n v="3.9166666666666665"/>
    <x v="1"/>
    <x v="42"/>
  </r>
  <r>
    <s v="Clients_Churn_Part_11.xlsx"/>
    <x v="64"/>
    <x v="24"/>
    <n v="109"/>
    <x v="2"/>
    <n v="84"/>
    <x v="64"/>
    <n v="5"/>
    <x v="1"/>
    <x v="59"/>
    <n v="9.0833333333333339"/>
    <x v="2"/>
    <x v="2"/>
  </r>
  <r>
    <s v="Clients_Churn_Part_04.xlsx"/>
    <x v="65"/>
    <x v="4"/>
    <n v="40"/>
    <x v="2"/>
    <n v="219"/>
    <x v="65"/>
    <n v="2"/>
    <x v="1"/>
    <x v="60"/>
    <n v="3.3333333333333335"/>
    <x v="2"/>
    <x v="2"/>
  </r>
  <r>
    <s v="Clients_Churn_Part_14.xlsx"/>
    <x v="66"/>
    <x v="20"/>
    <n v="56"/>
    <x v="2"/>
    <n v="367"/>
    <x v="66"/>
    <n v="1"/>
    <x v="1"/>
    <x v="61"/>
    <n v="4.666666666666667"/>
    <x v="1"/>
    <x v="43"/>
  </r>
  <r>
    <s v="Clients_Churn_Part_10.xlsx"/>
    <x v="67"/>
    <x v="1"/>
    <n v="111"/>
    <x v="0"/>
    <n v="76"/>
    <x v="67"/>
    <n v="5"/>
    <x v="1"/>
    <x v="62"/>
    <n v="9.25"/>
    <x v="2"/>
    <x v="2"/>
  </r>
  <r>
    <s v="Clients_Churn_Part_02.xlsx"/>
    <x v="68"/>
    <x v="24"/>
    <n v="99"/>
    <x v="2"/>
    <n v="493"/>
    <x v="68"/>
    <n v="2"/>
    <x v="1"/>
    <x v="28"/>
    <n v="8.25"/>
    <x v="1"/>
    <x v="44"/>
  </r>
  <r>
    <s v="Clients_Churn_Part_12.xlsx"/>
    <x v="69"/>
    <x v="22"/>
    <n v="56"/>
    <x v="3"/>
    <n v="354"/>
    <x v="69"/>
    <n v="1"/>
    <x v="0"/>
    <x v="63"/>
    <n v="4.666666666666667"/>
    <x v="1"/>
    <x v="45"/>
  </r>
  <r>
    <s v="Clients_Churn_Part_05.xlsx"/>
    <x v="70"/>
    <x v="8"/>
    <n v="118"/>
    <x v="1"/>
    <n v="22"/>
    <x v="70"/>
    <n v="1"/>
    <x v="1"/>
    <x v="64"/>
    <n v="9.8333333333333339"/>
    <x v="2"/>
    <x v="2"/>
  </r>
  <r>
    <s v="Clients_Churn_Part_02.xlsx"/>
    <x v="71"/>
    <x v="9"/>
    <n v="59"/>
    <x v="2"/>
    <n v="192"/>
    <x v="71"/>
    <n v="1"/>
    <x v="1"/>
    <x v="65"/>
    <n v="4.916666666666667"/>
    <x v="2"/>
    <x v="2"/>
  </r>
  <r>
    <s v="Clients_Churn_Part_03.xlsx"/>
    <x v="72"/>
    <x v="0"/>
    <n v="69"/>
    <x v="0"/>
    <n v="306"/>
    <x v="72"/>
    <n v="1"/>
    <x v="1"/>
    <x v="66"/>
    <n v="5.75"/>
    <x v="1"/>
    <x v="46"/>
  </r>
  <r>
    <s v="Clients_Churn_Part_13.xlsx"/>
    <x v="73"/>
    <x v="17"/>
    <n v="93"/>
    <x v="3"/>
    <n v="136"/>
    <x v="73"/>
    <n v="1"/>
    <x v="1"/>
    <x v="67"/>
    <n v="7.75"/>
    <x v="2"/>
    <x v="2"/>
  </r>
  <r>
    <s v="Clients_Churn_Part_09.xlsx"/>
    <x v="74"/>
    <x v="11"/>
    <n v="43"/>
    <x v="0"/>
    <n v="20"/>
    <x v="74"/>
    <n v="5"/>
    <x v="1"/>
    <x v="68"/>
    <n v="3.5833333333333335"/>
    <x v="2"/>
    <x v="2"/>
  </r>
  <r>
    <s v="Clients_Churn_Part_13.xlsx"/>
    <x v="75"/>
    <x v="15"/>
    <n v="119"/>
    <x v="2"/>
    <n v="475"/>
    <x v="75"/>
    <n v="4"/>
    <x v="1"/>
    <x v="69"/>
    <n v="9.9166666666666661"/>
    <x v="1"/>
    <x v="47"/>
  </r>
  <r>
    <s v="Clients_Churn_Part_08.xlsx"/>
    <x v="76"/>
    <x v="1"/>
    <n v="41"/>
    <x v="0"/>
    <n v="425"/>
    <x v="76"/>
    <n v="3"/>
    <x v="1"/>
    <x v="70"/>
    <n v="3.4166666666666665"/>
    <x v="1"/>
    <x v="48"/>
  </r>
  <r>
    <s v="Clients_Churn_Part_06.xlsx"/>
    <x v="77"/>
    <x v="0"/>
    <n v="50"/>
    <x v="0"/>
    <n v="248"/>
    <x v="77"/>
    <n v="0"/>
    <x v="1"/>
    <x v="71"/>
    <n v="4.166666666666667"/>
    <x v="1"/>
    <x v="49"/>
  </r>
  <r>
    <s v="Clients_Churn_Part_06.xlsx"/>
    <x v="78"/>
    <x v="9"/>
    <n v="47"/>
    <x v="2"/>
    <n v="340"/>
    <x v="78"/>
    <n v="5"/>
    <x v="1"/>
    <x v="72"/>
    <n v="3.9166666666666665"/>
    <x v="1"/>
    <x v="50"/>
  </r>
  <r>
    <s v="Clients_Churn_Part_11.xlsx"/>
    <x v="79"/>
    <x v="18"/>
    <n v="52"/>
    <x v="3"/>
    <n v="425"/>
    <x v="79"/>
    <n v="0"/>
    <x v="1"/>
    <x v="70"/>
    <n v="4.333333333333333"/>
    <x v="1"/>
    <x v="51"/>
  </r>
  <r>
    <s v="Clients_Churn_Part_02.xlsx"/>
    <x v="80"/>
    <x v="16"/>
    <n v="20"/>
    <x v="0"/>
    <n v="26"/>
    <x v="80"/>
    <n v="0"/>
    <x v="1"/>
    <x v="73"/>
    <n v="1.6666666666666667"/>
    <x v="2"/>
    <x v="2"/>
  </r>
  <r>
    <s v="Clients_Churn_Part_03.xlsx"/>
    <x v="81"/>
    <x v="19"/>
    <n v="43"/>
    <x v="0"/>
    <n v="181"/>
    <x v="81"/>
    <n v="2"/>
    <x v="0"/>
    <x v="74"/>
    <n v="3.5833333333333335"/>
    <x v="0"/>
    <x v="52"/>
  </r>
  <r>
    <s v="Clients_Churn_Part_02.xlsx"/>
    <x v="82"/>
    <x v="6"/>
    <n v="44"/>
    <x v="1"/>
    <n v="137"/>
    <x v="82"/>
    <n v="0"/>
    <x v="0"/>
    <x v="75"/>
    <n v="3.6666666666666665"/>
    <x v="0"/>
    <x v="53"/>
  </r>
  <r>
    <s v="Clients_Churn_Part_14.xlsx"/>
    <x v="83"/>
    <x v="7"/>
    <n v="63"/>
    <x v="1"/>
    <n v="449"/>
    <x v="83"/>
    <n v="0"/>
    <x v="1"/>
    <x v="76"/>
    <n v="5.25"/>
    <x v="1"/>
    <x v="54"/>
  </r>
  <r>
    <s v="Clients_Churn_Part_08.xlsx"/>
    <x v="84"/>
    <x v="6"/>
    <n v="24"/>
    <x v="2"/>
    <n v="392"/>
    <x v="84"/>
    <n v="1"/>
    <x v="1"/>
    <x v="77"/>
    <n v="2"/>
    <x v="1"/>
    <x v="55"/>
  </r>
  <r>
    <s v="Clients_Churn_Part_11.xlsx"/>
    <x v="85"/>
    <x v="0"/>
    <n v="9"/>
    <x v="0"/>
    <n v="11"/>
    <x v="85"/>
    <n v="2"/>
    <x v="1"/>
    <x v="44"/>
    <n v="0.75"/>
    <x v="2"/>
    <x v="2"/>
  </r>
  <r>
    <s v="Clients_Churn_Part_05.xlsx"/>
    <x v="86"/>
    <x v="11"/>
    <n v="11"/>
    <x v="0"/>
    <n v="52"/>
    <x v="86"/>
    <n v="5"/>
    <x v="1"/>
    <x v="34"/>
    <n v="0.91666666666666663"/>
    <x v="2"/>
    <x v="2"/>
  </r>
  <r>
    <s v="Clients_Churn_Part_11.xlsx"/>
    <x v="87"/>
    <x v="23"/>
    <n v="57"/>
    <x v="0"/>
    <n v="493"/>
    <x v="87"/>
    <n v="3"/>
    <x v="1"/>
    <x v="28"/>
    <n v="4.75"/>
    <x v="1"/>
    <x v="56"/>
  </r>
  <r>
    <s v="Clients_Churn_Part_08.xlsx"/>
    <x v="88"/>
    <x v="22"/>
    <n v="40"/>
    <x v="0"/>
    <n v="38"/>
    <x v="88"/>
    <n v="0"/>
    <x v="1"/>
    <x v="78"/>
    <n v="3.3333333333333335"/>
    <x v="2"/>
    <x v="2"/>
  </r>
  <r>
    <s v="Clients_Churn_Part_07.xlsx"/>
    <x v="89"/>
    <x v="11"/>
    <n v="19"/>
    <x v="2"/>
    <n v="334"/>
    <x v="89"/>
    <n v="1"/>
    <x v="0"/>
    <x v="79"/>
    <n v="1.5833333333333333"/>
    <x v="1"/>
    <x v="57"/>
  </r>
  <r>
    <s v="Clients_Churn_Part_05.xlsx"/>
    <x v="90"/>
    <x v="19"/>
    <n v="108"/>
    <x v="1"/>
    <n v="48"/>
    <x v="90"/>
    <n v="3"/>
    <x v="0"/>
    <x v="80"/>
    <n v="9"/>
    <x v="0"/>
    <x v="58"/>
  </r>
  <r>
    <s v="Clients_Churn_Part_14.xlsx"/>
    <x v="91"/>
    <x v="15"/>
    <n v="37"/>
    <x v="1"/>
    <n v="150"/>
    <x v="91"/>
    <n v="4"/>
    <x v="0"/>
    <x v="31"/>
    <n v="3.0833333333333335"/>
    <x v="0"/>
    <x v="59"/>
  </r>
  <r>
    <s v="Clients_Churn_Part_05.xlsx"/>
    <x v="92"/>
    <x v="10"/>
    <n v="52"/>
    <x v="1"/>
    <n v="234"/>
    <x v="92"/>
    <n v="0"/>
    <x v="1"/>
    <x v="81"/>
    <n v="4.333333333333333"/>
    <x v="2"/>
    <x v="2"/>
  </r>
  <r>
    <s v="Clients_Churn_Part_01.xlsx"/>
    <x v="93"/>
    <x v="12"/>
    <n v="113"/>
    <x v="2"/>
    <n v="380"/>
    <x v="93"/>
    <n v="0"/>
    <x v="1"/>
    <x v="82"/>
    <n v="9.4166666666666661"/>
    <x v="1"/>
    <x v="60"/>
  </r>
  <r>
    <s v="Clients_Churn_Part_01.xlsx"/>
    <x v="94"/>
    <x v="17"/>
    <n v="21"/>
    <x v="3"/>
    <n v="371"/>
    <x v="94"/>
    <n v="0"/>
    <x v="0"/>
    <x v="83"/>
    <n v="1.75"/>
    <x v="1"/>
    <x v="61"/>
  </r>
  <r>
    <s v="Clients_Churn_Part_08.xlsx"/>
    <x v="95"/>
    <x v="1"/>
    <n v="7"/>
    <x v="1"/>
    <n v="347"/>
    <x v="95"/>
    <n v="2"/>
    <x v="0"/>
    <x v="84"/>
    <n v="0.58333333333333337"/>
    <x v="1"/>
    <x v="62"/>
  </r>
  <r>
    <s v="Clients_Churn_Part_02.xlsx"/>
    <x v="96"/>
    <x v="22"/>
    <n v="102"/>
    <x v="1"/>
    <n v="283"/>
    <x v="96"/>
    <n v="3"/>
    <x v="1"/>
    <x v="21"/>
    <n v="8.5"/>
    <x v="1"/>
    <x v="63"/>
  </r>
  <r>
    <s v="Clients_Churn_Part_14.xlsx"/>
    <x v="97"/>
    <x v="20"/>
    <n v="76"/>
    <x v="3"/>
    <n v="413"/>
    <x v="97"/>
    <n v="3"/>
    <x v="0"/>
    <x v="85"/>
    <n v="6.333333333333333"/>
    <x v="1"/>
    <x v="64"/>
  </r>
  <r>
    <s v="Clients_Churn_Part_07.xlsx"/>
    <x v="98"/>
    <x v="15"/>
    <n v="2"/>
    <x v="1"/>
    <n v="496"/>
    <x v="98"/>
    <n v="3"/>
    <x v="0"/>
    <x v="86"/>
    <n v="0.16666666666666666"/>
    <x v="1"/>
    <x v="65"/>
  </r>
  <r>
    <s v="Clients_Churn_Part_09.xlsx"/>
    <x v="99"/>
    <x v="6"/>
    <n v="47"/>
    <x v="1"/>
    <n v="328"/>
    <x v="99"/>
    <n v="3"/>
    <x v="1"/>
    <x v="87"/>
    <n v="3.9166666666666665"/>
    <x v="1"/>
    <x v="66"/>
  </r>
  <r>
    <s v="Clients_Churn_Part_09.xlsx"/>
    <x v="100"/>
    <x v="21"/>
    <n v="37"/>
    <x v="2"/>
    <n v="151"/>
    <x v="100"/>
    <n v="3"/>
    <x v="1"/>
    <x v="88"/>
    <n v="3.0833333333333335"/>
    <x v="2"/>
    <x v="2"/>
  </r>
  <r>
    <s v="Clients_Churn_Part_06.xlsx"/>
    <x v="101"/>
    <x v="12"/>
    <n v="89"/>
    <x v="0"/>
    <n v="175"/>
    <x v="101"/>
    <n v="1"/>
    <x v="1"/>
    <x v="89"/>
    <n v="7.416666666666667"/>
    <x v="2"/>
    <x v="2"/>
  </r>
  <r>
    <s v="Clients_Churn_Part_09.xlsx"/>
    <x v="102"/>
    <x v="12"/>
    <n v="6"/>
    <x v="3"/>
    <n v="362"/>
    <x v="102"/>
    <n v="4"/>
    <x v="1"/>
    <x v="90"/>
    <n v="0.5"/>
    <x v="1"/>
    <x v="67"/>
  </r>
  <r>
    <s v="Clients_Churn_Part_14.xlsx"/>
    <x v="103"/>
    <x v="1"/>
    <n v="113"/>
    <x v="3"/>
    <n v="49"/>
    <x v="103"/>
    <n v="5"/>
    <x v="0"/>
    <x v="91"/>
    <n v="9.4166666666666661"/>
    <x v="0"/>
    <x v="68"/>
  </r>
  <r>
    <s v="Clients_Churn_Part_10.xlsx"/>
    <x v="104"/>
    <x v="10"/>
    <n v="20"/>
    <x v="1"/>
    <n v="93"/>
    <x v="104"/>
    <n v="0"/>
    <x v="1"/>
    <x v="92"/>
    <n v="1.6666666666666667"/>
    <x v="2"/>
    <x v="2"/>
  </r>
  <r>
    <s v="Clients_Churn_Part_11.xlsx"/>
    <x v="105"/>
    <x v="12"/>
    <n v="37"/>
    <x v="3"/>
    <n v="94"/>
    <x v="105"/>
    <n v="4"/>
    <x v="1"/>
    <x v="93"/>
    <n v="3.0833333333333335"/>
    <x v="1"/>
    <x v="69"/>
  </r>
  <r>
    <s v="Clients_Churn_Part_12.xlsx"/>
    <x v="106"/>
    <x v="9"/>
    <n v="67"/>
    <x v="2"/>
    <n v="81"/>
    <x v="106"/>
    <n v="4"/>
    <x v="1"/>
    <x v="94"/>
    <n v="5.583333333333333"/>
    <x v="2"/>
    <x v="2"/>
  </r>
  <r>
    <s v="Clients_Churn_Part_05.xlsx"/>
    <x v="107"/>
    <x v="15"/>
    <n v="18"/>
    <x v="2"/>
    <n v="34"/>
    <x v="107"/>
    <n v="1"/>
    <x v="1"/>
    <x v="95"/>
    <n v="1.5"/>
    <x v="2"/>
    <x v="2"/>
  </r>
  <r>
    <s v="Clients_Churn_Part_01.xlsx"/>
    <x v="108"/>
    <x v="13"/>
    <n v="6"/>
    <x v="2"/>
    <n v="155"/>
    <x v="108"/>
    <n v="1"/>
    <x v="0"/>
    <x v="96"/>
    <n v="0.5"/>
    <x v="0"/>
    <x v="70"/>
  </r>
  <r>
    <s v="Clients_Churn_Part_04.xlsx"/>
    <x v="109"/>
    <x v="7"/>
    <n v="92"/>
    <x v="1"/>
    <n v="487"/>
    <x v="109"/>
    <n v="1"/>
    <x v="0"/>
    <x v="97"/>
    <n v="7.666666666666667"/>
    <x v="1"/>
    <x v="71"/>
  </r>
  <r>
    <s v="Clients_Churn_Part_11.xlsx"/>
    <x v="110"/>
    <x v="25"/>
    <n v="16"/>
    <x v="1"/>
    <n v="214"/>
    <x v="110"/>
    <n v="5"/>
    <x v="0"/>
    <x v="98"/>
    <n v="1.3333333333333333"/>
    <x v="0"/>
    <x v="72"/>
  </r>
  <r>
    <s v="Clients_Churn_Part_09.xlsx"/>
    <x v="111"/>
    <x v="16"/>
    <n v="24"/>
    <x v="1"/>
    <n v="23"/>
    <x v="111"/>
    <n v="1"/>
    <x v="1"/>
    <x v="99"/>
    <n v="2"/>
    <x v="2"/>
    <x v="2"/>
  </r>
  <r>
    <s v="Clients_Churn_Part_09.xlsx"/>
    <x v="112"/>
    <x v="13"/>
    <n v="32"/>
    <x v="2"/>
    <n v="475"/>
    <x v="112"/>
    <n v="3"/>
    <x v="0"/>
    <x v="69"/>
    <n v="2.6666666666666665"/>
    <x v="1"/>
    <x v="73"/>
  </r>
  <r>
    <s v="Clients_Churn_Part_14.xlsx"/>
    <x v="113"/>
    <x v="12"/>
    <n v="45"/>
    <x v="1"/>
    <n v="304"/>
    <x v="113"/>
    <n v="2"/>
    <x v="1"/>
    <x v="100"/>
    <n v="3.75"/>
    <x v="1"/>
    <x v="74"/>
  </r>
  <r>
    <s v="Clients_Churn_Part_06.xlsx"/>
    <x v="114"/>
    <x v="7"/>
    <n v="97"/>
    <x v="0"/>
    <n v="40"/>
    <x v="114"/>
    <n v="1"/>
    <x v="1"/>
    <x v="15"/>
    <n v="8.0833333333333339"/>
    <x v="2"/>
    <x v="2"/>
  </r>
  <r>
    <s v="Clients_Churn_Part_06.xlsx"/>
    <x v="115"/>
    <x v="5"/>
    <n v="8"/>
    <x v="0"/>
    <n v="120"/>
    <x v="115"/>
    <n v="5"/>
    <x v="1"/>
    <x v="101"/>
    <n v="0.66666666666666663"/>
    <x v="2"/>
    <x v="2"/>
  </r>
  <r>
    <s v="Clients_Churn_Part_13.xlsx"/>
    <x v="116"/>
    <x v="9"/>
    <n v="75"/>
    <x v="2"/>
    <n v="99"/>
    <x v="116"/>
    <n v="5"/>
    <x v="1"/>
    <x v="102"/>
    <n v="6.25"/>
    <x v="2"/>
    <x v="2"/>
  </r>
  <r>
    <s v="Clients_Churn_Part_02.xlsx"/>
    <x v="117"/>
    <x v="22"/>
    <n v="91"/>
    <x v="0"/>
    <n v="300"/>
    <x v="117"/>
    <n v="1"/>
    <x v="1"/>
    <x v="103"/>
    <n v="7.583333333333333"/>
    <x v="1"/>
    <x v="75"/>
  </r>
  <r>
    <s v="Clients_Churn_Part_01.xlsx"/>
    <x v="118"/>
    <x v="16"/>
    <n v="66"/>
    <x v="2"/>
    <n v="270"/>
    <x v="118"/>
    <n v="3"/>
    <x v="0"/>
    <x v="104"/>
    <n v="5.5"/>
    <x v="1"/>
    <x v="76"/>
  </r>
  <r>
    <s v="Clients_Churn_Part_11.xlsx"/>
    <x v="119"/>
    <x v="24"/>
    <n v="98"/>
    <x v="1"/>
    <n v="41"/>
    <x v="119"/>
    <n v="1"/>
    <x v="1"/>
    <x v="105"/>
    <n v="8.1666666666666661"/>
    <x v="2"/>
    <x v="2"/>
  </r>
  <r>
    <s v="Clients_Churn_Part_08.xlsx"/>
    <x v="120"/>
    <x v="12"/>
    <n v="63"/>
    <x v="0"/>
    <n v="263"/>
    <x v="120"/>
    <n v="4"/>
    <x v="1"/>
    <x v="106"/>
    <n v="5.25"/>
    <x v="1"/>
    <x v="77"/>
  </r>
  <r>
    <s v="Clients_Churn_Part_07.xlsx"/>
    <x v="121"/>
    <x v="3"/>
    <n v="29"/>
    <x v="0"/>
    <n v="173"/>
    <x v="121"/>
    <n v="3"/>
    <x v="1"/>
    <x v="107"/>
    <n v="2.4166666666666665"/>
    <x v="2"/>
    <x v="2"/>
  </r>
  <r>
    <s v="Clients_Churn_Part_06.xlsx"/>
    <x v="122"/>
    <x v="25"/>
    <n v="83"/>
    <x v="2"/>
    <n v="30"/>
    <x v="122"/>
    <n v="3"/>
    <x v="1"/>
    <x v="108"/>
    <n v="6.916666666666667"/>
    <x v="2"/>
    <x v="2"/>
  </r>
  <r>
    <s v="Clients_Churn_Part_13.xlsx"/>
    <x v="123"/>
    <x v="15"/>
    <n v="105"/>
    <x v="2"/>
    <n v="271"/>
    <x v="123"/>
    <n v="2"/>
    <x v="1"/>
    <x v="109"/>
    <n v="8.75"/>
    <x v="1"/>
    <x v="78"/>
  </r>
  <r>
    <s v="Clients_Churn_Part_09.xlsx"/>
    <x v="124"/>
    <x v="7"/>
    <n v="117"/>
    <x v="3"/>
    <n v="282"/>
    <x v="124"/>
    <n v="0"/>
    <x v="1"/>
    <x v="110"/>
    <n v="9.75"/>
    <x v="1"/>
    <x v="79"/>
  </r>
  <r>
    <s v="Clients_Churn_Part_05.xlsx"/>
    <x v="125"/>
    <x v="3"/>
    <n v="96"/>
    <x v="3"/>
    <n v="334"/>
    <x v="125"/>
    <n v="0"/>
    <x v="0"/>
    <x v="79"/>
    <n v="8"/>
    <x v="1"/>
    <x v="80"/>
  </r>
  <r>
    <s v="Clients_Churn_Part_12.xlsx"/>
    <x v="126"/>
    <x v="11"/>
    <n v="7"/>
    <x v="1"/>
    <n v="323"/>
    <x v="44"/>
    <n v="5"/>
    <x v="1"/>
    <x v="111"/>
    <n v="0.58333333333333337"/>
    <x v="1"/>
    <x v="81"/>
  </r>
  <r>
    <s v="Clients_Churn_Part_13.xlsx"/>
    <x v="127"/>
    <x v="18"/>
    <n v="39"/>
    <x v="3"/>
    <n v="220"/>
    <x v="126"/>
    <n v="0"/>
    <x v="1"/>
    <x v="112"/>
    <n v="3.25"/>
    <x v="1"/>
    <x v="82"/>
  </r>
  <r>
    <s v="Clients_Churn_Part_14.xlsx"/>
    <x v="128"/>
    <x v="17"/>
    <n v="59"/>
    <x v="2"/>
    <n v="64"/>
    <x v="127"/>
    <n v="0"/>
    <x v="1"/>
    <x v="36"/>
    <n v="4.916666666666667"/>
    <x v="2"/>
    <x v="2"/>
  </r>
  <r>
    <s v="Clients_Churn_Part_09.xlsx"/>
    <x v="129"/>
    <x v="16"/>
    <n v="28"/>
    <x v="2"/>
    <n v="112"/>
    <x v="128"/>
    <n v="3"/>
    <x v="1"/>
    <x v="0"/>
    <n v="2.3333333333333335"/>
    <x v="2"/>
    <x v="2"/>
  </r>
  <r>
    <s v="Clients_Churn_Part_07.xlsx"/>
    <x v="130"/>
    <x v="3"/>
    <n v="78"/>
    <x v="3"/>
    <n v="263"/>
    <x v="129"/>
    <n v="5"/>
    <x v="0"/>
    <x v="106"/>
    <n v="6.5"/>
    <x v="1"/>
    <x v="83"/>
  </r>
  <r>
    <s v="Clients_Churn_Part_06.xlsx"/>
    <x v="131"/>
    <x v="7"/>
    <n v="4"/>
    <x v="1"/>
    <n v="49"/>
    <x v="130"/>
    <n v="5"/>
    <x v="1"/>
    <x v="91"/>
    <n v="0.33333333333333331"/>
    <x v="2"/>
    <x v="2"/>
  </r>
  <r>
    <s v="Clients_Churn_Part_15.xlsx"/>
    <x v="132"/>
    <x v="20"/>
    <n v="37"/>
    <x v="3"/>
    <n v="213"/>
    <x v="131"/>
    <n v="1"/>
    <x v="1"/>
    <x v="113"/>
    <n v="3.0833333333333335"/>
    <x v="1"/>
    <x v="84"/>
  </r>
  <r>
    <s v="Clients_Churn_Part_06.xlsx"/>
    <x v="133"/>
    <x v="19"/>
    <n v="48"/>
    <x v="3"/>
    <n v="416"/>
    <x v="132"/>
    <n v="5"/>
    <x v="0"/>
    <x v="114"/>
    <n v="4"/>
    <x v="1"/>
    <x v="85"/>
  </r>
  <r>
    <s v="Clients_Churn_Part_05.xlsx"/>
    <x v="134"/>
    <x v="1"/>
    <n v="51"/>
    <x v="1"/>
    <n v="336"/>
    <x v="133"/>
    <n v="1"/>
    <x v="0"/>
    <x v="115"/>
    <n v="4.25"/>
    <x v="1"/>
    <x v="86"/>
  </r>
  <r>
    <s v="Clients_Churn_Part_14.xlsx"/>
    <x v="135"/>
    <x v="24"/>
    <n v="20"/>
    <x v="1"/>
    <n v="31"/>
    <x v="134"/>
    <n v="2"/>
    <x v="1"/>
    <x v="9"/>
    <n v="1.6666666666666667"/>
    <x v="2"/>
    <x v="2"/>
  </r>
  <r>
    <s v="Clients_Churn_Part_06.xlsx"/>
    <x v="136"/>
    <x v="6"/>
    <n v="87"/>
    <x v="0"/>
    <n v="21"/>
    <x v="135"/>
    <n v="3"/>
    <x v="1"/>
    <x v="116"/>
    <n v="7.25"/>
    <x v="2"/>
    <x v="2"/>
  </r>
  <r>
    <s v="Clients_Churn_Part_09.xlsx"/>
    <x v="137"/>
    <x v="6"/>
    <n v="96"/>
    <x v="3"/>
    <n v="273"/>
    <x v="136"/>
    <n v="2"/>
    <x v="1"/>
    <x v="117"/>
    <n v="8"/>
    <x v="1"/>
    <x v="87"/>
  </r>
  <r>
    <s v="Clients_Churn_Part_07.xlsx"/>
    <x v="138"/>
    <x v="25"/>
    <n v="103"/>
    <x v="2"/>
    <n v="182"/>
    <x v="137"/>
    <n v="5"/>
    <x v="1"/>
    <x v="16"/>
    <n v="8.5833333333333339"/>
    <x v="2"/>
    <x v="2"/>
  </r>
  <r>
    <s v="Clients_Churn_Part_14.xlsx"/>
    <x v="139"/>
    <x v="19"/>
    <n v="28"/>
    <x v="3"/>
    <n v="343"/>
    <x v="138"/>
    <n v="5"/>
    <x v="0"/>
    <x v="118"/>
    <n v="2.3333333333333335"/>
    <x v="1"/>
    <x v="88"/>
  </r>
  <r>
    <s v="Clients_Churn_Part_04.xlsx"/>
    <x v="140"/>
    <x v="11"/>
    <n v="60"/>
    <x v="1"/>
    <n v="334"/>
    <x v="139"/>
    <n v="3"/>
    <x v="1"/>
    <x v="79"/>
    <n v="5"/>
    <x v="1"/>
    <x v="89"/>
  </r>
  <r>
    <s v="Clients_Churn_Part_11.xlsx"/>
    <x v="141"/>
    <x v="10"/>
    <n v="36"/>
    <x v="2"/>
    <n v="487"/>
    <x v="140"/>
    <n v="2"/>
    <x v="1"/>
    <x v="97"/>
    <n v="3"/>
    <x v="1"/>
    <x v="90"/>
  </r>
  <r>
    <s v="Clients_Churn_Part_07.xlsx"/>
    <x v="142"/>
    <x v="16"/>
    <n v="106"/>
    <x v="2"/>
    <n v="407"/>
    <x v="141"/>
    <n v="4"/>
    <x v="1"/>
    <x v="119"/>
    <n v="8.8333333333333339"/>
    <x v="1"/>
    <x v="91"/>
  </r>
  <r>
    <s v="Clients_Churn_Part_02.xlsx"/>
    <x v="143"/>
    <x v="14"/>
    <n v="40"/>
    <x v="3"/>
    <n v="345"/>
    <x v="142"/>
    <n v="3"/>
    <x v="1"/>
    <x v="12"/>
    <n v="3.3333333333333335"/>
    <x v="1"/>
    <x v="92"/>
  </r>
  <r>
    <s v="Clients_Churn_Part_07.xlsx"/>
    <x v="144"/>
    <x v="18"/>
    <n v="120"/>
    <x v="2"/>
    <n v="242"/>
    <x v="143"/>
    <n v="1"/>
    <x v="1"/>
    <x v="120"/>
    <n v="10"/>
    <x v="1"/>
    <x v="93"/>
  </r>
  <r>
    <s v="Clients_Churn_Part_02.xlsx"/>
    <x v="145"/>
    <x v="4"/>
    <n v="81"/>
    <x v="3"/>
    <n v="137"/>
    <x v="144"/>
    <n v="0"/>
    <x v="1"/>
    <x v="75"/>
    <n v="6.75"/>
    <x v="2"/>
    <x v="2"/>
  </r>
  <r>
    <s v="Clients_Churn_Part_15.xlsx"/>
    <x v="146"/>
    <x v="13"/>
    <n v="105"/>
    <x v="3"/>
    <n v="454"/>
    <x v="145"/>
    <n v="4"/>
    <x v="0"/>
    <x v="35"/>
    <n v="8.75"/>
    <x v="1"/>
    <x v="94"/>
  </r>
  <r>
    <s v="Clients_Churn_Part_06.xlsx"/>
    <x v="147"/>
    <x v="25"/>
    <n v="5"/>
    <x v="1"/>
    <n v="98"/>
    <x v="146"/>
    <n v="1"/>
    <x v="1"/>
    <x v="121"/>
    <n v="0.41666666666666669"/>
    <x v="2"/>
    <x v="2"/>
  </r>
  <r>
    <s v="Clients_Churn_Part_06.xlsx"/>
    <x v="148"/>
    <x v="17"/>
    <n v="25"/>
    <x v="3"/>
    <n v="467"/>
    <x v="147"/>
    <n v="3"/>
    <x v="1"/>
    <x v="38"/>
    <n v="2.0833333333333335"/>
    <x v="1"/>
    <x v="95"/>
  </r>
  <r>
    <s v="Clients_Churn_Part_09.xlsx"/>
    <x v="149"/>
    <x v="16"/>
    <n v="36"/>
    <x v="3"/>
    <n v="137"/>
    <x v="148"/>
    <n v="0"/>
    <x v="1"/>
    <x v="75"/>
    <n v="3"/>
    <x v="1"/>
    <x v="96"/>
  </r>
  <r>
    <s v="Clients_Churn_Part_15.xlsx"/>
    <x v="150"/>
    <x v="21"/>
    <n v="21"/>
    <x v="0"/>
    <n v="475"/>
    <x v="149"/>
    <n v="2"/>
    <x v="1"/>
    <x v="69"/>
    <n v="1.75"/>
    <x v="1"/>
    <x v="97"/>
  </r>
  <r>
    <s v="Clients_Churn_Part_08.xlsx"/>
    <x v="151"/>
    <x v="18"/>
    <n v="19"/>
    <x v="2"/>
    <n v="450"/>
    <x v="150"/>
    <n v="2"/>
    <x v="0"/>
    <x v="122"/>
    <n v="1.5833333333333333"/>
    <x v="1"/>
    <x v="98"/>
  </r>
  <r>
    <s v="Clients_Churn_Part_04.xlsx"/>
    <x v="152"/>
    <x v="16"/>
    <n v="64"/>
    <x v="1"/>
    <n v="6"/>
    <x v="151"/>
    <n v="5"/>
    <x v="1"/>
    <x v="123"/>
    <n v="5.333333333333333"/>
    <x v="2"/>
    <x v="2"/>
  </r>
  <r>
    <s v="Clients_Churn_Part_02.xlsx"/>
    <x v="153"/>
    <x v="1"/>
    <n v="82"/>
    <x v="0"/>
    <n v="132"/>
    <x v="152"/>
    <n v="5"/>
    <x v="0"/>
    <x v="11"/>
    <n v="6.833333333333333"/>
    <x v="0"/>
    <x v="99"/>
  </r>
  <r>
    <s v="Clients_Churn_Part_03.xlsx"/>
    <x v="154"/>
    <x v="8"/>
    <n v="74"/>
    <x v="1"/>
    <n v="371"/>
    <x v="153"/>
    <n v="3"/>
    <x v="0"/>
    <x v="83"/>
    <n v="6.166666666666667"/>
    <x v="1"/>
    <x v="100"/>
  </r>
  <r>
    <s v="Clients_Churn_Part_02.xlsx"/>
    <x v="155"/>
    <x v="13"/>
    <n v="116"/>
    <x v="1"/>
    <n v="486"/>
    <x v="154"/>
    <n v="5"/>
    <x v="0"/>
    <x v="37"/>
    <n v="9.6666666666666661"/>
    <x v="1"/>
    <x v="101"/>
  </r>
  <r>
    <s v="Clients_Churn_Part_03.xlsx"/>
    <x v="156"/>
    <x v="22"/>
    <n v="29"/>
    <x v="1"/>
    <n v="34"/>
    <x v="155"/>
    <n v="1"/>
    <x v="0"/>
    <x v="95"/>
    <n v="2.4166666666666665"/>
    <x v="0"/>
    <x v="102"/>
  </r>
  <r>
    <s v="Clients_Churn_Part_11.xlsx"/>
    <x v="157"/>
    <x v="9"/>
    <n v="113"/>
    <x v="1"/>
    <n v="152"/>
    <x v="156"/>
    <n v="4"/>
    <x v="1"/>
    <x v="124"/>
    <n v="9.4166666666666661"/>
    <x v="2"/>
    <x v="2"/>
  </r>
  <r>
    <s v="Clients_Churn_Part_14.xlsx"/>
    <x v="158"/>
    <x v="9"/>
    <n v="16"/>
    <x v="2"/>
    <n v="390"/>
    <x v="157"/>
    <n v="0"/>
    <x v="1"/>
    <x v="125"/>
    <n v="1.3333333333333333"/>
    <x v="1"/>
    <x v="103"/>
  </r>
  <r>
    <s v="Clients_Churn_Part_03.xlsx"/>
    <x v="159"/>
    <x v="8"/>
    <n v="59"/>
    <x v="0"/>
    <n v="196"/>
    <x v="158"/>
    <n v="0"/>
    <x v="1"/>
    <x v="126"/>
    <n v="4.916666666666667"/>
    <x v="2"/>
    <x v="2"/>
  </r>
  <r>
    <s v="Clients_Churn_Part_07.xlsx"/>
    <x v="160"/>
    <x v="8"/>
    <n v="38"/>
    <x v="3"/>
    <n v="60"/>
    <x v="159"/>
    <n v="4"/>
    <x v="1"/>
    <x v="20"/>
    <n v="3.1666666666666665"/>
    <x v="1"/>
    <x v="104"/>
  </r>
  <r>
    <s v="Clients_Churn_Part_12.xlsx"/>
    <x v="161"/>
    <x v="23"/>
    <n v="118"/>
    <x v="0"/>
    <n v="186"/>
    <x v="160"/>
    <n v="1"/>
    <x v="1"/>
    <x v="127"/>
    <n v="9.8333333333333339"/>
    <x v="2"/>
    <x v="2"/>
  </r>
  <r>
    <s v="Clients_Churn_Part_02.xlsx"/>
    <x v="162"/>
    <x v="23"/>
    <n v="80"/>
    <x v="0"/>
    <n v="260"/>
    <x v="161"/>
    <n v="3"/>
    <x v="1"/>
    <x v="128"/>
    <n v="6.666666666666667"/>
    <x v="1"/>
    <x v="105"/>
  </r>
  <r>
    <s v="Clients_Churn_Part_03.xlsx"/>
    <x v="163"/>
    <x v="10"/>
    <n v="7"/>
    <x v="3"/>
    <n v="303"/>
    <x v="162"/>
    <n v="0"/>
    <x v="0"/>
    <x v="129"/>
    <n v="0.58333333333333337"/>
    <x v="1"/>
    <x v="106"/>
  </r>
  <r>
    <s v="Clients_Churn_Part_08.xlsx"/>
    <x v="164"/>
    <x v="3"/>
    <n v="14"/>
    <x v="1"/>
    <n v="345"/>
    <x v="163"/>
    <n v="3"/>
    <x v="1"/>
    <x v="12"/>
    <n v="1.1666666666666667"/>
    <x v="1"/>
    <x v="107"/>
  </r>
  <r>
    <s v="Clients_Churn_Part_13.xlsx"/>
    <x v="165"/>
    <x v="14"/>
    <n v="56"/>
    <x v="3"/>
    <n v="123"/>
    <x v="164"/>
    <n v="5"/>
    <x v="0"/>
    <x v="130"/>
    <n v="4.666666666666667"/>
    <x v="1"/>
    <x v="108"/>
  </r>
  <r>
    <s v="Clients_Churn_Part_11.xlsx"/>
    <x v="166"/>
    <x v="5"/>
    <n v="33"/>
    <x v="1"/>
    <n v="207"/>
    <x v="165"/>
    <n v="4"/>
    <x v="1"/>
    <x v="131"/>
    <n v="2.75"/>
    <x v="2"/>
    <x v="2"/>
  </r>
  <r>
    <s v="Clients_Churn_Part_04.xlsx"/>
    <x v="167"/>
    <x v="6"/>
    <n v="113"/>
    <x v="3"/>
    <n v="207"/>
    <x v="166"/>
    <n v="0"/>
    <x v="1"/>
    <x v="131"/>
    <n v="9.4166666666666661"/>
    <x v="2"/>
    <x v="2"/>
  </r>
  <r>
    <s v="Clients_Churn_Part_07.xlsx"/>
    <x v="168"/>
    <x v="2"/>
    <n v="89"/>
    <x v="2"/>
    <n v="418"/>
    <x v="167"/>
    <n v="4"/>
    <x v="0"/>
    <x v="132"/>
    <n v="7.416666666666667"/>
    <x v="1"/>
    <x v="109"/>
  </r>
  <r>
    <s v="Clients_Churn_Part_01.xlsx"/>
    <x v="169"/>
    <x v="24"/>
    <n v="35"/>
    <x v="1"/>
    <n v="465"/>
    <x v="168"/>
    <n v="5"/>
    <x v="1"/>
    <x v="133"/>
    <n v="2.9166666666666665"/>
    <x v="1"/>
    <x v="110"/>
  </r>
  <r>
    <s v="Clients_Churn_Part_13.xlsx"/>
    <x v="170"/>
    <x v="12"/>
    <n v="79"/>
    <x v="2"/>
    <n v="139"/>
    <x v="169"/>
    <n v="4"/>
    <x v="1"/>
    <x v="134"/>
    <n v="6.583333333333333"/>
    <x v="2"/>
    <x v="2"/>
  </r>
  <r>
    <s v="Clients_Churn_Part_06.xlsx"/>
    <x v="171"/>
    <x v="17"/>
    <n v="82"/>
    <x v="3"/>
    <n v="32"/>
    <x v="170"/>
    <n v="1"/>
    <x v="1"/>
    <x v="135"/>
    <n v="6.833333333333333"/>
    <x v="2"/>
    <x v="2"/>
  </r>
  <r>
    <s v="Clients_Churn_Part_05.xlsx"/>
    <x v="172"/>
    <x v="25"/>
    <n v="21"/>
    <x v="0"/>
    <n v="307"/>
    <x v="171"/>
    <n v="5"/>
    <x v="1"/>
    <x v="136"/>
    <n v="1.75"/>
    <x v="1"/>
    <x v="111"/>
  </r>
  <r>
    <s v="Clients_Churn_Part_04.xlsx"/>
    <x v="173"/>
    <x v="13"/>
    <n v="74"/>
    <x v="3"/>
    <n v="213"/>
    <x v="172"/>
    <n v="3"/>
    <x v="0"/>
    <x v="113"/>
    <n v="6.166666666666667"/>
    <x v="0"/>
    <x v="112"/>
  </r>
  <r>
    <s v="Clients_Churn_Part_06.xlsx"/>
    <x v="174"/>
    <x v="10"/>
    <n v="99"/>
    <x v="1"/>
    <n v="325"/>
    <x v="173"/>
    <n v="4"/>
    <x v="1"/>
    <x v="40"/>
    <n v="8.25"/>
    <x v="1"/>
    <x v="113"/>
  </r>
  <r>
    <s v="Clients_Churn_Part_09.xlsx"/>
    <x v="175"/>
    <x v="11"/>
    <n v="36"/>
    <x v="0"/>
    <n v="303"/>
    <x v="16"/>
    <n v="1"/>
    <x v="0"/>
    <x v="129"/>
    <n v="3"/>
    <x v="1"/>
    <x v="114"/>
  </r>
  <r>
    <s v="Clients_Churn_Part_13.xlsx"/>
    <x v="176"/>
    <x v="9"/>
    <n v="15"/>
    <x v="1"/>
    <n v="203"/>
    <x v="174"/>
    <n v="2"/>
    <x v="0"/>
    <x v="137"/>
    <n v="1.25"/>
    <x v="0"/>
    <x v="115"/>
  </r>
  <r>
    <s v="Clients_Churn_Part_07.xlsx"/>
    <x v="177"/>
    <x v="4"/>
    <n v="25"/>
    <x v="1"/>
    <n v="218"/>
    <x v="175"/>
    <n v="0"/>
    <x v="1"/>
    <x v="138"/>
    <n v="2.0833333333333335"/>
    <x v="2"/>
    <x v="2"/>
  </r>
  <r>
    <s v="Clients_Churn_Part_15.xlsx"/>
    <x v="178"/>
    <x v="7"/>
    <n v="49"/>
    <x v="0"/>
    <n v="288"/>
    <x v="176"/>
    <n v="4"/>
    <x v="0"/>
    <x v="139"/>
    <n v="4.083333333333333"/>
    <x v="1"/>
    <x v="116"/>
  </r>
  <r>
    <s v="Clients_Churn_Part_11.xlsx"/>
    <x v="179"/>
    <x v="5"/>
    <n v="58"/>
    <x v="1"/>
    <n v="352"/>
    <x v="177"/>
    <n v="0"/>
    <x v="1"/>
    <x v="140"/>
    <n v="4.833333333333333"/>
    <x v="1"/>
    <x v="117"/>
  </r>
  <r>
    <s v="Clients_Churn_Part_10.xlsx"/>
    <x v="180"/>
    <x v="1"/>
    <n v="102"/>
    <x v="2"/>
    <n v="240"/>
    <x v="178"/>
    <n v="2"/>
    <x v="1"/>
    <x v="141"/>
    <n v="8.5"/>
    <x v="1"/>
    <x v="118"/>
  </r>
  <r>
    <s v="Clients_Churn_Part_01.xlsx"/>
    <x v="181"/>
    <x v="10"/>
    <n v="99"/>
    <x v="0"/>
    <n v="369"/>
    <x v="179"/>
    <n v="3"/>
    <x v="1"/>
    <x v="142"/>
    <n v="8.25"/>
    <x v="1"/>
    <x v="119"/>
  </r>
  <r>
    <s v="Clients_Churn_Part_04.xlsx"/>
    <x v="182"/>
    <x v="22"/>
    <n v="82"/>
    <x v="3"/>
    <n v="264"/>
    <x v="180"/>
    <n v="1"/>
    <x v="1"/>
    <x v="19"/>
    <n v="6.833333333333333"/>
    <x v="1"/>
    <x v="120"/>
  </r>
  <r>
    <s v="Clients_Churn_Part_02.xlsx"/>
    <x v="183"/>
    <x v="5"/>
    <n v="72"/>
    <x v="2"/>
    <n v="51"/>
    <x v="181"/>
    <n v="0"/>
    <x v="0"/>
    <x v="143"/>
    <n v="6"/>
    <x v="0"/>
    <x v="121"/>
  </r>
  <r>
    <s v="Clients_Churn_Part_01.xlsx"/>
    <x v="184"/>
    <x v="18"/>
    <n v="110"/>
    <x v="1"/>
    <n v="423"/>
    <x v="182"/>
    <n v="4"/>
    <x v="0"/>
    <x v="144"/>
    <n v="9.1666666666666661"/>
    <x v="1"/>
    <x v="122"/>
  </r>
  <r>
    <s v="Clients_Churn_Part_08.xlsx"/>
    <x v="185"/>
    <x v="5"/>
    <n v="104"/>
    <x v="1"/>
    <n v="60"/>
    <x v="183"/>
    <n v="1"/>
    <x v="1"/>
    <x v="20"/>
    <n v="8.6666666666666661"/>
    <x v="2"/>
    <x v="2"/>
  </r>
  <r>
    <s v="Clients_Churn_Part_07.xlsx"/>
    <x v="186"/>
    <x v="5"/>
    <n v="17"/>
    <x v="2"/>
    <n v="483"/>
    <x v="184"/>
    <n v="0"/>
    <x v="1"/>
    <x v="145"/>
    <n v="1.4166666666666667"/>
    <x v="1"/>
    <x v="123"/>
  </r>
  <r>
    <s v="Clients_Churn_Part_10.xlsx"/>
    <x v="187"/>
    <x v="17"/>
    <n v="43"/>
    <x v="3"/>
    <n v="193"/>
    <x v="185"/>
    <n v="0"/>
    <x v="0"/>
    <x v="146"/>
    <n v="3.5833333333333335"/>
    <x v="1"/>
    <x v="124"/>
  </r>
  <r>
    <s v="Clients_Churn_Part_11.xlsx"/>
    <x v="188"/>
    <x v="21"/>
    <n v="6"/>
    <x v="1"/>
    <n v="342"/>
    <x v="186"/>
    <n v="5"/>
    <x v="1"/>
    <x v="147"/>
    <n v="0.5"/>
    <x v="1"/>
    <x v="125"/>
  </r>
  <r>
    <s v="Clients_Churn_Part_07.xlsx"/>
    <x v="189"/>
    <x v="18"/>
    <n v="109"/>
    <x v="2"/>
    <n v="347"/>
    <x v="187"/>
    <n v="4"/>
    <x v="1"/>
    <x v="84"/>
    <n v="9.0833333333333339"/>
    <x v="1"/>
    <x v="126"/>
  </r>
  <r>
    <s v="Clients_Churn_Part_07.xlsx"/>
    <x v="190"/>
    <x v="17"/>
    <n v="110"/>
    <x v="3"/>
    <n v="321"/>
    <x v="188"/>
    <n v="2"/>
    <x v="1"/>
    <x v="148"/>
    <n v="9.1666666666666661"/>
    <x v="1"/>
    <x v="127"/>
  </r>
  <r>
    <s v="Clients_Churn_Part_12.xlsx"/>
    <x v="191"/>
    <x v="8"/>
    <n v="17"/>
    <x v="2"/>
    <n v="310"/>
    <x v="189"/>
    <n v="5"/>
    <x v="1"/>
    <x v="149"/>
    <n v="1.4166666666666667"/>
    <x v="1"/>
    <x v="128"/>
  </r>
  <r>
    <s v="Clients_Churn_Part_15.xlsx"/>
    <x v="192"/>
    <x v="3"/>
    <n v="75"/>
    <x v="0"/>
    <n v="370"/>
    <x v="190"/>
    <n v="0"/>
    <x v="0"/>
    <x v="150"/>
    <n v="6.25"/>
    <x v="1"/>
    <x v="129"/>
  </r>
  <r>
    <s v="Clients_Churn_Part_12.xlsx"/>
    <x v="193"/>
    <x v="9"/>
    <n v="71"/>
    <x v="1"/>
    <n v="111"/>
    <x v="191"/>
    <n v="3"/>
    <x v="1"/>
    <x v="151"/>
    <n v="5.916666666666667"/>
    <x v="2"/>
    <x v="2"/>
  </r>
  <r>
    <s v="Clients_Churn_Part_04.xlsx"/>
    <x v="194"/>
    <x v="13"/>
    <n v="67"/>
    <x v="3"/>
    <n v="241"/>
    <x v="192"/>
    <n v="0"/>
    <x v="1"/>
    <x v="152"/>
    <n v="5.583333333333333"/>
    <x v="1"/>
    <x v="130"/>
  </r>
  <r>
    <s v="Clients_Churn_Part_01.xlsx"/>
    <x v="195"/>
    <x v="23"/>
    <n v="79"/>
    <x v="3"/>
    <n v="226"/>
    <x v="193"/>
    <n v="3"/>
    <x v="0"/>
    <x v="153"/>
    <n v="6.583333333333333"/>
    <x v="0"/>
    <x v="131"/>
  </r>
  <r>
    <s v="Clients_Churn_Part_11.xlsx"/>
    <x v="196"/>
    <x v="16"/>
    <n v="53"/>
    <x v="1"/>
    <n v="27"/>
    <x v="194"/>
    <n v="0"/>
    <x v="1"/>
    <x v="43"/>
    <n v="4.416666666666667"/>
    <x v="2"/>
    <x v="2"/>
  </r>
  <r>
    <s v="Clients_Churn_Part_12.xlsx"/>
    <x v="197"/>
    <x v="21"/>
    <n v="101"/>
    <x v="0"/>
    <n v="262"/>
    <x v="195"/>
    <n v="5"/>
    <x v="1"/>
    <x v="154"/>
    <n v="8.4166666666666661"/>
    <x v="1"/>
    <x v="132"/>
  </r>
  <r>
    <s v="Clients_Churn_Part_08.xlsx"/>
    <x v="198"/>
    <x v="15"/>
    <n v="23"/>
    <x v="3"/>
    <n v="268"/>
    <x v="196"/>
    <n v="3"/>
    <x v="1"/>
    <x v="155"/>
    <n v="1.9166666666666667"/>
    <x v="1"/>
    <x v="133"/>
  </r>
  <r>
    <s v="Clients_Churn_Part_14.xlsx"/>
    <x v="199"/>
    <x v="0"/>
    <n v="67"/>
    <x v="3"/>
    <n v="262"/>
    <x v="197"/>
    <n v="3"/>
    <x v="0"/>
    <x v="154"/>
    <n v="5.583333333333333"/>
    <x v="1"/>
    <x v="134"/>
  </r>
  <r>
    <s v="Clients_Churn_Part_03.xlsx"/>
    <x v="200"/>
    <x v="1"/>
    <n v="109"/>
    <x v="1"/>
    <n v="480"/>
    <x v="198"/>
    <n v="0"/>
    <x v="1"/>
    <x v="156"/>
    <n v="9.0833333333333339"/>
    <x v="1"/>
    <x v="135"/>
  </r>
  <r>
    <s v="Clients_Churn_Part_03.xlsx"/>
    <x v="201"/>
    <x v="16"/>
    <n v="54"/>
    <x v="0"/>
    <n v="99"/>
    <x v="199"/>
    <n v="0"/>
    <x v="1"/>
    <x v="102"/>
    <n v="4.5"/>
    <x v="2"/>
    <x v="2"/>
  </r>
  <r>
    <s v="Clients_Churn_Part_11.xlsx"/>
    <x v="202"/>
    <x v="4"/>
    <n v="118"/>
    <x v="0"/>
    <n v="461"/>
    <x v="200"/>
    <n v="5"/>
    <x v="0"/>
    <x v="14"/>
    <n v="9.8333333333333339"/>
    <x v="1"/>
    <x v="136"/>
  </r>
  <r>
    <s v="Clients_Churn_Part_02.xlsx"/>
    <x v="203"/>
    <x v="24"/>
    <n v="86"/>
    <x v="1"/>
    <n v="237"/>
    <x v="201"/>
    <n v="5"/>
    <x v="0"/>
    <x v="157"/>
    <n v="7.166666666666667"/>
    <x v="0"/>
    <x v="137"/>
  </r>
  <r>
    <s v="Clients_Churn_Part_01.xlsx"/>
    <x v="204"/>
    <x v="17"/>
    <n v="14"/>
    <x v="1"/>
    <n v="316"/>
    <x v="202"/>
    <n v="4"/>
    <x v="1"/>
    <x v="158"/>
    <n v="1.1666666666666667"/>
    <x v="1"/>
    <x v="138"/>
  </r>
  <r>
    <s v="Clients_Churn_Part_09.xlsx"/>
    <x v="205"/>
    <x v="1"/>
    <n v="41"/>
    <x v="2"/>
    <n v="404"/>
    <x v="203"/>
    <n v="5"/>
    <x v="1"/>
    <x v="159"/>
    <n v="3.4166666666666665"/>
    <x v="1"/>
    <x v="139"/>
  </r>
  <r>
    <s v="Clients_Churn_Part_03.xlsx"/>
    <x v="206"/>
    <x v="21"/>
    <n v="79"/>
    <x v="2"/>
    <n v="403"/>
    <x v="204"/>
    <n v="0"/>
    <x v="0"/>
    <x v="49"/>
    <n v="6.583333333333333"/>
    <x v="1"/>
    <x v="140"/>
  </r>
  <r>
    <s v="Clients_Churn_Part_04.xlsx"/>
    <x v="207"/>
    <x v="5"/>
    <n v="89"/>
    <x v="1"/>
    <n v="203"/>
    <x v="205"/>
    <n v="5"/>
    <x v="1"/>
    <x v="137"/>
    <n v="7.416666666666667"/>
    <x v="2"/>
    <x v="2"/>
  </r>
  <r>
    <s v="Clients_Churn_Part_05.xlsx"/>
    <x v="208"/>
    <x v="9"/>
    <n v="18"/>
    <x v="0"/>
    <n v="291"/>
    <x v="206"/>
    <n v="1"/>
    <x v="1"/>
    <x v="160"/>
    <n v="1.5"/>
    <x v="1"/>
    <x v="141"/>
  </r>
  <r>
    <s v="Clients_Churn_Part_07.xlsx"/>
    <x v="209"/>
    <x v="3"/>
    <n v="96"/>
    <x v="2"/>
    <n v="381"/>
    <x v="207"/>
    <n v="2"/>
    <x v="1"/>
    <x v="161"/>
    <n v="8"/>
    <x v="1"/>
    <x v="142"/>
  </r>
  <r>
    <s v="Clients_Churn_Part_11.xlsx"/>
    <x v="210"/>
    <x v="15"/>
    <n v="120"/>
    <x v="0"/>
    <n v="27"/>
    <x v="208"/>
    <n v="3"/>
    <x v="1"/>
    <x v="43"/>
    <n v="10"/>
    <x v="2"/>
    <x v="2"/>
  </r>
  <r>
    <s v="Clients_Churn_Part_05.xlsx"/>
    <x v="211"/>
    <x v="7"/>
    <n v="65"/>
    <x v="0"/>
    <n v="118"/>
    <x v="209"/>
    <n v="1"/>
    <x v="0"/>
    <x v="162"/>
    <n v="5.416666666666667"/>
    <x v="0"/>
    <x v="143"/>
  </r>
  <r>
    <s v="Clients_Churn_Part_05.xlsx"/>
    <x v="212"/>
    <x v="10"/>
    <n v="13"/>
    <x v="1"/>
    <n v="347"/>
    <x v="210"/>
    <n v="2"/>
    <x v="0"/>
    <x v="84"/>
    <n v="1.0833333333333333"/>
    <x v="1"/>
    <x v="144"/>
  </r>
  <r>
    <s v="Clients_Churn_Part_10.xlsx"/>
    <x v="213"/>
    <x v="16"/>
    <n v="120"/>
    <x v="1"/>
    <n v="72"/>
    <x v="211"/>
    <n v="3"/>
    <x v="1"/>
    <x v="163"/>
    <n v="10"/>
    <x v="2"/>
    <x v="2"/>
  </r>
  <r>
    <s v="Clients_Churn_Part_02.xlsx"/>
    <x v="214"/>
    <x v="11"/>
    <n v="114"/>
    <x v="3"/>
    <n v="283"/>
    <x v="212"/>
    <n v="3"/>
    <x v="1"/>
    <x v="21"/>
    <n v="9.5"/>
    <x v="1"/>
    <x v="145"/>
  </r>
  <r>
    <s v="Clients_Churn_Part_04.xlsx"/>
    <x v="215"/>
    <x v="13"/>
    <n v="58"/>
    <x v="0"/>
    <n v="405"/>
    <x v="213"/>
    <n v="0"/>
    <x v="1"/>
    <x v="164"/>
    <n v="4.833333333333333"/>
    <x v="1"/>
    <x v="146"/>
  </r>
  <r>
    <s v="Clients_Churn_Part_14.xlsx"/>
    <x v="216"/>
    <x v="16"/>
    <n v="94"/>
    <x v="2"/>
    <n v="261"/>
    <x v="214"/>
    <n v="3"/>
    <x v="1"/>
    <x v="165"/>
    <n v="7.833333333333333"/>
    <x v="1"/>
    <x v="147"/>
  </r>
  <r>
    <s v="Clients_Churn_Part_08.xlsx"/>
    <x v="217"/>
    <x v="13"/>
    <n v="74"/>
    <x v="2"/>
    <n v="253"/>
    <x v="215"/>
    <n v="5"/>
    <x v="1"/>
    <x v="166"/>
    <n v="6.166666666666667"/>
    <x v="1"/>
    <x v="148"/>
  </r>
  <r>
    <s v="Clients_Churn_Part_12.xlsx"/>
    <x v="218"/>
    <x v="15"/>
    <n v="50"/>
    <x v="2"/>
    <n v="177"/>
    <x v="216"/>
    <n v="4"/>
    <x v="1"/>
    <x v="167"/>
    <n v="4.166666666666667"/>
    <x v="2"/>
    <x v="2"/>
  </r>
  <r>
    <s v="Clients_Churn_Part_15.xlsx"/>
    <x v="219"/>
    <x v="5"/>
    <n v="26"/>
    <x v="2"/>
    <n v="378"/>
    <x v="217"/>
    <n v="4"/>
    <x v="1"/>
    <x v="58"/>
    <n v="2.1666666666666665"/>
    <x v="1"/>
    <x v="149"/>
  </r>
  <r>
    <s v="Clients_Churn_Part_15.xlsx"/>
    <x v="220"/>
    <x v="10"/>
    <n v="26"/>
    <x v="3"/>
    <n v="391"/>
    <x v="218"/>
    <n v="3"/>
    <x v="0"/>
    <x v="168"/>
    <n v="2.1666666666666665"/>
    <x v="1"/>
    <x v="150"/>
  </r>
  <r>
    <s v="Clients_Churn_Part_09.xlsx"/>
    <x v="221"/>
    <x v="2"/>
    <n v="104"/>
    <x v="1"/>
    <n v="421"/>
    <x v="219"/>
    <n v="3"/>
    <x v="0"/>
    <x v="169"/>
    <n v="8.6666666666666661"/>
    <x v="1"/>
    <x v="151"/>
  </r>
  <r>
    <s v="Clients_Churn_Part_08.xlsx"/>
    <x v="222"/>
    <x v="20"/>
    <n v="103"/>
    <x v="1"/>
    <n v="270"/>
    <x v="220"/>
    <n v="3"/>
    <x v="0"/>
    <x v="104"/>
    <n v="8.5833333333333339"/>
    <x v="1"/>
    <x v="152"/>
  </r>
  <r>
    <s v="Clients_Churn_Part_13.xlsx"/>
    <x v="223"/>
    <x v="23"/>
    <n v="93"/>
    <x v="1"/>
    <n v="56"/>
    <x v="221"/>
    <n v="4"/>
    <x v="1"/>
    <x v="170"/>
    <n v="7.75"/>
    <x v="2"/>
    <x v="2"/>
  </r>
  <r>
    <s v="Clients_Churn_Part_09.xlsx"/>
    <x v="224"/>
    <x v="6"/>
    <n v="86"/>
    <x v="3"/>
    <n v="452"/>
    <x v="222"/>
    <n v="0"/>
    <x v="1"/>
    <x v="171"/>
    <n v="7.166666666666667"/>
    <x v="1"/>
    <x v="153"/>
  </r>
  <r>
    <s v="Clients_Churn_Part_11.xlsx"/>
    <x v="225"/>
    <x v="16"/>
    <n v="47"/>
    <x v="2"/>
    <n v="385"/>
    <x v="223"/>
    <n v="0"/>
    <x v="1"/>
    <x v="172"/>
    <n v="3.9166666666666665"/>
    <x v="1"/>
    <x v="154"/>
  </r>
  <r>
    <s v="Clients_Churn_Part_09.xlsx"/>
    <x v="226"/>
    <x v="1"/>
    <n v="83"/>
    <x v="3"/>
    <n v="105"/>
    <x v="224"/>
    <n v="1"/>
    <x v="1"/>
    <x v="10"/>
    <n v="6.916666666666667"/>
    <x v="2"/>
    <x v="2"/>
  </r>
  <r>
    <s v="Clients_Churn_Part_01.xlsx"/>
    <x v="227"/>
    <x v="19"/>
    <n v="6"/>
    <x v="3"/>
    <n v="207"/>
    <x v="225"/>
    <n v="0"/>
    <x v="1"/>
    <x v="131"/>
    <n v="0.5"/>
    <x v="1"/>
    <x v="155"/>
  </r>
  <r>
    <s v="Clients_Churn_Part_06.xlsx"/>
    <x v="228"/>
    <x v="6"/>
    <n v="40"/>
    <x v="3"/>
    <n v="102"/>
    <x v="226"/>
    <n v="5"/>
    <x v="1"/>
    <x v="173"/>
    <n v="3.3333333333333335"/>
    <x v="1"/>
    <x v="156"/>
  </r>
  <r>
    <s v="Clients_Churn_Part_03.xlsx"/>
    <x v="229"/>
    <x v="15"/>
    <n v="42"/>
    <x v="2"/>
    <n v="173"/>
    <x v="227"/>
    <n v="4"/>
    <x v="1"/>
    <x v="107"/>
    <n v="3.5"/>
    <x v="2"/>
    <x v="2"/>
  </r>
  <r>
    <s v="Clients_Churn_Part_12.xlsx"/>
    <x v="230"/>
    <x v="7"/>
    <n v="51"/>
    <x v="0"/>
    <n v="337"/>
    <x v="228"/>
    <n v="5"/>
    <x v="1"/>
    <x v="174"/>
    <n v="4.25"/>
    <x v="1"/>
    <x v="157"/>
  </r>
  <r>
    <s v="Clients_Churn_Part_08.xlsx"/>
    <x v="231"/>
    <x v="9"/>
    <n v="113"/>
    <x v="3"/>
    <n v="89"/>
    <x v="229"/>
    <n v="0"/>
    <x v="1"/>
    <x v="175"/>
    <n v="9.4166666666666661"/>
    <x v="2"/>
    <x v="2"/>
  </r>
  <r>
    <s v="Clients_Churn_Part_10.xlsx"/>
    <x v="232"/>
    <x v="20"/>
    <n v="101"/>
    <x v="0"/>
    <n v="416"/>
    <x v="230"/>
    <n v="2"/>
    <x v="1"/>
    <x v="114"/>
    <n v="8.4166666666666661"/>
    <x v="1"/>
    <x v="158"/>
  </r>
  <r>
    <s v="Clients_Churn_Part_02.xlsx"/>
    <x v="233"/>
    <x v="19"/>
    <n v="74"/>
    <x v="3"/>
    <n v="208"/>
    <x v="231"/>
    <n v="0"/>
    <x v="1"/>
    <x v="176"/>
    <n v="6.166666666666667"/>
    <x v="2"/>
    <x v="2"/>
  </r>
  <r>
    <s v="Clients_Churn_Part_06.xlsx"/>
    <x v="234"/>
    <x v="13"/>
    <n v="10"/>
    <x v="0"/>
    <n v="93"/>
    <x v="232"/>
    <n v="4"/>
    <x v="1"/>
    <x v="92"/>
    <n v="0.83333333333333337"/>
    <x v="2"/>
    <x v="2"/>
  </r>
  <r>
    <s v="Clients_Churn_Part_08.xlsx"/>
    <x v="235"/>
    <x v="0"/>
    <n v="16"/>
    <x v="3"/>
    <n v="391"/>
    <x v="233"/>
    <n v="5"/>
    <x v="0"/>
    <x v="168"/>
    <n v="1.3333333333333333"/>
    <x v="1"/>
    <x v="159"/>
  </r>
  <r>
    <s v="Clients_Churn_Part_11.xlsx"/>
    <x v="236"/>
    <x v="14"/>
    <n v="59"/>
    <x v="1"/>
    <n v="72"/>
    <x v="128"/>
    <n v="2"/>
    <x v="0"/>
    <x v="163"/>
    <n v="4.916666666666667"/>
    <x v="0"/>
    <x v="160"/>
  </r>
  <r>
    <s v="Clients_Churn_Part_07.xlsx"/>
    <x v="237"/>
    <x v="5"/>
    <n v="41"/>
    <x v="1"/>
    <n v="474"/>
    <x v="234"/>
    <n v="4"/>
    <x v="1"/>
    <x v="177"/>
    <n v="3.4166666666666665"/>
    <x v="1"/>
    <x v="161"/>
  </r>
  <r>
    <s v="Clients_Churn_Part_07.xlsx"/>
    <x v="238"/>
    <x v="7"/>
    <n v="5"/>
    <x v="2"/>
    <n v="337"/>
    <x v="235"/>
    <n v="4"/>
    <x v="1"/>
    <x v="174"/>
    <n v="0.41666666666666669"/>
    <x v="1"/>
    <x v="162"/>
  </r>
  <r>
    <s v="Clients_Churn_Part_03.xlsx"/>
    <x v="239"/>
    <x v="22"/>
    <n v="118"/>
    <x v="2"/>
    <n v="430"/>
    <x v="236"/>
    <n v="2"/>
    <x v="1"/>
    <x v="178"/>
    <n v="9.8333333333333339"/>
    <x v="1"/>
    <x v="163"/>
  </r>
  <r>
    <s v="Clients_Churn_Part_11.xlsx"/>
    <x v="240"/>
    <x v="1"/>
    <n v="53"/>
    <x v="3"/>
    <n v="243"/>
    <x v="237"/>
    <n v="4"/>
    <x v="0"/>
    <x v="179"/>
    <n v="4.416666666666667"/>
    <x v="1"/>
    <x v="164"/>
  </r>
  <r>
    <s v="Clients_Churn_Part_03.xlsx"/>
    <x v="241"/>
    <x v="23"/>
    <n v="95"/>
    <x v="1"/>
    <n v="95"/>
    <x v="238"/>
    <n v="2"/>
    <x v="1"/>
    <x v="7"/>
    <n v="7.916666666666667"/>
    <x v="2"/>
    <x v="2"/>
  </r>
  <r>
    <s v="Clients_Churn_Part_02.xlsx"/>
    <x v="242"/>
    <x v="23"/>
    <n v="83"/>
    <x v="2"/>
    <n v="14"/>
    <x v="239"/>
    <n v="3"/>
    <x v="0"/>
    <x v="180"/>
    <n v="6.916666666666667"/>
    <x v="0"/>
    <x v="165"/>
  </r>
  <r>
    <s v="Clients_Churn_Part_14.xlsx"/>
    <x v="243"/>
    <x v="4"/>
    <n v="35"/>
    <x v="1"/>
    <n v="299"/>
    <x v="240"/>
    <n v="4"/>
    <x v="1"/>
    <x v="181"/>
    <n v="2.9166666666666665"/>
    <x v="1"/>
    <x v="166"/>
  </r>
  <r>
    <s v="Clients_Churn_Part_04.xlsx"/>
    <x v="244"/>
    <x v="12"/>
    <n v="97"/>
    <x v="0"/>
    <n v="484"/>
    <x v="241"/>
    <n v="1"/>
    <x v="1"/>
    <x v="182"/>
    <n v="8.0833333333333339"/>
    <x v="1"/>
    <x v="167"/>
  </r>
  <r>
    <s v="Clients_Churn_Part_06.xlsx"/>
    <x v="245"/>
    <x v="16"/>
    <n v="76"/>
    <x v="2"/>
    <n v="383"/>
    <x v="242"/>
    <n v="2"/>
    <x v="1"/>
    <x v="183"/>
    <n v="6.333333333333333"/>
    <x v="1"/>
    <x v="168"/>
  </r>
  <r>
    <s v="Clients_Churn_Part_10.xlsx"/>
    <x v="246"/>
    <x v="7"/>
    <n v="10"/>
    <x v="3"/>
    <n v="425"/>
    <x v="243"/>
    <n v="0"/>
    <x v="0"/>
    <x v="70"/>
    <n v="0.83333333333333337"/>
    <x v="1"/>
    <x v="169"/>
  </r>
  <r>
    <s v="Clients_Churn_Part_08.xlsx"/>
    <x v="247"/>
    <x v="11"/>
    <n v="68"/>
    <x v="1"/>
    <n v="462"/>
    <x v="244"/>
    <n v="1"/>
    <x v="1"/>
    <x v="184"/>
    <n v="5.666666666666667"/>
    <x v="1"/>
    <x v="170"/>
  </r>
  <r>
    <s v="Clients_Churn_Part_01.xlsx"/>
    <x v="248"/>
    <x v="6"/>
    <n v="16"/>
    <x v="0"/>
    <n v="43"/>
    <x v="245"/>
    <n v="0"/>
    <x v="0"/>
    <x v="185"/>
    <n v="1.3333333333333333"/>
    <x v="0"/>
    <x v="171"/>
  </r>
  <r>
    <s v="Clients_Churn_Part_07.xlsx"/>
    <x v="249"/>
    <x v="22"/>
    <n v="109"/>
    <x v="1"/>
    <n v="397"/>
    <x v="246"/>
    <n v="1"/>
    <x v="0"/>
    <x v="186"/>
    <n v="9.0833333333333339"/>
    <x v="1"/>
    <x v="172"/>
  </r>
  <r>
    <s v="Clients_Churn_Part_15.xlsx"/>
    <x v="250"/>
    <x v="22"/>
    <n v="96"/>
    <x v="1"/>
    <n v="280"/>
    <x v="247"/>
    <n v="5"/>
    <x v="1"/>
    <x v="187"/>
    <n v="8"/>
    <x v="1"/>
    <x v="173"/>
  </r>
  <r>
    <s v="Clients_Churn_Part_05.xlsx"/>
    <x v="251"/>
    <x v="22"/>
    <n v="25"/>
    <x v="0"/>
    <n v="33"/>
    <x v="248"/>
    <n v="1"/>
    <x v="1"/>
    <x v="188"/>
    <n v="2.0833333333333335"/>
    <x v="2"/>
    <x v="2"/>
  </r>
  <r>
    <s v="Clients_Churn_Part_06.xlsx"/>
    <x v="252"/>
    <x v="24"/>
    <n v="45"/>
    <x v="2"/>
    <n v="43"/>
    <x v="249"/>
    <n v="0"/>
    <x v="1"/>
    <x v="185"/>
    <n v="3.75"/>
    <x v="2"/>
    <x v="2"/>
  </r>
  <r>
    <s v="Clients_Churn_Part_11.xlsx"/>
    <x v="253"/>
    <x v="7"/>
    <n v="63"/>
    <x v="2"/>
    <n v="109"/>
    <x v="250"/>
    <n v="3"/>
    <x v="1"/>
    <x v="189"/>
    <n v="5.25"/>
    <x v="2"/>
    <x v="2"/>
  </r>
  <r>
    <s v="Clients_Churn_Part_13.xlsx"/>
    <x v="254"/>
    <x v="21"/>
    <n v="41"/>
    <x v="2"/>
    <n v="90"/>
    <x v="251"/>
    <n v="1"/>
    <x v="1"/>
    <x v="190"/>
    <n v="3.4166666666666665"/>
    <x v="2"/>
    <x v="2"/>
  </r>
  <r>
    <s v="Clients_Churn_Part_04.xlsx"/>
    <x v="255"/>
    <x v="2"/>
    <n v="35"/>
    <x v="2"/>
    <n v="107"/>
    <x v="252"/>
    <n v="4"/>
    <x v="1"/>
    <x v="56"/>
    <n v="2.9166666666666665"/>
    <x v="2"/>
    <x v="2"/>
  </r>
  <r>
    <s v="Clients_Churn_Part_01.xlsx"/>
    <x v="256"/>
    <x v="10"/>
    <n v="106"/>
    <x v="0"/>
    <n v="400"/>
    <x v="253"/>
    <n v="4"/>
    <x v="1"/>
    <x v="25"/>
    <n v="8.8333333333333339"/>
    <x v="1"/>
    <x v="174"/>
  </r>
  <r>
    <s v="Clients_Churn_Part_02.xlsx"/>
    <x v="257"/>
    <x v="7"/>
    <n v="16"/>
    <x v="0"/>
    <n v="390"/>
    <x v="254"/>
    <n v="5"/>
    <x v="1"/>
    <x v="125"/>
    <n v="1.3333333333333333"/>
    <x v="1"/>
    <x v="175"/>
  </r>
  <r>
    <s v="Clients_Churn_Part_05.xlsx"/>
    <x v="258"/>
    <x v="17"/>
    <n v="92"/>
    <x v="0"/>
    <n v="472"/>
    <x v="255"/>
    <n v="1"/>
    <x v="1"/>
    <x v="191"/>
    <n v="7.666666666666667"/>
    <x v="1"/>
    <x v="176"/>
  </r>
  <r>
    <s v="Clients_Churn_Part_04.xlsx"/>
    <x v="259"/>
    <x v="2"/>
    <n v="115"/>
    <x v="0"/>
    <n v="236"/>
    <x v="256"/>
    <n v="1"/>
    <x v="1"/>
    <x v="192"/>
    <n v="9.5833333333333339"/>
    <x v="2"/>
    <x v="2"/>
  </r>
  <r>
    <s v="Clients_Churn_Part_06.xlsx"/>
    <x v="260"/>
    <x v="3"/>
    <n v="63"/>
    <x v="2"/>
    <n v="95"/>
    <x v="257"/>
    <n v="0"/>
    <x v="1"/>
    <x v="7"/>
    <n v="5.25"/>
    <x v="2"/>
    <x v="2"/>
  </r>
  <r>
    <s v="Clients_Churn_Part_15.xlsx"/>
    <x v="261"/>
    <x v="18"/>
    <n v="119"/>
    <x v="0"/>
    <n v="133"/>
    <x v="258"/>
    <n v="5"/>
    <x v="1"/>
    <x v="193"/>
    <n v="9.9166666666666661"/>
    <x v="2"/>
    <x v="2"/>
  </r>
  <r>
    <s v="Clients_Churn_Part_10.xlsx"/>
    <x v="262"/>
    <x v="23"/>
    <n v="14"/>
    <x v="2"/>
    <n v="304"/>
    <x v="259"/>
    <n v="2"/>
    <x v="1"/>
    <x v="100"/>
    <n v="1.1666666666666667"/>
    <x v="1"/>
    <x v="177"/>
  </r>
  <r>
    <s v="Clients_Churn_Part_15.xlsx"/>
    <x v="263"/>
    <x v="18"/>
    <n v="18"/>
    <x v="0"/>
    <n v="463"/>
    <x v="260"/>
    <n v="4"/>
    <x v="1"/>
    <x v="194"/>
    <n v="1.5"/>
    <x v="1"/>
    <x v="178"/>
  </r>
  <r>
    <s v="Clients_Churn_Part_07.xlsx"/>
    <x v="264"/>
    <x v="3"/>
    <n v="76"/>
    <x v="2"/>
    <n v="332"/>
    <x v="261"/>
    <n v="4"/>
    <x v="1"/>
    <x v="8"/>
    <n v="6.333333333333333"/>
    <x v="1"/>
    <x v="179"/>
  </r>
  <r>
    <s v="Clients_Churn_Part_04.xlsx"/>
    <x v="265"/>
    <x v="12"/>
    <n v="48"/>
    <x v="0"/>
    <n v="436"/>
    <x v="262"/>
    <n v="0"/>
    <x v="0"/>
    <x v="33"/>
    <n v="4"/>
    <x v="1"/>
    <x v="180"/>
  </r>
  <r>
    <s v="Clients_Churn_Part_01.xlsx"/>
    <x v="266"/>
    <x v="15"/>
    <n v="34"/>
    <x v="1"/>
    <n v="453"/>
    <x v="263"/>
    <n v="0"/>
    <x v="1"/>
    <x v="195"/>
    <n v="2.8333333333333335"/>
    <x v="1"/>
    <x v="181"/>
  </r>
  <r>
    <s v="Clients_Churn_Part_04.xlsx"/>
    <x v="267"/>
    <x v="16"/>
    <n v="31"/>
    <x v="0"/>
    <n v="160"/>
    <x v="264"/>
    <n v="4"/>
    <x v="1"/>
    <x v="17"/>
    <n v="2.5833333333333335"/>
    <x v="2"/>
    <x v="2"/>
  </r>
  <r>
    <s v="Clients_Churn_Part_02.xlsx"/>
    <x v="268"/>
    <x v="6"/>
    <n v="74"/>
    <x v="2"/>
    <n v="9"/>
    <x v="265"/>
    <n v="0"/>
    <x v="1"/>
    <x v="196"/>
    <n v="6.166666666666667"/>
    <x v="2"/>
    <x v="2"/>
  </r>
  <r>
    <s v="Clients_Churn_Part_03.xlsx"/>
    <x v="269"/>
    <x v="4"/>
    <n v="88"/>
    <x v="2"/>
    <n v="319"/>
    <x v="266"/>
    <n v="0"/>
    <x v="1"/>
    <x v="52"/>
    <n v="7.333333333333333"/>
    <x v="1"/>
    <x v="182"/>
  </r>
  <r>
    <s v="Clients_Churn_Part_12.xlsx"/>
    <x v="270"/>
    <x v="21"/>
    <n v="81"/>
    <x v="2"/>
    <n v="64"/>
    <x v="267"/>
    <n v="2"/>
    <x v="1"/>
    <x v="36"/>
    <n v="6.75"/>
    <x v="2"/>
    <x v="2"/>
  </r>
  <r>
    <s v="Clients_Churn_Part_12.xlsx"/>
    <x v="271"/>
    <x v="9"/>
    <n v="74"/>
    <x v="2"/>
    <n v="16"/>
    <x v="268"/>
    <n v="3"/>
    <x v="1"/>
    <x v="197"/>
    <n v="6.166666666666667"/>
    <x v="2"/>
    <x v="2"/>
  </r>
  <r>
    <s v="Clients_Churn_Part_12.xlsx"/>
    <x v="272"/>
    <x v="13"/>
    <n v="108"/>
    <x v="0"/>
    <n v="460"/>
    <x v="269"/>
    <n v="3"/>
    <x v="1"/>
    <x v="198"/>
    <n v="9"/>
    <x v="1"/>
    <x v="183"/>
  </r>
  <r>
    <s v="Clients_Churn_Part_06.xlsx"/>
    <x v="273"/>
    <x v="24"/>
    <n v="91"/>
    <x v="2"/>
    <n v="63"/>
    <x v="270"/>
    <n v="5"/>
    <x v="1"/>
    <x v="199"/>
    <n v="7.583333333333333"/>
    <x v="2"/>
    <x v="2"/>
  </r>
  <r>
    <s v="Clients_Churn_Part_09.xlsx"/>
    <x v="274"/>
    <x v="8"/>
    <n v="7"/>
    <x v="2"/>
    <n v="94"/>
    <x v="271"/>
    <n v="3"/>
    <x v="1"/>
    <x v="93"/>
    <n v="0.58333333333333337"/>
    <x v="2"/>
    <x v="2"/>
  </r>
  <r>
    <s v="Clients_Churn_Part_07.xlsx"/>
    <x v="275"/>
    <x v="22"/>
    <n v="47"/>
    <x v="3"/>
    <n v="49"/>
    <x v="272"/>
    <n v="3"/>
    <x v="1"/>
    <x v="91"/>
    <n v="3.9166666666666665"/>
    <x v="1"/>
    <x v="184"/>
  </r>
  <r>
    <s v="Clients_Churn_Part_15.xlsx"/>
    <x v="276"/>
    <x v="7"/>
    <n v="54"/>
    <x v="2"/>
    <n v="215"/>
    <x v="273"/>
    <n v="0"/>
    <x v="0"/>
    <x v="200"/>
    <n v="4.5"/>
    <x v="0"/>
    <x v="185"/>
  </r>
  <r>
    <s v="Clients_Churn_Part_11.xlsx"/>
    <x v="277"/>
    <x v="15"/>
    <n v="80"/>
    <x v="1"/>
    <n v="458"/>
    <x v="274"/>
    <n v="0"/>
    <x v="1"/>
    <x v="201"/>
    <n v="6.666666666666667"/>
    <x v="1"/>
    <x v="186"/>
  </r>
  <r>
    <s v="Clients_Churn_Part_08.xlsx"/>
    <x v="278"/>
    <x v="8"/>
    <n v="115"/>
    <x v="2"/>
    <n v="467"/>
    <x v="275"/>
    <n v="3"/>
    <x v="1"/>
    <x v="38"/>
    <n v="9.5833333333333339"/>
    <x v="1"/>
    <x v="187"/>
  </r>
  <r>
    <s v="Clients_Churn_Part_13.xlsx"/>
    <x v="279"/>
    <x v="7"/>
    <n v="104"/>
    <x v="2"/>
    <n v="50"/>
    <x v="276"/>
    <n v="4"/>
    <x v="1"/>
    <x v="202"/>
    <n v="8.6666666666666661"/>
    <x v="2"/>
    <x v="2"/>
  </r>
  <r>
    <s v="Clients_Churn_Part_12.xlsx"/>
    <x v="280"/>
    <x v="4"/>
    <n v="103"/>
    <x v="3"/>
    <n v="310"/>
    <x v="277"/>
    <n v="2"/>
    <x v="1"/>
    <x v="149"/>
    <n v="8.5833333333333339"/>
    <x v="1"/>
    <x v="188"/>
  </r>
  <r>
    <s v="Clients_Churn_Part_09.xlsx"/>
    <x v="281"/>
    <x v="13"/>
    <n v="54"/>
    <x v="0"/>
    <n v="450"/>
    <x v="278"/>
    <n v="1"/>
    <x v="0"/>
    <x v="122"/>
    <n v="4.5"/>
    <x v="1"/>
    <x v="189"/>
  </r>
  <r>
    <s v="Clients_Churn_Part_01.xlsx"/>
    <x v="282"/>
    <x v="20"/>
    <n v="63"/>
    <x v="1"/>
    <n v="205"/>
    <x v="279"/>
    <n v="0"/>
    <x v="1"/>
    <x v="203"/>
    <n v="5.25"/>
    <x v="2"/>
    <x v="2"/>
  </r>
  <r>
    <s v="Clients_Churn_Part_12.xlsx"/>
    <x v="283"/>
    <x v="13"/>
    <n v="16"/>
    <x v="3"/>
    <n v="274"/>
    <x v="280"/>
    <n v="4"/>
    <x v="1"/>
    <x v="204"/>
    <n v="1.3333333333333333"/>
    <x v="1"/>
    <x v="190"/>
  </r>
  <r>
    <s v="Clients_Churn_Part_15.xlsx"/>
    <x v="284"/>
    <x v="25"/>
    <n v="95"/>
    <x v="3"/>
    <n v="313"/>
    <x v="281"/>
    <n v="1"/>
    <x v="0"/>
    <x v="205"/>
    <n v="7.916666666666667"/>
    <x v="1"/>
    <x v="191"/>
  </r>
  <r>
    <s v="Clients_Churn_Part_04.xlsx"/>
    <x v="285"/>
    <x v="0"/>
    <n v="48"/>
    <x v="1"/>
    <n v="76"/>
    <x v="282"/>
    <n v="2"/>
    <x v="1"/>
    <x v="62"/>
    <n v="4"/>
    <x v="2"/>
    <x v="2"/>
  </r>
  <r>
    <s v="Clients_Churn_Part_02.xlsx"/>
    <x v="286"/>
    <x v="13"/>
    <n v="83"/>
    <x v="0"/>
    <n v="126"/>
    <x v="283"/>
    <n v="1"/>
    <x v="1"/>
    <x v="206"/>
    <n v="6.916666666666667"/>
    <x v="2"/>
    <x v="2"/>
  </r>
  <r>
    <s v="Clients_Churn_Part_09.xlsx"/>
    <x v="287"/>
    <x v="15"/>
    <n v="96"/>
    <x v="2"/>
    <n v="155"/>
    <x v="284"/>
    <n v="4"/>
    <x v="1"/>
    <x v="96"/>
    <n v="8"/>
    <x v="2"/>
    <x v="2"/>
  </r>
  <r>
    <s v="Clients_Churn_Part_09.xlsx"/>
    <x v="288"/>
    <x v="7"/>
    <n v="13"/>
    <x v="2"/>
    <n v="482"/>
    <x v="285"/>
    <n v="0"/>
    <x v="1"/>
    <x v="207"/>
    <n v="1.0833333333333333"/>
    <x v="1"/>
    <x v="192"/>
  </r>
  <r>
    <s v="Clients_Churn_Part_03.xlsx"/>
    <x v="289"/>
    <x v="20"/>
    <n v="4"/>
    <x v="0"/>
    <n v="227"/>
    <x v="286"/>
    <n v="2"/>
    <x v="1"/>
    <x v="208"/>
    <n v="0.33333333333333331"/>
    <x v="2"/>
    <x v="2"/>
  </r>
  <r>
    <s v="Clients_Churn_Part_05.xlsx"/>
    <x v="290"/>
    <x v="14"/>
    <n v="49"/>
    <x v="2"/>
    <n v="6"/>
    <x v="287"/>
    <n v="3"/>
    <x v="1"/>
    <x v="123"/>
    <n v="4.083333333333333"/>
    <x v="2"/>
    <x v="2"/>
  </r>
  <r>
    <s v="Clients_Churn_Part_14.xlsx"/>
    <x v="291"/>
    <x v="6"/>
    <n v="37"/>
    <x v="3"/>
    <n v="420"/>
    <x v="288"/>
    <n v="4"/>
    <x v="0"/>
    <x v="209"/>
    <n v="3.0833333333333335"/>
    <x v="1"/>
    <x v="193"/>
  </r>
  <r>
    <s v="Clients_Churn_Part_14.xlsx"/>
    <x v="292"/>
    <x v="13"/>
    <n v="86"/>
    <x v="1"/>
    <n v="353"/>
    <x v="289"/>
    <n v="1"/>
    <x v="0"/>
    <x v="210"/>
    <n v="7.166666666666667"/>
    <x v="1"/>
    <x v="194"/>
  </r>
  <r>
    <s v="Clients_Churn_Part_13.xlsx"/>
    <x v="293"/>
    <x v="5"/>
    <n v="101"/>
    <x v="1"/>
    <n v="108"/>
    <x v="290"/>
    <n v="3"/>
    <x v="1"/>
    <x v="50"/>
    <n v="8.4166666666666661"/>
    <x v="2"/>
    <x v="2"/>
  </r>
  <r>
    <s v="Clients_Churn_Part_07.xlsx"/>
    <x v="294"/>
    <x v="21"/>
    <n v="105"/>
    <x v="3"/>
    <n v="17"/>
    <x v="291"/>
    <n v="4"/>
    <x v="1"/>
    <x v="211"/>
    <n v="8.75"/>
    <x v="2"/>
    <x v="2"/>
  </r>
  <r>
    <s v="Clients_Churn_Part_05.xlsx"/>
    <x v="295"/>
    <x v="18"/>
    <n v="61"/>
    <x v="2"/>
    <n v="87"/>
    <x v="292"/>
    <n v="2"/>
    <x v="1"/>
    <x v="212"/>
    <n v="5.083333333333333"/>
    <x v="2"/>
    <x v="2"/>
  </r>
  <r>
    <s v="Clients_Churn_Part_10.xlsx"/>
    <x v="296"/>
    <x v="19"/>
    <n v="94"/>
    <x v="2"/>
    <n v="6"/>
    <x v="293"/>
    <n v="5"/>
    <x v="0"/>
    <x v="123"/>
    <n v="7.833333333333333"/>
    <x v="0"/>
    <x v="195"/>
  </r>
  <r>
    <s v="Clients_Churn_Part_05.xlsx"/>
    <x v="297"/>
    <x v="12"/>
    <n v="6"/>
    <x v="1"/>
    <n v="109"/>
    <x v="294"/>
    <n v="4"/>
    <x v="1"/>
    <x v="189"/>
    <n v="0.5"/>
    <x v="2"/>
    <x v="2"/>
  </r>
  <r>
    <s v="Clients_Churn_Part_06.xlsx"/>
    <x v="298"/>
    <x v="23"/>
    <n v="62"/>
    <x v="2"/>
    <n v="136"/>
    <x v="295"/>
    <n v="2"/>
    <x v="1"/>
    <x v="67"/>
    <n v="5.166666666666667"/>
    <x v="2"/>
    <x v="2"/>
  </r>
  <r>
    <s v="Clients_Churn_Part_13.xlsx"/>
    <x v="299"/>
    <x v="24"/>
    <n v="34"/>
    <x v="2"/>
    <n v="181"/>
    <x v="296"/>
    <n v="2"/>
    <x v="0"/>
    <x v="74"/>
    <n v="2.8333333333333335"/>
    <x v="0"/>
    <x v="196"/>
  </r>
  <r>
    <s v="Clients_Churn_Part_09.xlsx"/>
    <x v="300"/>
    <x v="15"/>
    <n v="99"/>
    <x v="1"/>
    <n v="138"/>
    <x v="297"/>
    <n v="5"/>
    <x v="1"/>
    <x v="213"/>
    <n v="8.25"/>
    <x v="2"/>
    <x v="2"/>
  </r>
  <r>
    <s v="Clients_Churn_Part_07.xlsx"/>
    <x v="301"/>
    <x v="18"/>
    <n v="59"/>
    <x v="3"/>
    <n v="352"/>
    <x v="298"/>
    <n v="0"/>
    <x v="0"/>
    <x v="140"/>
    <n v="4.916666666666667"/>
    <x v="1"/>
    <x v="197"/>
  </r>
  <r>
    <s v="Clients_Churn_Part_06.xlsx"/>
    <x v="302"/>
    <x v="17"/>
    <n v="56"/>
    <x v="1"/>
    <n v="55"/>
    <x v="299"/>
    <n v="2"/>
    <x v="0"/>
    <x v="214"/>
    <n v="4.666666666666667"/>
    <x v="0"/>
    <x v="198"/>
  </r>
  <r>
    <s v="Clients_Churn_Part_12.xlsx"/>
    <x v="303"/>
    <x v="0"/>
    <n v="94"/>
    <x v="1"/>
    <n v="247"/>
    <x v="300"/>
    <n v="0"/>
    <x v="0"/>
    <x v="215"/>
    <n v="7.833333333333333"/>
    <x v="1"/>
    <x v="199"/>
  </r>
  <r>
    <s v="Clients_Churn_Part_13.xlsx"/>
    <x v="304"/>
    <x v="23"/>
    <n v="14"/>
    <x v="1"/>
    <n v="236"/>
    <x v="301"/>
    <n v="3"/>
    <x v="0"/>
    <x v="192"/>
    <n v="1.1666666666666667"/>
    <x v="0"/>
    <x v="200"/>
  </r>
  <r>
    <s v="Clients_Churn_Part_09.xlsx"/>
    <x v="305"/>
    <x v="23"/>
    <n v="63"/>
    <x v="1"/>
    <n v="121"/>
    <x v="302"/>
    <n v="2"/>
    <x v="1"/>
    <x v="216"/>
    <n v="5.25"/>
    <x v="2"/>
    <x v="2"/>
  </r>
  <r>
    <s v="Clients_Churn_Part_08.xlsx"/>
    <x v="306"/>
    <x v="6"/>
    <n v="111"/>
    <x v="0"/>
    <n v="194"/>
    <x v="303"/>
    <n v="2"/>
    <x v="0"/>
    <x v="217"/>
    <n v="9.25"/>
    <x v="0"/>
    <x v="201"/>
  </r>
  <r>
    <s v="Clients_Churn_Part_15.xlsx"/>
    <x v="307"/>
    <x v="1"/>
    <n v="25"/>
    <x v="1"/>
    <n v="66"/>
    <x v="304"/>
    <n v="5"/>
    <x v="0"/>
    <x v="218"/>
    <n v="2.0833333333333335"/>
    <x v="0"/>
    <x v="202"/>
  </r>
  <r>
    <s v="Clients_Churn_Part_07.xlsx"/>
    <x v="308"/>
    <x v="22"/>
    <n v="37"/>
    <x v="1"/>
    <n v="88"/>
    <x v="305"/>
    <n v="1"/>
    <x v="1"/>
    <x v="32"/>
    <n v="3.0833333333333335"/>
    <x v="2"/>
    <x v="2"/>
  </r>
  <r>
    <s v="Clients_Churn_Part_15.xlsx"/>
    <x v="309"/>
    <x v="4"/>
    <n v="29"/>
    <x v="0"/>
    <n v="306"/>
    <x v="306"/>
    <n v="1"/>
    <x v="0"/>
    <x v="66"/>
    <n v="2.4166666666666665"/>
    <x v="1"/>
    <x v="203"/>
  </r>
  <r>
    <s v="Clients_Churn_Part_09.xlsx"/>
    <x v="310"/>
    <x v="8"/>
    <n v="13"/>
    <x v="1"/>
    <n v="87"/>
    <x v="307"/>
    <n v="0"/>
    <x v="1"/>
    <x v="212"/>
    <n v="1.0833333333333333"/>
    <x v="2"/>
    <x v="2"/>
  </r>
  <r>
    <s v="Clients_Churn_Part_04.xlsx"/>
    <x v="311"/>
    <x v="5"/>
    <n v="27"/>
    <x v="3"/>
    <n v="369"/>
    <x v="308"/>
    <n v="1"/>
    <x v="1"/>
    <x v="142"/>
    <n v="2.25"/>
    <x v="1"/>
    <x v="204"/>
  </r>
  <r>
    <s v="Clients_Churn_Part_14.xlsx"/>
    <x v="312"/>
    <x v="14"/>
    <n v="110"/>
    <x v="3"/>
    <n v="289"/>
    <x v="309"/>
    <n v="4"/>
    <x v="0"/>
    <x v="219"/>
    <n v="9.1666666666666661"/>
    <x v="1"/>
    <x v="205"/>
  </r>
  <r>
    <s v="Clients_Churn_Part_15.xlsx"/>
    <x v="313"/>
    <x v="2"/>
    <n v="82"/>
    <x v="1"/>
    <n v="312"/>
    <x v="11"/>
    <n v="0"/>
    <x v="1"/>
    <x v="220"/>
    <n v="6.833333333333333"/>
    <x v="1"/>
    <x v="206"/>
  </r>
  <r>
    <s v="Clients_Churn_Part_03.xlsx"/>
    <x v="314"/>
    <x v="9"/>
    <n v="72"/>
    <x v="3"/>
    <n v="5"/>
    <x v="310"/>
    <n v="0"/>
    <x v="1"/>
    <x v="221"/>
    <n v="6"/>
    <x v="2"/>
    <x v="2"/>
  </r>
  <r>
    <s v="Clients_Churn_Part_03.xlsx"/>
    <x v="315"/>
    <x v="23"/>
    <n v="7"/>
    <x v="3"/>
    <n v="317"/>
    <x v="311"/>
    <n v="1"/>
    <x v="1"/>
    <x v="222"/>
    <n v="0.58333333333333337"/>
    <x v="1"/>
    <x v="207"/>
  </r>
  <r>
    <s v="Clients_Churn_Part_13.xlsx"/>
    <x v="316"/>
    <x v="1"/>
    <n v="16"/>
    <x v="3"/>
    <n v="96"/>
    <x v="312"/>
    <n v="1"/>
    <x v="1"/>
    <x v="223"/>
    <n v="1.3333333333333333"/>
    <x v="1"/>
    <x v="208"/>
  </r>
  <r>
    <s v="Clients_Churn_Part_12.xlsx"/>
    <x v="317"/>
    <x v="20"/>
    <n v="74"/>
    <x v="0"/>
    <n v="265"/>
    <x v="313"/>
    <n v="3"/>
    <x v="1"/>
    <x v="224"/>
    <n v="6.166666666666667"/>
    <x v="1"/>
    <x v="209"/>
  </r>
  <r>
    <s v="Clients_Churn_Part_05.xlsx"/>
    <x v="318"/>
    <x v="25"/>
    <n v="106"/>
    <x v="2"/>
    <n v="128"/>
    <x v="314"/>
    <n v="2"/>
    <x v="1"/>
    <x v="225"/>
    <n v="8.8333333333333339"/>
    <x v="2"/>
    <x v="2"/>
  </r>
  <r>
    <s v="Clients_Churn_Part_14.xlsx"/>
    <x v="319"/>
    <x v="10"/>
    <n v="37"/>
    <x v="2"/>
    <n v="3"/>
    <x v="315"/>
    <n v="5"/>
    <x v="1"/>
    <x v="226"/>
    <n v="3.0833333333333335"/>
    <x v="2"/>
    <x v="2"/>
  </r>
  <r>
    <s v="Clients_Churn_Part_09.xlsx"/>
    <x v="320"/>
    <x v="0"/>
    <n v="71"/>
    <x v="2"/>
    <n v="68"/>
    <x v="316"/>
    <n v="2"/>
    <x v="1"/>
    <x v="227"/>
    <n v="5.916666666666667"/>
    <x v="2"/>
    <x v="2"/>
  </r>
  <r>
    <s v="Clients_Churn_Part_01.xlsx"/>
    <x v="321"/>
    <x v="1"/>
    <n v="119"/>
    <x v="2"/>
    <n v="228"/>
    <x v="317"/>
    <n v="3"/>
    <x v="1"/>
    <x v="228"/>
    <n v="9.9166666666666661"/>
    <x v="2"/>
    <x v="2"/>
  </r>
  <r>
    <s v="Clients_Churn_Part_14.xlsx"/>
    <x v="322"/>
    <x v="3"/>
    <n v="20"/>
    <x v="0"/>
    <n v="297"/>
    <x v="318"/>
    <n v="0"/>
    <x v="1"/>
    <x v="1"/>
    <n v="1.6666666666666667"/>
    <x v="1"/>
    <x v="210"/>
  </r>
  <r>
    <s v="Clients_Churn_Part_15.xlsx"/>
    <x v="323"/>
    <x v="10"/>
    <n v="109"/>
    <x v="2"/>
    <n v="104"/>
    <x v="319"/>
    <n v="5"/>
    <x v="1"/>
    <x v="229"/>
    <n v="9.0833333333333339"/>
    <x v="2"/>
    <x v="2"/>
  </r>
  <r>
    <s v="Clients_Churn_Part_15.xlsx"/>
    <x v="324"/>
    <x v="19"/>
    <n v="78"/>
    <x v="3"/>
    <n v="387"/>
    <x v="320"/>
    <n v="2"/>
    <x v="0"/>
    <x v="230"/>
    <n v="6.5"/>
    <x v="1"/>
    <x v="211"/>
  </r>
  <r>
    <s v="Clients_Churn_Part_11.xlsx"/>
    <x v="325"/>
    <x v="18"/>
    <n v="11"/>
    <x v="1"/>
    <n v="214"/>
    <x v="321"/>
    <n v="5"/>
    <x v="1"/>
    <x v="98"/>
    <n v="0.91666666666666663"/>
    <x v="2"/>
    <x v="2"/>
  </r>
  <r>
    <s v="Clients_Churn_Part_02.xlsx"/>
    <x v="326"/>
    <x v="25"/>
    <n v="80"/>
    <x v="2"/>
    <n v="155"/>
    <x v="322"/>
    <n v="2"/>
    <x v="1"/>
    <x v="96"/>
    <n v="6.666666666666667"/>
    <x v="2"/>
    <x v="2"/>
  </r>
  <r>
    <s v="Clients_Churn_Part_11.xlsx"/>
    <x v="327"/>
    <x v="22"/>
    <n v="110"/>
    <x v="2"/>
    <n v="47"/>
    <x v="323"/>
    <n v="0"/>
    <x v="1"/>
    <x v="231"/>
    <n v="9.1666666666666661"/>
    <x v="2"/>
    <x v="2"/>
  </r>
  <r>
    <s v="Clients_Churn_Part_04.xlsx"/>
    <x v="328"/>
    <x v="16"/>
    <n v="5"/>
    <x v="0"/>
    <n v="239"/>
    <x v="324"/>
    <n v="2"/>
    <x v="1"/>
    <x v="232"/>
    <n v="0.41666666666666669"/>
    <x v="2"/>
    <x v="2"/>
  </r>
  <r>
    <s v="Clients_Churn_Part_08.xlsx"/>
    <x v="329"/>
    <x v="5"/>
    <n v="90"/>
    <x v="0"/>
    <n v="216"/>
    <x v="325"/>
    <n v="0"/>
    <x v="1"/>
    <x v="5"/>
    <n v="7.5"/>
    <x v="2"/>
    <x v="2"/>
  </r>
  <r>
    <s v="Clients_Churn_Part_06.xlsx"/>
    <x v="330"/>
    <x v="3"/>
    <n v="105"/>
    <x v="2"/>
    <n v="3"/>
    <x v="326"/>
    <n v="1"/>
    <x v="1"/>
    <x v="226"/>
    <n v="8.75"/>
    <x v="2"/>
    <x v="2"/>
  </r>
  <r>
    <s v="Clients_Churn_Part_09.xlsx"/>
    <x v="331"/>
    <x v="18"/>
    <n v="39"/>
    <x v="2"/>
    <n v="327"/>
    <x v="327"/>
    <n v="4"/>
    <x v="1"/>
    <x v="233"/>
    <n v="3.25"/>
    <x v="1"/>
    <x v="212"/>
  </r>
  <r>
    <s v="Clients_Churn_Part_12.xlsx"/>
    <x v="332"/>
    <x v="13"/>
    <n v="21"/>
    <x v="0"/>
    <n v="267"/>
    <x v="328"/>
    <n v="1"/>
    <x v="1"/>
    <x v="234"/>
    <n v="1.75"/>
    <x v="1"/>
    <x v="213"/>
  </r>
  <r>
    <s v="Clients_Churn_Part_15.xlsx"/>
    <x v="333"/>
    <x v="15"/>
    <n v="9"/>
    <x v="2"/>
    <n v="102"/>
    <x v="329"/>
    <n v="0"/>
    <x v="0"/>
    <x v="173"/>
    <n v="0.75"/>
    <x v="0"/>
    <x v="214"/>
  </r>
  <r>
    <s v="Clients_Churn_Part_02.xlsx"/>
    <x v="334"/>
    <x v="13"/>
    <n v="53"/>
    <x v="1"/>
    <n v="385"/>
    <x v="330"/>
    <n v="3"/>
    <x v="0"/>
    <x v="172"/>
    <n v="4.416666666666667"/>
    <x v="1"/>
    <x v="215"/>
  </r>
  <r>
    <s v="Clients_Churn_Part_10.xlsx"/>
    <x v="335"/>
    <x v="21"/>
    <n v="64"/>
    <x v="1"/>
    <n v="15"/>
    <x v="331"/>
    <n v="4"/>
    <x v="1"/>
    <x v="235"/>
    <n v="5.333333333333333"/>
    <x v="2"/>
    <x v="2"/>
  </r>
  <r>
    <s v="Clients_Churn_Part_08.xlsx"/>
    <x v="336"/>
    <x v="18"/>
    <n v="45"/>
    <x v="0"/>
    <n v="439"/>
    <x v="332"/>
    <n v="4"/>
    <x v="1"/>
    <x v="236"/>
    <n v="3.75"/>
    <x v="1"/>
    <x v="216"/>
  </r>
  <r>
    <s v="Clients_Churn_Part_02.xlsx"/>
    <x v="337"/>
    <x v="2"/>
    <n v="86"/>
    <x v="0"/>
    <n v="460"/>
    <x v="333"/>
    <n v="4"/>
    <x v="1"/>
    <x v="198"/>
    <n v="7.166666666666667"/>
    <x v="1"/>
    <x v="217"/>
  </r>
  <r>
    <s v="Clients_Churn_Part_08.xlsx"/>
    <x v="338"/>
    <x v="16"/>
    <n v="45"/>
    <x v="2"/>
    <n v="26"/>
    <x v="334"/>
    <n v="1"/>
    <x v="1"/>
    <x v="73"/>
    <n v="3.75"/>
    <x v="2"/>
    <x v="2"/>
  </r>
  <r>
    <s v="Clients_Churn_Part_08.xlsx"/>
    <x v="339"/>
    <x v="8"/>
    <n v="101"/>
    <x v="3"/>
    <n v="476"/>
    <x v="335"/>
    <n v="4"/>
    <x v="1"/>
    <x v="237"/>
    <n v="8.4166666666666661"/>
    <x v="1"/>
    <x v="218"/>
  </r>
  <r>
    <s v="Clients_Churn_Part_04.xlsx"/>
    <x v="340"/>
    <x v="4"/>
    <n v="21"/>
    <x v="2"/>
    <n v="107"/>
    <x v="336"/>
    <n v="4"/>
    <x v="0"/>
    <x v="56"/>
    <n v="1.75"/>
    <x v="0"/>
    <x v="219"/>
  </r>
  <r>
    <s v="Clients_Churn_Part_12.xlsx"/>
    <x v="341"/>
    <x v="6"/>
    <n v="2"/>
    <x v="1"/>
    <n v="481"/>
    <x v="337"/>
    <n v="4"/>
    <x v="1"/>
    <x v="238"/>
    <n v="0.16666666666666666"/>
    <x v="1"/>
    <x v="220"/>
  </r>
  <r>
    <s v="Clients_Churn_Part_11.xlsx"/>
    <x v="342"/>
    <x v="13"/>
    <n v="41"/>
    <x v="3"/>
    <n v="178"/>
    <x v="338"/>
    <n v="4"/>
    <x v="1"/>
    <x v="239"/>
    <n v="3.4166666666666665"/>
    <x v="1"/>
    <x v="221"/>
  </r>
  <r>
    <s v="Clients_Churn_Part_12.xlsx"/>
    <x v="343"/>
    <x v="6"/>
    <n v="82"/>
    <x v="2"/>
    <n v="175"/>
    <x v="339"/>
    <n v="1"/>
    <x v="1"/>
    <x v="89"/>
    <n v="6.833333333333333"/>
    <x v="2"/>
    <x v="2"/>
  </r>
  <r>
    <s v="Clients_Churn_Part_05.xlsx"/>
    <x v="344"/>
    <x v="24"/>
    <n v="86"/>
    <x v="3"/>
    <n v="111"/>
    <x v="340"/>
    <n v="0"/>
    <x v="1"/>
    <x v="151"/>
    <n v="7.166666666666667"/>
    <x v="2"/>
    <x v="2"/>
  </r>
  <r>
    <s v="Clients_Churn_Part_09.xlsx"/>
    <x v="345"/>
    <x v="4"/>
    <n v="45"/>
    <x v="2"/>
    <n v="356"/>
    <x v="341"/>
    <n v="0"/>
    <x v="1"/>
    <x v="240"/>
    <n v="3.75"/>
    <x v="1"/>
    <x v="222"/>
  </r>
  <r>
    <s v="Clients_Churn_Part_02.xlsx"/>
    <x v="346"/>
    <x v="1"/>
    <n v="111"/>
    <x v="3"/>
    <n v="103"/>
    <x v="342"/>
    <n v="0"/>
    <x v="0"/>
    <x v="241"/>
    <n v="9.25"/>
    <x v="0"/>
    <x v="223"/>
  </r>
  <r>
    <s v="Clients_Churn_Part_12.xlsx"/>
    <x v="347"/>
    <x v="16"/>
    <n v="34"/>
    <x v="1"/>
    <n v="58"/>
    <x v="343"/>
    <n v="0"/>
    <x v="1"/>
    <x v="242"/>
    <n v="2.8333333333333335"/>
    <x v="2"/>
    <x v="2"/>
  </r>
  <r>
    <s v="Clients_Churn_Part_12.xlsx"/>
    <x v="348"/>
    <x v="8"/>
    <n v="91"/>
    <x v="0"/>
    <n v="62"/>
    <x v="344"/>
    <n v="5"/>
    <x v="1"/>
    <x v="243"/>
    <n v="7.583333333333333"/>
    <x v="2"/>
    <x v="2"/>
  </r>
  <r>
    <s v="Clients_Churn_Part_06.xlsx"/>
    <x v="349"/>
    <x v="16"/>
    <n v="95"/>
    <x v="3"/>
    <n v="51"/>
    <x v="345"/>
    <n v="5"/>
    <x v="0"/>
    <x v="143"/>
    <n v="7.916666666666667"/>
    <x v="0"/>
    <x v="224"/>
  </r>
  <r>
    <s v="Clients_Churn_Part_10.xlsx"/>
    <x v="350"/>
    <x v="19"/>
    <n v="37"/>
    <x v="1"/>
    <n v="37"/>
    <x v="346"/>
    <n v="0"/>
    <x v="1"/>
    <x v="244"/>
    <n v="3.0833333333333335"/>
    <x v="2"/>
    <x v="2"/>
  </r>
  <r>
    <s v="Clients_Churn_Part_12.xlsx"/>
    <x v="351"/>
    <x v="21"/>
    <n v="56"/>
    <x v="0"/>
    <n v="379"/>
    <x v="347"/>
    <n v="0"/>
    <x v="0"/>
    <x v="245"/>
    <n v="4.666666666666667"/>
    <x v="1"/>
    <x v="225"/>
  </r>
  <r>
    <s v="Clients_Churn_Part_15.xlsx"/>
    <x v="352"/>
    <x v="0"/>
    <n v="4"/>
    <x v="1"/>
    <n v="449"/>
    <x v="348"/>
    <n v="2"/>
    <x v="0"/>
    <x v="76"/>
    <n v="0.33333333333333331"/>
    <x v="1"/>
    <x v="226"/>
  </r>
  <r>
    <s v="Clients_Churn_Part_08.xlsx"/>
    <x v="353"/>
    <x v="18"/>
    <n v="13"/>
    <x v="1"/>
    <n v="173"/>
    <x v="349"/>
    <n v="3"/>
    <x v="0"/>
    <x v="107"/>
    <n v="1.0833333333333333"/>
    <x v="0"/>
    <x v="227"/>
  </r>
  <r>
    <s v="Clients_Churn_Part_02.xlsx"/>
    <x v="354"/>
    <x v="16"/>
    <n v="70"/>
    <x v="1"/>
    <n v="290"/>
    <x v="221"/>
    <n v="1"/>
    <x v="1"/>
    <x v="246"/>
    <n v="5.833333333333333"/>
    <x v="1"/>
    <x v="228"/>
  </r>
  <r>
    <s v="Clients_Churn_Part_13.xlsx"/>
    <x v="355"/>
    <x v="24"/>
    <n v="49"/>
    <x v="2"/>
    <n v="25"/>
    <x v="350"/>
    <n v="3"/>
    <x v="1"/>
    <x v="247"/>
    <n v="4.083333333333333"/>
    <x v="2"/>
    <x v="2"/>
  </r>
  <r>
    <s v="Clients_Churn_Part_03.xlsx"/>
    <x v="356"/>
    <x v="3"/>
    <n v="11"/>
    <x v="0"/>
    <n v="215"/>
    <x v="351"/>
    <n v="1"/>
    <x v="1"/>
    <x v="200"/>
    <n v="0.91666666666666663"/>
    <x v="2"/>
    <x v="2"/>
  </r>
  <r>
    <s v="Clients_Churn_Part_14.xlsx"/>
    <x v="357"/>
    <x v="22"/>
    <n v="40"/>
    <x v="3"/>
    <n v="235"/>
    <x v="352"/>
    <n v="3"/>
    <x v="1"/>
    <x v="248"/>
    <n v="3.3333333333333335"/>
    <x v="1"/>
    <x v="229"/>
  </r>
  <r>
    <s v="Clients_Churn_Part_03.xlsx"/>
    <x v="358"/>
    <x v="21"/>
    <n v="33"/>
    <x v="2"/>
    <n v="337"/>
    <x v="353"/>
    <n v="2"/>
    <x v="1"/>
    <x v="174"/>
    <n v="2.75"/>
    <x v="1"/>
    <x v="230"/>
  </r>
  <r>
    <s v="Clients_Churn_Part_11.xlsx"/>
    <x v="359"/>
    <x v="25"/>
    <n v="91"/>
    <x v="2"/>
    <n v="90"/>
    <x v="354"/>
    <n v="3"/>
    <x v="0"/>
    <x v="190"/>
    <n v="7.583333333333333"/>
    <x v="0"/>
    <x v="231"/>
  </r>
  <r>
    <s v="Clients_Churn_Part_04.xlsx"/>
    <x v="360"/>
    <x v="7"/>
    <n v="18"/>
    <x v="1"/>
    <n v="71"/>
    <x v="355"/>
    <n v="2"/>
    <x v="1"/>
    <x v="249"/>
    <n v="1.5"/>
    <x v="2"/>
    <x v="2"/>
  </r>
  <r>
    <s v="Clients_Churn_Part_01.xlsx"/>
    <x v="361"/>
    <x v="4"/>
    <n v="112"/>
    <x v="3"/>
    <n v="460"/>
    <x v="356"/>
    <n v="4"/>
    <x v="1"/>
    <x v="198"/>
    <n v="9.3333333333333339"/>
    <x v="1"/>
    <x v="232"/>
  </r>
  <r>
    <s v="Clients_Churn_Part_12.xlsx"/>
    <x v="362"/>
    <x v="12"/>
    <n v="27"/>
    <x v="0"/>
    <n v="70"/>
    <x v="127"/>
    <n v="3"/>
    <x v="1"/>
    <x v="250"/>
    <n v="2.25"/>
    <x v="2"/>
    <x v="2"/>
  </r>
  <r>
    <s v="Clients_Churn_Part_03.xlsx"/>
    <x v="363"/>
    <x v="18"/>
    <n v="-36"/>
    <x v="0"/>
    <n v="404"/>
    <x v="357"/>
    <n v="1"/>
    <x v="1"/>
    <x v="159"/>
    <n v="-3"/>
    <x v="1"/>
    <x v="233"/>
  </r>
  <r>
    <s v="Clients_Churn_Part_15.xlsx"/>
    <x v="364"/>
    <x v="22"/>
    <n v="90"/>
    <x v="2"/>
    <n v="412"/>
    <x v="358"/>
    <n v="2"/>
    <x v="0"/>
    <x v="251"/>
    <n v="7.5"/>
    <x v="1"/>
    <x v="234"/>
  </r>
  <r>
    <s v="Clients_Churn_Part_15.xlsx"/>
    <x v="365"/>
    <x v="4"/>
    <n v="33"/>
    <x v="1"/>
    <n v="391"/>
    <x v="359"/>
    <n v="4"/>
    <x v="1"/>
    <x v="168"/>
    <n v="2.75"/>
    <x v="1"/>
    <x v="235"/>
  </r>
  <r>
    <s v="Clients_Churn_Part_09.xlsx"/>
    <x v="366"/>
    <x v="10"/>
    <n v="1"/>
    <x v="3"/>
    <n v="368"/>
    <x v="360"/>
    <n v="1"/>
    <x v="1"/>
    <x v="252"/>
    <n v="8.3333333333333329E-2"/>
    <x v="1"/>
    <x v="236"/>
  </r>
  <r>
    <s v="Clients_Churn_Part_08.xlsx"/>
    <x v="367"/>
    <x v="15"/>
    <n v="117"/>
    <x v="2"/>
    <n v="338"/>
    <x v="361"/>
    <n v="5"/>
    <x v="1"/>
    <x v="253"/>
    <n v="9.75"/>
    <x v="1"/>
    <x v="237"/>
  </r>
  <r>
    <s v="Clients_Churn_Part_06.xlsx"/>
    <x v="368"/>
    <x v="18"/>
    <n v="50"/>
    <x v="2"/>
    <n v="446"/>
    <x v="362"/>
    <n v="5"/>
    <x v="1"/>
    <x v="254"/>
    <n v="4.166666666666667"/>
    <x v="1"/>
    <x v="238"/>
  </r>
  <r>
    <s v="Clients_Churn_Part_08.xlsx"/>
    <x v="369"/>
    <x v="20"/>
    <n v="76"/>
    <x v="3"/>
    <n v="187"/>
    <x v="363"/>
    <n v="1"/>
    <x v="1"/>
    <x v="57"/>
    <n v="6.333333333333333"/>
    <x v="2"/>
    <x v="2"/>
  </r>
  <r>
    <s v="Clients_Churn_Part_09.xlsx"/>
    <x v="370"/>
    <x v="24"/>
    <n v="88"/>
    <x v="0"/>
    <n v="474"/>
    <x v="364"/>
    <n v="5"/>
    <x v="0"/>
    <x v="177"/>
    <n v="7.333333333333333"/>
    <x v="1"/>
    <x v="239"/>
  </r>
  <r>
    <s v="Clients_Churn_Part_10.xlsx"/>
    <x v="371"/>
    <x v="23"/>
    <n v="115"/>
    <x v="1"/>
    <n v="190"/>
    <x v="365"/>
    <n v="0"/>
    <x v="1"/>
    <x v="255"/>
    <n v="9.5833333333333339"/>
    <x v="2"/>
    <x v="2"/>
  </r>
  <r>
    <s v="Clients_Churn_Part_06.xlsx"/>
    <x v="372"/>
    <x v="16"/>
    <n v="84"/>
    <x v="0"/>
    <n v="244"/>
    <x v="366"/>
    <n v="5"/>
    <x v="1"/>
    <x v="256"/>
    <n v="7"/>
    <x v="1"/>
    <x v="240"/>
  </r>
  <r>
    <s v="Clients_Churn_Part_12.xlsx"/>
    <x v="373"/>
    <x v="19"/>
    <n v="21"/>
    <x v="0"/>
    <n v="15"/>
    <x v="367"/>
    <n v="0"/>
    <x v="1"/>
    <x v="235"/>
    <n v="1.75"/>
    <x v="2"/>
    <x v="2"/>
  </r>
  <r>
    <s v="Clients_Churn_Part_11.xlsx"/>
    <x v="374"/>
    <x v="25"/>
    <n v="21"/>
    <x v="2"/>
    <n v="444"/>
    <x v="368"/>
    <n v="3"/>
    <x v="1"/>
    <x v="257"/>
    <n v="1.75"/>
    <x v="1"/>
    <x v="241"/>
  </r>
  <r>
    <s v="Clients_Churn_Part_14.xlsx"/>
    <x v="375"/>
    <x v="23"/>
    <n v="92"/>
    <x v="0"/>
    <n v="379"/>
    <x v="369"/>
    <n v="5"/>
    <x v="1"/>
    <x v="245"/>
    <n v="7.666666666666667"/>
    <x v="1"/>
    <x v="242"/>
  </r>
  <r>
    <s v="Clients_Churn_Part_06.xlsx"/>
    <x v="376"/>
    <x v="23"/>
    <n v="114"/>
    <x v="0"/>
    <n v="388"/>
    <x v="370"/>
    <n v="5"/>
    <x v="0"/>
    <x v="30"/>
    <n v="9.5"/>
    <x v="1"/>
    <x v="243"/>
  </r>
  <r>
    <s v="Clients_Churn_Part_02.xlsx"/>
    <x v="377"/>
    <x v="22"/>
    <n v="98"/>
    <x v="1"/>
    <n v="482"/>
    <x v="371"/>
    <n v="5"/>
    <x v="1"/>
    <x v="207"/>
    <n v="8.1666666666666661"/>
    <x v="1"/>
    <x v="244"/>
  </r>
  <r>
    <s v="Clients_Churn_Part_05.xlsx"/>
    <x v="378"/>
    <x v="21"/>
    <n v="15"/>
    <x v="0"/>
    <n v="319"/>
    <x v="372"/>
    <n v="4"/>
    <x v="1"/>
    <x v="52"/>
    <n v="1.25"/>
    <x v="1"/>
    <x v="245"/>
  </r>
  <r>
    <s v="Clients_Churn_Part_15.xlsx"/>
    <x v="379"/>
    <x v="22"/>
    <n v="42"/>
    <x v="0"/>
    <n v="252"/>
    <x v="373"/>
    <n v="4"/>
    <x v="1"/>
    <x v="258"/>
    <n v="3.5"/>
    <x v="1"/>
    <x v="246"/>
  </r>
  <r>
    <s v="Clients_Churn_Part_15.xlsx"/>
    <x v="380"/>
    <x v="4"/>
    <n v="8"/>
    <x v="0"/>
    <n v="171"/>
    <x v="374"/>
    <n v="0"/>
    <x v="0"/>
    <x v="259"/>
    <n v="0.66666666666666663"/>
    <x v="0"/>
    <x v="247"/>
  </r>
  <r>
    <s v="Clients_Churn_Part_02.xlsx"/>
    <x v="381"/>
    <x v="9"/>
    <n v="12"/>
    <x v="1"/>
    <n v="305"/>
    <x v="375"/>
    <n v="3"/>
    <x v="0"/>
    <x v="51"/>
    <n v="1"/>
    <x v="1"/>
    <x v="248"/>
  </r>
  <r>
    <s v="Clients_Churn_Part_07.xlsx"/>
    <x v="382"/>
    <x v="24"/>
    <n v="29"/>
    <x v="1"/>
    <n v="203"/>
    <x v="376"/>
    <n v="5"/>
    <x v="0"/>
    <x v="137"/>
    <n v="2.4166666666666665"/>
    <x v="0"/>
    <x v="249"/>
  </r>
  <r>
    <s v="Clients_Churn_Part_10.xlsx"/>
    <x v="383"/>
    <x v="24"/>
    <n v="80"/>
    <x v="1"/>
    <n v="339"/>
    <x v="377"/>
    <n v="0"/>
    <x v="1"/>
    <x v="260"/>
    <n v="6.666666666666667"/>
    <x v="1"/>
    <x v="250"/>
  </r>
  <r>
    <s v="Clients_Churn_Part_02.xlsx"/>
    <x v="384"/>
    <x v="3"/>
    <n v="95"/>
    <x v="0"/>
    <n v="33"/>
    <x v="378"/>
    <n v="0"/>
    <x v="0"/>
    <x v="188"/>
    <n v="7.916666666666667"/>
    <x v="0"/>
    <x v="251"/>
  </r>
  <r>
    <s v="Clients_Churn_Part_14.xlsx"/>
    <x v="385"/>
    <x v="13"/>
    <n v="99"/>
    <x v="1"/>
    <n v="169"/>
    <x v="379"/>
    <n v="5"/>
    <x v="1"/>
    <x v="261"/>
    <n v="8.25"/>
    <x v="2"/>
    <x v="2"/>
  </r>
  <r>
    <s v="Clients_Churn_Part_10.xlsx"/>
    <x v="386"/>
    <x v="1"/>
    <n v="88"/>
    <x v="3"/>
    <n v="359"/>
    <x v="380"/>
    <n v="3"/>
    <x v="1"/>
    <x v="262"/>
    <n v="7.333333333333333"/>
    <x v="1"/>
    <x v="252"/>
  </r>
  <r>
    <s v="Clients_Churn_Part_13.xlsx"/>
    <x v="387"/>
    <x v="3"/>
    <n v="7"/>
    <x v="0"/>
    <n v="43"/>
    <x v="381"/>
    <n v="4"/>
    <x v="0"/>
    <x v="185"/>
    <n v="0.58333333333333337"/>
    <x v="0"/>
    <x v="253"/>
  </r>
  <r>
    <s v="Clients_Churn_Part_15.xlsx"/>
    <x v="388"/>
    <x v="3"/>
    <n v="68"/>
    <x v="1"/>
    <n v="282"/>
    <x v="382"/>
    <n v="1"/>
    <x v="1"/>
    <x v="110"/>
    <n v="5.666666666666667"/>
    <x v="1"/>
    <x v="254"/>
  </r>
  <r>
    <s v="Clients_Churn_Part_10.xlsx"/>
    <x v="389"/>
    <x v="0"/>
    <n v="1"/>
    <x v="2"/>
    <n v="213"/>
    <x v="383"/>
    <n v="3"/>
    <x v="0"/>
    <x v="113"/>
    <n v="8.3333333333333329E-2"/>
    <x v="0"/>
    <x v="255"/>
  </r>
  <r>
    <s v="Clients_Churn_Part_15.xlsx"/>
    <x v="390"/>
    <x v="25"/>
    <n v="98"/>
    <x v="1"/>
    <n v="168"/>
    <x v="384"/>
    <n v="3"/>
    <x v="1"/>
    <x v="263"/>
    <n v="8.1666666666666661"/>
    <x v="2"/>
    <x v="2"/>
  </r>
  <r>
    <s v="Clients_Churn_Part_05.xlsx"/>
    <x v="391"/>
    <x v="6"/>
    <n v="85"/>
    <x v="3"/>
    <n v="274"/>
    <x v="385"/>
    <n v="1"/>
    <x v="1"/>
    <x v="204"/>
    <n v="7.083333333333333"/>
    <x v="1"/>
    <x v="256"/>
  </r>
  <r>
    <s v="Clients_Churn_Part_15.xlsx"/>
    <x v="392"/>
    <x v="7"/>
    <n v="79"/>
    <x v="3"/>
    <n v="454"/>
    <x v="386"/>
    <n v="2"/>
    <x v="1"/>
    <x v="35"/>
    <n v="6.583333333333333"/>
    <x v="1"/>
    <x v="257"/>
  </r>
  <r>
    <s v="Clients_Churn_Part_07.xlsx"/>
    <x v="393"/>
    <x v="24"/>
    <n v="65"/>
    <x v="0"/>
    <n v="442"/>
    <x v="387"/>
    <n v="5"/>
    <x v="1"/>
    <x v="264"/>
    <n v="5.416666666666667"/>
    <x v="1"/>
    <x v="258"/>
  </r>
  <r>
    <s v="Clients_Churn_Part_08.xlsx"/>
    <x v="394"/>
    <x v="16"/>
    <n v="2"/>
    <x v="3"/>
    <n v="21"/>
    <x v="388"/>
    <n v="3"/>
    <x v="0"/>
    <x v="116"/>
    <n v="0.16666666666666666"/>
    <x v="1"/>
    <x v="259"/>
  </r>
  <r>
    <s v="Clients_Churn_Part_01.xlsx"/>
    <x v="395"/>
    <x v="2"/>
    <n v="101"/>
    <x v="1"/>
    <n v="333"/>
    <x v="389"/>
    <n v="1"/>
    <x v="1"/>
    <x v="265"/>
    <n v="8.4166666666666661"/>
    <x v="1"/>
    <x v="260"/>
  </r>
  <r>
    <s v="Clients_Churn_Part_04.xlsx"/>
    <x v="396"/>
    <x v="18"/>
    <n v="33"/>
    <x v="3"/>
    <n v="285"/>
    <x v="390"/>
    <n v="2"/>
    <x v="0"/>
    <x v="266"/>
    <n v="2.75"/>
    <x v="1"/>
    <x v="261"/>
  </r>
  <r>
    <s v="Clients_Churn_Part_11.xlsx"/>
    <x v="397"/>
    <x v="13"/>
    <n v="17"/>
    <x v="1"/>
    <n v="175"/>
    <x v="391"/>
    <n v="4"/>
    <x v="0"/>
    <x v="89"/>
    <n v="1.4166666666666667"/>
    <x v="0"/>
    <x v="262"/>
  </r>
  <r>
    <s v="Clients_Churn_Part_13.xlsx"/>
    <x v="398"/>
    <x v="4"/>
    <n v="89"/>
    <x v="1"/>
    <n v="225"/>
    <x v="392"/>
    <n v="2"/>
    <x v="1"/>
    <x v="267"/>
    <n v="7.416666666666667"/>
    <x v="2"/>
    <x v="2"/>
  </r>
  <r>
    <s v="Clients_Churn_Part_03.xlsx"/>
    <x v="399"/>
    <x v="4"/>
    <n v="88"/>
    <x v="3"/>
    <n v="232"/>
    <x v="393"/>
    <n v="2"/>
    <x v="1"/>
    <x v="268"/>
    <n v="7.333333333333333"/>
    <x v="2"/>
    <x v="2"/>
  </r>
  <r>
    <s v="Clients_Churn_Part_08.xlsx"/>
    <x v="400"/>
    <x v="6"/>
    <n v="29"/>
    <x v="3"/>
    <n v="350"/>
    <x v="394"/>
    <n v="3"/>
    <x v="1"/>
    <x v="269"/>
    <n v="2.4166666666666665"/>
    <x v="1"/>
    <x v="263"/>
  </r>
  <r>
    <s v="Clients_Churn_Part_15.xlsx"/>
    <x v="401"/>
    <x v="20"/>
    <n v="48"/>
    <x v="3"/>
    <n v="473"/>
    <x v="395"/>
    <n v="5"/>
    <x v="1"/>
    <x v="270"/>
    <n v="4"/>
    <x v="1"/>
    <x v="264"/>
  </r>
  <r>
    <s v="Clients_Churn_Part_06.xlsx"/>
    <x v="402"/>
    <x v="24"/>
    <n v="73"/>
    <x v="2"/>
    <n v="225"/>
    <x v="396"/>
    <n v="0"/>
    <x v="0"/>
    <x v="267"/>
    <n v="6.083333333333333"/>
    <x v="0"/>
    <x v="265"/>
  </r>
  <r>
    <s v="Clients_Churn_Part_09.xlsx"/>
    <x v="403"/>
    <x v="20"/>
    <n v="35"/>
    <x v="1"/>
    <n v="292"/>
    <x v="397"/>
    <n v="1"/>
    <x v="1"/>
    <x v="271"/>
    <n v="2.9166666666666665"/>
    <x v="1"/>
    <x v="266"/>
  </r>
  <r>
    <s v="Clients_Churn_Part_12.xlsx"/>
    <x v="404"/>
    <x v="1"/>
    <n v="107"/>
    <x v="2"/>
    <n v="290"/>
    <x v="398"/>
    <n v="0"/>
    <x v="1"/>
    <x v="246"/>
    <n v="8.9166666666666661"/>
    <x v="1"/>
    <x v="267"/>
  </r>
  <r>
    <s v="Clients_Churn_Part_14.xlsx"/>
    <x v="405"/>
    <x v="9"/>
    <n v="80"/>
    <x v="0"/>
    <n v="65"/>
    <x v="399"/>
    <n v="3"/>
    <x v="1"/>
    <x v="272"/>
    <n v="6.666666666666667"/>
    <x v="2"/>
    <x v="2"/>
  </r>
  <r>
    <s v="Clients_Churn_Part_06.xlsx"/>
    <x v="406"/>
    <x v="14"/>
    <n v="66"/>
    <x v="3"/>
    <n v="193"/>
    <x v="400"/>
    <n v="3"/>
    <x v="1"/>
    <x v="146"/>
    <n v="5.5"/>
    <x v="2"/>
    <x v="2"/>
  </r>
  <r>
    <s v="Clients_Churn_Part_14.xlsx"/>
    <x v="407"/>
    <x v="6"/>
    <n v="38"/>
    <x v="2"/>
    <n v="191"/>
    <x v="401"/>
    <n v="3"/>
    <x v="0"/>
    <x v="53"/>
    <n v="3.1666666666666665"/>
    <x v="0"/>
    <x v="268"/>
  </r>
  <r>
    <s v="Clients_Churn_Part_08.xlsx"/>
    <x v="408"/>
    <x v="15"/>
    <n v="119"/>
    <x v="1"/>
    <n v="451"/>
    <x v="402"/>
    <n v="5"/>
    <x v="1"/>
    <x v="273"/>
    <n v="9.9166666666666661"/>
    <x v="1"/>
    <x v="269"/>
  </r>
  <r>
    <s v="Clients_Churn_Part_10.xlsx"/>
    <x v="409"/>
    <x v="6"/>
    <n v="55"/>
    <x v="0"/>
    <n v="355"/>
    <x v="403"/>
    <n v="0"/>
    <x v="1"/>
    <x v="274"/>
    <n v="4.583333333333333"/>
    <x v="1"/>
    <x v="270"/>
  </r>
  <r>
    <s v="Clients_Churn_Part_13.xlsx"/>
    <x v="410"/>
    <x v="25"/>
    <n v="6"/>
    <x v="2"/>
    <n v="77"/>
    <x v="404"/>
    <n v="2"/>
    <x v="1"/>
    <x v="275"/>
    <n v="0.5"/>
    <x v="2"/>
    <x v="2"/>
  </r>
  <r>
    <s v="Clients_Churn_Part_14.xlsx"/>
    <x v="411"/>
    <x v="7"/>
    <n v="63"/>
    <x v="2"/>
    <n v="265"/>
    <x v="405"/>
    <n v="1"/>
    <x v="0"/>
    <x v="224"/>
    <n v="5.25"/>
    <x v="1"/>
    <x v="271"/>
  </r>
  <r>
    <s v="Clients_Churn_Part_06.xlsx"/>
    <x v="412"/>
    <x v="12"/>
    <n v="21"/>
    <x v="1"/>
    <n v="320"/>
    <x v="406"/>
    <n v="1"/>
    <x v="1"/>
    <x v="276"/>
    <n v="1.75"/>
    <x v="1"/>
    <x v="272"/>
  </r>
  <r>
    <s v="Clients_Churn_Part_05.xlsx"/>
    <x v="413"/>
    <x v="7"/>
    <n v="5"/>
    <x v="3"/>
    <n v="417"/>
    <x v="407"/>
    <n v="1"/>
    <x v="1"/>
    <x v="277"/>
    <n v="0.41666666666666669"/>
    <x v="1"/>
    <x v="273"/>
  </r>
  <r>
    <s v="Clients_Churn_Part_12.xlsx"/>
    <x v="414"/>
    <x v="19"/>
    <n v="30"/>
    <x v="0"/>
    <n v="130"/>
    <x v="285"/>
    <n v="4"/>
    <x v="1"/>
    <x v="278"/>
    <n v="2.5"/>
    <x v="2"/>
    <x v="2"/>
  </r>
  <r>
    <s v="Clients_Churn_Part_05.xlsx"/>
    <x v="415"/>
    <x v="6"/>
    <n v="60"/>
    <x v="2"/>
    <n v="161"/>
    <x v="408"/>
    <n v="0"/>
    <x v="1"/>
    <x v="279"/>
    <n v="5"/>
    <x v="2"/>
    <x v="2"/>
  </r>
  <r>
    <s v="Clients_Churn_Part_12.xlsx"/>
    <x v="416"/>
    <x v="1"/>
    <n v="120"/>
    <x v="2"/>
    <n v="437"/>
    <x v="409"/>
    <n v="1"/>
    <x v="1"/>
    <x v="280"/>
    <n v="10"/>
    <x v="1"/>
    <x v="274"/>
  </r>
  <r>
    <s v="Clients_Churn_Part_04.xlsx"/>
    <x v="417"/>
    <x v="9"/>
    <n v="68"/>
    <x v="3"/>
    <n v="443"/>
    <x v="410"/>
    <n v="3"/>
    <x v="1"/>
    <x v="281"/>
    <n v="5.666666666666667"/>
    <x v="1"/>
    <x v="275"/>
  </r>
  <r>
    <s v="Clients_Churn_Part_09.xlsx"/>
    <x v="418"/>
    <x v="22"/>
    <n v="85"/>
    <x v="2"/>
    <n v="132"/>
    <x v="411"/>
    <n v="0"/>
    <x v="0"/>
    <x v="11"/>
    <n v="7.083333333333333"/>
    <x v="0"/>
    <x v="276"/>
  </r>
  <r>
    <s v="Clients_Churn_Part_03.xlsx"/>
    <x v="419"/>
    <x v="3"/>
    <n v="69"/>
    <x v="1"/>
    <n v="463"/>
    <x v="412"/>
    <n v="0"/>
    <x v="1"/>
    <x v="194"/>
    <n v="5.75"/>
    <x v="1"/>
    <x v="277"/>
  </r>
  <r>
    <s v="Clients_Churn_Part_05.xlsx"/>
    <x v="420"/>
    <x v="20"/>
    <n v="96"/>
    <x v="2"/>
    <n v="108"/>
    <x v="413"/>
    <n v="1"/>
    <x v="1"/>
    <x v="50"/>
    <n v="8"/>
    <x v="2"/>
    <x v="2"/>
  </r>
  <r>
    <s v="Clients_Churn_Part_05.xlsx"/>
    <x v="421"/>
    <x v="10"/>
    <n v="89"/>
    <x v="2"/>
    <n v="7"/>
    <x v="414"/>
    <n v="3"/>
    <x v="1"/>
    <x v="282"/>
    <n v="7.416666666666667"/>
    <x v="2"/>
    <x v="2"/>
  </r>
  <r>
    <s v="Clients_Churn_Part_11.xlsx"/>
    <x v="422"/>
    <x v="19"/>
    <n v="47"/>
    <x v="3"/>
    <n v="350"/>
    <x v="415"/>
    <n v="3"/>
    <x v="1"/>
    <x v="269"/>
    <n v="3.9166666666666665"/>
    <x v="1"/>
    <x v="278"/>
  </r>
  <r>
    <s v="Clients_Churn_Part_01.xlsx"/>
    <x v="423"/>
    <x v="10"/>
    <n v="78"/>
    <x v="0"/>
    <n v="312"/>
    <x v="416"/>
    <n v="2"/>
    <x v="1"/>
    <x v="220"/>
    <n v="6.5"/>
    <x v="1"/>
    <x v="279"/>
  </r>
  <r>
    <s v="Clients_Churn_Part_03.xlsx"/>
    <x v="424"/>
    <x v="22"/>
    <n v="36"/>
    <x v="3"/>
    <n v="400"/>
    <x v="417"/>
    <n v="1"/>
    <x v="1"/>
    <x v="25"/>
    <n v="3"/>
    <x v="1"/>
    <x v="280"/>
  </r>
  <r>
    <s v="Clients_Churn_Part_01.xlsx"/>
    <x v="425"/>
    <x v="3"/>
    <n v="44"/>
    <x v="0"/>
    <n v="348"/>
    <x v="418"/>
    <n v="0"/>
    <x v="0"/>
    <x v="283"/>
    <n v="3.6666666666666665"/>
    <x v="1"/>
    <x v="281"/>
  </r>
  <r>
    <s v="Clients_Churn_Part_06.xlsx"/>
    <x v="426"/>
    <x v="25"/>
    <n v="120"/>
    <x v="1"/>
    <n v="209"/>
    <x v="419"/>
    <n v="4"/>
    <x v="1"/>
    <x v="284"/>
    <n v="10"/>
    <x v="2"/>
    <x v="2"/>
  </r>
  <r>
    <s v="Clients_Churn_Part_12.xlsx"/>
    <x v="427"/>
    <x v="7"/>
    <n v="116"/>
    <x v="3"/>
    <n v="279"/>
    <x v="420"/>
    <n v="4"/>
    <x v="1"/>
    <x v="285"/>
    <n v="9.6666666666666661"/>
    <x v="1"/>
    <x v="282"/>
  </r>
  <r>
    <s v="Clients_Churn_Part_14.xlsx"/>
    <x v="428"/>
    <x v="8"/>
    <n v="106"/>
    <x v="2"/>
    <n v="236"/>
    <x v="421"/>
    <n v="4"/>
    <x v="1"/>
    <x v="192"/>
    <n v="8.8333333333333339"/>
    <x v="2"/>
    <x v="2"/>
  </r>
  <r>
    <s v="Clients_Churn_Part_05.xlsx"/>
    <x v="429"/>
    <x v="3"/>
    <n v="60"/>
    <x v="0"/>
    <n v="306"/>
    <x v="422"/>
    <n v="2"/>
    <x v="1"/>
    <x v="66"/>
    <n v="5"/>
    <x v="1"/>
    <x v="283"/>
  </r>
  <r>
    <s v="Clients_Churn_Part_14.xlsx"/>
    <x v="430"/>
    <x v="6"/>
    <n v="1"/>
    <x v="3"/>
    <n v="429"/>
    <x v="423"/>
    <n v="5"/>
    <x v="1"/>
    <x v="24"/>
    <n v="8.3333333333333329E-2"/>
    <x v="1"/>
    <x v="284"/>
  </r>
  <r>
    <s v="Clients_Churn_Part_11.xlsx"/>
    <x v="431"/>
    <x v="12"/>
    <n v="110"/>
    <x v="0"/>
    <n v="132"/>
    <x v="424"/>
    <n v="5"/>
    <x v="1"/>
    <x v="11"/>
    <n v="9.1666666666666661"/>
    <x v="2"/>
    <x v="2"/>
  </r>
  <r>
    <s v="Clients_Churn_Part_10.xlsx"/>
    <x v="432"/>
    <x v="10"/>
    <n v="74"/>
    <x v="2"/>
    <n v="330"/>
    <x v="425"/>
    <n v="5"/>
    <x v="0"/>
    <x v="286"/>
    <n v="6.166666666666667"/>
    <x v="1"/>
    <x v="285"/>
  </r>
  <r>
    <s v="Clients_Churn_Part_01.xlsx"/>
    <x v="433"/>
    <x v="13"/>
    <n v="14"/>
    <x v="1"/>
    <n v="101"/>
    <x v="426"/>
    <n v="1"/>
    <x v="1"/>
    <x v="287"/>
    <n v="1.1666666666666667"/>
    <x v="2"/>
    <x v="2"/>
  </r>
  <r>
    <s v="Clients_Churn_Part_10.xlsx"/>
    <x v="434"/>
    <x v="18"/>
    <n v="62"/>
    <x v="2"/>
    <n v="369"/>
    <x v="427"/>
    <n v="1"/>
    <x v="1"/>
    <x v="142"/>
    <n v="5.166666666666667"/>
    <x v="1"/>
    <x v="286"/>
  </r>
  <r>
    <s v="Clients_Churn_Part_01.xlsx"/>
    <x v="435"/>
    <x v="20"/>
    <n v="89"/>
    <x v="3"/>
    <n v="143"/>
    <x v="428"/>
    <n v="4"/>
    <x v="1"/>
    <x v="288"/>
    <n v="7.416666666666667"/>
    <x v="2"/>
    <x v="2"/>
  </r>
  <r>
    <s v="Clients_Churn_Part_10.xlsx"/>
    <x v="436"/>
    <x v="9"/>
    <n v="19"/>
    <x v="3"/>
    <n v="270"/>
    <x v="429"/>
    <n v="3"/>
    <x v="1"/>
    <x v="104"/>
    <n v="1.5833333333333333"/>
    <x v="1"/>
    <x v="287"/>
  </r>
  <r>
    <s v="Clients_Churn_Part_13.xlsx"/>
    <x v="437"/>
    <x v="15"/>
    <n v="42"/>
    <x v="0"/>
    <n v="448"/>
    <x v="430"/>
    <n v="0"/>
    <x v="1"/>
    <x v="289"/>
    <n v="3.5"/>
    <x v="1"/>
    <x v="288"/>
  </r>
  <r>
    <s v="Clients_Churn_Part_13.xlsx"/>
    <x v="438"/>
    <x v="19"/>
    <n v="116"/>
    <x v="3"/>
    <n v="14"/>
    <x v="431"/>
    <n v="1"/>
    <x v="1"/>
    <x v="180"/>
    <n v="9.6666666666666661"/>
    <x v="2"/>
    <x v="2"/>
  </r>
  <r>
    <s v="Clients_Churn_Part_03.xlsx"/>
    <x v="439"/>
    <x v="20"/>
    <n v="47"/>
    <x v="0"/>
    <n v="98"/>
    <x v="432"/>
    <n v="5"/>
    <x v="1"/>
    <x v="121"/>
    <n v="3.9166666666666665"/>
    <x v="2"/>
    <x v="2"/>
  </r>
  <r>
    <s v="Clients_Churn_Part_10.xlsx"/>
    <x v="440"/>
    <x v="2"/>
    <n v="86"/>
    <x v="3"/>
    <n v="27"/>
    <x v="433"/>
    <n v="4"/>
    <x v="1"/>
    <x v="43"/>
    <n v="7.166666666666667"/>
    <x v="2"/>
    <x v="2"/>
  </r>
  <r>
    <s v="Clients_Churn_Part_14.xlsx"/>
    <x v="441"/>
    <x v="3"/>
    <n v="86"/>
    <x v="3"/>
    <n v="278"/>
    <x v="434"/>
    <n v="0"/>
    <x v="1"/>
    <x v="290"/>
    <n v="7.166666666666667"/>
    <x v="1"/>
    <x v="289"/>
  </r>
  <r>
    <s v="Clients_Churn_Part_02.xlsx"/>
    <x v="442"/>
    <x v="9"/>
    <n v="94"/>
    <x v="2"/>
    <n v="122"/>
    <x v="435"/>
    <n v="5"/>
    <x v="0"/>
    <x v="291"/>
    <n v="7.833333333333333"/>
    <x v="0"/>
    <x v="290"/>
  </r>
  <r>
    <s v="Clients_Churn_Part_11.xlsx"/>
    <x v="443"/>
    <x v="25"/>
    <n v="66"/>
    <x v="1"/>
    <n v="152"/>
    <x v="436"/>
    <n v="3"/>
    <x v="0"/>
    <x v="124"/>
    <n v="5.5"/>
    <x v="0"/>
    <x v="291"/>
  </r>
  <r>
    <s v="Clients_Churn_Part_13.xlsx"/>
    <x v="444"/>
    <x v="8"/>
    <n v="114"/>
    <x v="1"/>
    <n v="220"/>
    <x v="437"/>
    <n v="5"/>
    <x v="1"/>
    <x v="112"/>
    <n v="9.5"/>
    <x v="2"/>
    <x v="2"/>
  </r>
  <r>
    <s v="Clients_Churn_Part_08.xlsx"/>
    <x v="445"/>
    <x v="0"/>
    <n v="36"/>
    <x v="0"/>
    <n v="311"/>
    <x v="438"/>
    <n v="4"/>
    <x v="1"/>
    <x v="292"/>
    <n v="3"/>
    <x v="1"/>
    <x v="292"/>
  </r>
  <r>
    <s v="Clients_Churn_Part_08.xlsx"/>
    <x v="446"/>
    <x v="0"/>
    <n v="94"/>
    <x v="2"/>
    <n v="115"/>
    <x v="439"/>
    <n v="0"/>
    <x v="1"/>
    <x v="293"/>
    <n v="7.833333333333333"/>
    <x v="2"/>
    <x v="2"/>
  </r>
  <r>
    <s v="Clients_Churn_Part_06.xlsx"/>
    <x v="447"/>
    <x v="3"/>
    <n v="118"/>
    <x v="2"/>
    <n v="489"/>
    <x v="440"/>
    <n v="2"/>
    <x v="1"/>
    <x v="294"/>
    <n v="9.8333333333333339"/>
    <x v="1"/>
    <x v="293"/>
  </r>
  <r>
    <s v="Clients_Churn_Part_12.xlsx"/>
    <x v="448"/>
    <x v="13"/>
    <n v="23"/>
    <x v="3"/>
    <n v="314"/>
    <x v="441"/>
    <n v="3"/>
    <x v="1"/>
    <x v="295"/>
    <n v="1.9166666666666667"/>
    <x v="1"/>
    <x v="294"/>
  </r>
  <r>
    <s v="Clients_Churn_Part_10.xlsx"/>
    <x v="449"/>
    <x v="21"/>
    <n v="92"/>
    <x v="0"/>
    <n v="6"/>
    <x v="442"/>
    <n v="5"/>
    <x v="1"/>
    <x v="123"/>
    <n v="7.666666666666667"/>
    <x v="2"/>
    <x v="2"/>
  </r>
  <r>
    <s v="Clients_Churn_Part_10.xlsx"/>
    <x v="450"/>
    <x v="24"/>
    <n v="117"/>
    <x v="2"/>
    <n v="39"/>
    <x v="443"/>
    <n v="1"/>
    <x v="1"/>
    <x v="296"/>
    <n v="9.75"/>
    <x v="2"/>
    <x v="2"/>
  </r>
  <r>
    <s v="Clients_Churn_Part_11.xlsx"/>
    <x v="451"/>
    <x v="1"/>
    <n v="88"/>
    <x v="3"/>
    <n v="219"/>
    <x v="444"/>
    <n v="0"/>
    <x v="1"/>
    <x v="60"/>
    <n v="7.333333333333333"/>
    <x v="2"/>
    <x v="2"/>
  </r>
  <r>
    <s v="Clients_Churn_Part_03.xlsx"/>
    <x v="452"/>
    <x v="21"/>
    <n v="25"/>
    <x v="0"/>
    <n v="131"/>
    <x v="445"/>
    <n v="0"/>
    <x v="1"/>
    <x v="297"/>
    <n v="2.0833333333333335"/>
    <x v="2"/>
    <x v="2"/>
  </r>
  <r>
    <s v="Clients_Churn_Part_05.xlsx"/>
    <x v="453"/>
    <x v="25"/>
    <n v="32"/>
    <x v="2"/>
    <n v="405"/>
    <x v="446"/>
    <n v="3"/>
    <x v="1"/>
    <x v="164"/>
    <n v="2.6666666666666665"/>
    <x v="1"/>
    <x v="295"/>
  </r>
  <r>
    <s v="Clients_Churn_Part_12.xlsx"/>
    <x v="454"/>
    <x v="23"/>
    <n v="41"/>
    <x v="0"/>
    <n v="2"/>
    <x v="447"/>
    <n v="1"/>
    <x v="1"/>
    <x v="298"/>
    <n v="3.4166666666666665"/>
    <x v="2"/>
    <x v="2"/>
  </r>
  <r>
    <s v="Clients_Churn_Part_07.xlsx"/>
    <x v="455"/>
    <x v="9"/>
    <n v="103"/>
    <x v="3"/>
    <n v="354"/>
    <x v="448"/>
    <n v="4"/>
    <x v="1"/>
    <x v="63"/>
    <n v="8.5833333333333339"/>
    <x v="1"/>
    <x v="296"/>
  </r>
  <r>
    <s v="Clients_Churn_Part_05.xlsx"/>
    <x v="456"/>
    <x v="5"/>
    <n v="108"/>
    <x v="3"/>
    <n v="323"/>
    <x v="449"/>
    <n v="2"/>
    <x v="1"/>
    <x v="111"/>
    <n v="9"/>
    <x v="1"/>
    <x v="297"/>
  </r>
  <r>
    <s v="Clients_Churn_Part_03.xlsx"/>
    <x v="457"/>
    <x v="20"/>
    <n v="6"/>
    <x v="0"/>
    <n v="6"/>
    <x v="450"/>
    <n v="4"/>
    <x v="0"/>
    <x v="123"/>
    <n v="0.5"/>
    <x v="0"/>
    <x v="298"/>
  </r>
  <r>
    <s v="Clients_Churn_Part_12.xlsx"/>
    <x v="458"/>
    <x v="23"/>
    <n v="81"/>
    <x v="1"/>
    <n v="443"/>
    <x v="451"/>
    <n v="1"/>
    <x v="0"/>
    <x v="281"/>
    <n v="6.75"/>
    <x v="1"/>
    <x v="299"/>
  </r>
  <r>
    <s v="Clients_Churn_Part_07.xlsx"/>
    <x v="459"/>
    <x v="1"/>
    <n v="86"/>
    <x v="1"/>
    <n v="192"/>
    <x v="452"/>
    <n v="1"/>
    <x v="1"/>
    <x v="65"/>
    <n v="7.166666666666667"/>
    <x v="2"/>
    <x v="2"/>
  </r>
  <r>
    <s v="Clients_Churn_Part_05.xlsx"/>
    <x v="460"/>
    <x v="13"/>
    <n v="60"/>
    <x v="2"/>
    <n v="54"/>
    <x v="453"/>
    <n v="3"/>
    <x v="1"/>
    <x v="13"/>
    <n v="5"/>
    <x v="2"/>
    <x v="2"/>
  </r>
  <r>
    <s v="Clients_Churn_Part_04.xlsx"/>
    <x v="461"/>
    <x v="18"/>
    <n v="49"/>
    <x v="3"/>
    <n v="357"/>
    <x v="454"/>
    <n v="3"/>
    <x v="1"/>
    <x v="299"/>
    <n v="4.083333333333333"/>
    <x v="1"/>
    <x v="300"/>
  </r>
  <r>
    <s v="Clients_Churn_Part_13.xlsx"/>
    <x v="462"/>
    <x v="18"/>
    <n v="69"/>
    <x v="0"/>
    <n v="180"/>
    <x v="290"/>
    <n v="2"/>
    <x v="0"/>
    <x v="300"/>
    <n v="5.75"/>
    <x v="0"/>
    <x v="301"/>
  </r>
  <r>
    <s v="Clients_Churn_Part_03.xlsx"/>
    <x v="463"/>
    <x v="13"/>
    <n v="87"/>
    <x v="1"/>
    <n v="442"/>
    <x v="455"/>
    <n v="3"/>
    <x v="1"/>
    <x v="264"/>
    <n v="7.25"/>
    <x v="1"/>
    <x v="302"/>
  </r>
  <r>
    <s v="Clients_Churn_Part_03.xlsx"/>
    <x v="464"/>
    <x v="18"/>
    <n v="58"/>
    <x v="0"/>
    <n v="293"/>
    <x v="456"/>
    <n v="5"/>
    <x v="0"/>
    <x v="301"/>
    <n v="4.833333333333333"/>
    <x v="1"/>
    <x v="303"/>
  </r>
  <r>
    <s v="Clients_Churn_Part_14.xlsx"/>
    <x v="465"/>
    <x v="11"/>
    <n v="85"/>
    <x v="1"/>
    <n v="28"/>
    <x v="457"/>
    <n v="0"/>
    <x v="1"/>
    <x v="302"/>
    <n v="7.083333333333333"/>
    <x v="2"/>
    <x v="2"/>
  </r>
  <r>
    <s v="Clients_Churn_Part_06.xlsx"/>
    <x v="466"/>
    <x v="8"/>
    <n v="117"/>
    <x v="0"/>
    <n v="85"/>
    <x v="458"/>
    <n v="3"/>
    <x v="0"/>
    <x v="303"/>
    <n v="9.75"/>
    <x v="0"/>
    <x v="304"/>
  </r>
  <r>
    <s v="Clients_Churn_Part_12.xlsx"/>
    <x v="467"/>
    <x v="10"/>
    <n v="4"/>
    <x v="1"/>
    <n v="372"/>
    <x v="459"/>
    <n v="3"/>
    <x v="1"/>
    <x v="304"/>
    <n v="0.33333333333333331"/>
    <x v="1"/>
    <x v="305"/>
  </r>
  <r>
    <s v="Clients_Churn_Part_15.xlsx"/>
    <x v="468"/>
    <x v="24"/>
    <n v="97"/>
    <x v="0"/>
    <n v="173"/>
    <x v="460"/>
    <n v="5"/>
    <x v="1"/>
    <x v="107"/>
    <n v="8.0833333333333339"/>
    <x v="2"/>
    <x v="2"/>
  </r>
  <r>
    <s v="Clients_Churn_Part_10.xlsx"/>
    <x v="469"/>
    <x v="24"/>
    <n v="41"/>
    <x v="3"/>
    <n v="383"/>
    <x v="461"/>
    <n v="4"/>
    <x v="1"/>
    <x v="183"/>
    <n v="3.4166666666666665"/>
    <x v="1"/>
    <x v="306"/>
  </r>
  <r>
    <s v="Clients_Churn_Part_07.xlsx"/>
    <x v="470"/>
    <x v="22"/>
    <n v="77"/>
    <x v="2"/>
    <n v="45"/>
    <x v="462"/>
    <n v="2"/>
    <x v="1"/>
    <x v="305"/>
    <n v="6.416666666666667"/>
    <x v="2"/>
    <x v="2"/>
  </r>
  <r>
    <s v="Clients_Churn_Part_09.xlsx"/>
    <x v="471"/>
    <x v="19"/>
    <n v="2"/>
    <x v="0"/>
    <n v="142"/>
    <x v="463"/>
    <n v="4"/>
    <x v="1"/>
    <x v="306"/>
    <n v="0.16666666666666666"/>
    <x v="2"/>
    <x v="2"/>
  </r>
  <r>
    <s v="Clients_Churn_Part_08.xlsx"/>
    <x v="472"/>
    <x v="21"/>
    <n v="78"/>
    <x v="0"/>
    <n v="57"/>
    <x v="145"/>
    <n v="0"/>
    <x v="1"/>
    <x v="307"/>
    <n v="6.5"/>
    <x v="2"/>
    <x v="2"/>
  </r>
  <r>
    <s v="Clients_Churn_Part_07.xlsx"/>
    <x v="473"/>
    <x v="5"/>
    <n v="90"/>
    <x v="2"/>
    <n v="343"/>
    <x v="464"/>
    <n v="1"/>
    <x v="1"/>
    <x v="118"/>
    <n v="7.5"/>
    <x v="1"/>
    <x v="307"/>
  </r>
  <r>
    <s v="Clients_Churn_Part_05.xlsx"/>
    <x v="474"/>
    <x v="20"/>
    <n v="96"/>
    <x v="2"/>
    <n v="210"/>
    <x v="97"/>
    <n v="3"/>
    <x v="1"/>
    <x v="308"/>
    <n v="8"/>
    <x v="2"/>
    <x v="2"/>
  </r>
  <r>
    <s v="Clients_Churn_Part_15.xlsx"/>
    <x v="475"/>
    <x v="10"/>
    <n v="12"/>
    <x v="3"/>
    <n v="138"/>
    <x v="465"/>
    <n v="1"/>
    <x v="1"/>
    <x v="213"/>
    <n v="1"/>
    <x v="1"/>
    <x v="308"/>
  </r>
  <r>
    <s v="Clients_Churn_Part_03.xlsx"/>
    <x v="476"/>
    <x v="11"/>
    <n v="110"/>
    <x v="3"/>
    <n v="51"/>
    <x v="466"/>
    <n v="5"/>
    <x v="1"/>
    <x v="143"/>
    <n v="9.1666666666666661"/>
    <x v="2"/>
    <x v="2"/>
  </r>
  <r>
    <s v="Clients_Churn_Part_04.xlsx"/>
    <x v="477"/>
    <x v="8"/>
    <n v="111"/>
    <x v="3"/>
    <n v="43"/>
    <x v="467"/>
    <n v="3"/>
    <x v="0"/>
    <x v="185"/>
    <n v="9.25"/>
    <x v="0"/>
    <x v="309"/>
  </r>
  <r>
    <s v="Clients_Churn_Part_06.xlsx"/>
    <x v="478"/>
    <x v="11"/>
    <n v="55"/>
    <x v="1"/>
    <n v="389"/>
    <x v="468"/>
    <n v="3"/>
    <x v="0"/>
    <x v="309"/>
    <n v="4.583333333333333"/>
    <x v="1"/>
    <x v="310"/>
  </r>
  <r>
    <s v="Clients_Churn_Part_12.xlsx"/>
    <x v="479"/>
    <x v="24"/>
    <n v="13"/>
    <x v="1"/>
    <n v="474"/>
    <x v="437"/>
    <n v="2"/>
    <x v="1"/>
    <x v="177"/>
    <n v="1.0833333333333333"/>
    <x v="1"/>
    <x v="311"/>
  </r>
  <r>
    <s v="Clients_Churn_Part_09.xlsx"/>
    <x v="480"/>
    <x v="5"/>
    <n v="43"/>
    <x v="2"/>
    <n v="26"/>
    <x v="469"/>
    <n v="1"/>
    <x v="1"/>
    <x v="73"/>
    <n v="3.5833333333333335"/>
    <x v="2"/>
    <x v="2"/>
  </r>
  <r>
    <s v="Clients_Churn_Part_15.xlsx"/>
    <x v="481"/>
    <x v="20"/>
    <n v="63"/>
    <x v="3"/>
    <n v="177"/>
    <x v="470"/>
    <n v="3"/>
    <x v="1"/>
    <x v="167"/>
    <n v="5.25"/>
    <x v="2"/>
    <x v="2"/>
  </r>
  <r>
    <s v="Clients_Churn_Part_01.xlsx"/>
    <x v="482"/>
    <x v="4"/>
    <n v="7"/>
    <x v="3"/>
    <n v="206"/>
    <x v="26"/>
    <n v="3"/>
    <x v="1"/>
    <x v="310"/>
    <n v="0.58333333333333337"/>
    <x v="1"/>
    <x v="18"/>
  </r>
  <r>
    <s v="Clients_Churn_Part_01.xlsx"/>
    <x v="483"/>
    <x v="21"/>
    <n v="117"/>
    <x v="2"/>
    <n v="171"/>
    <x v="471"/>
    <n v="4"/>
    <x v="1"/>
    <x v="259"/>
    <n v="9.75"/>
    <x v="2"/>
    <x v="2"/>
  </r>
  <r>
    <s v="Clients_Churn_Part_11.xlsx"/>
    <x v="484"/>
    <x v="12"/>
    <n v="57"/>
    <x v="0"/>
    <n v="447"/>
    <x v="472"/>
    <n v="3"/>
    <x v="1"/>
    <x v="311"/>
    <n v="4.75"/>
    <x v="1"/>
    <x v="312"/>
  </r>
  <r>
    <s v="Clients_Churn_Part_15.xlsx"/>
    <x v="485"/>
    <x v="21"/>
    <n v="102"/>
    <x v="0"/>
    <n v="484"/>
    <x v="473"/>
    <n v="2"/>
    <x v="0"/>
    <x v="182"/>
    <n v="8.5"/>
    <x v="1"/>
    <x v="313"/>
  </r>
  <r>
    <s v="Clients_Churn_Part_07.xlsx"/>
    <x v="486"/>
    <x v="7"/>
    <n v="67"/>
    <x v="1"/>
    <n v="26"/>
    <x v="474"/>
    <n v="4"/>
    <x v="1"/>
    <x v="73"/>
    <n v="5.583333333333333"/>
    <x v="2"/>
    <x v="2"/>
  </r>
  <r>
    <s v="Clients_Churn_Part_04.xlsx"/>
    <x v="487"/>
    <x v="10"/>
    <n v="71"/>
    <x v="3"/>
    <n v="15"/>
    <x v="475"/>
    <n v="5"/>
    <x v="1"/>
    <x v="235"/>
    <n v="5.916666666666667"/>
    <x v="2"/>
    <x v="2"/>
  </r>
  <r>
    <s v="Clients_Churn_Part_13.xlsx"/>
    <x v="488"/>
    <x v="17"/>
    <n v="10"/>
    <x v="2"/>
    <n v="260"/>
    <x v="476"/>
    <n v="2"/>
    <x v="1"/>
    <x v="128"/>
    <n v="0.83333333333333337"/>
    <x v="1"/>
    <x v="314"/>
  </r>
  <r>
    <s v="Clients_Churn_Part_13.xlsx"/>
    <x v="489"/>
    <x v="12"/>
    <n v="59"/>
    <x v="0"/>
    <n v="150"/>
    <x v="477"/>
    <n v="0"/>
    <x v="1"/>
    <x v="31"/>
    <n v="4.916666666666667"/>
    <x v="2"/>
    <x v="2"/>
  </r>
  <r>
    <s v="Clients_Churn_Part_02.xlsx"/>
    <x v="490"/>
    <x v="24"/>
    <n v="58"/>
    <x v="0"/>
    <n v="423"/>
    <x v="478"/>
    <n v="0"/>
    <x v="1"/>
    <x v="144"/>
    <n v="4.833333333333333"/>
    <x v="1"/>
    <x v="315"/>
  </r>
  <r>
    <s v="Clients_Churn_Part_05.xlsx"/>
    <x v="491"/>
    <x v="1"/>
    <n v="36"/>
    <x v="0"/>
    <n v="491"/>
    <x v="479"/>
    <n v="4"/>
    <x v="1"/>
    <x v="312"/>
    <n v="3"/>
    <x v="1"/>
    <x v="316"/>
  </r>
  <r>
    <s v="Clients_Churn_Part_13.xlsx"/>
    <x v="492"/>
    <x v="2"/>
    <n v="111"/>
    <x v="3"/>
    <n v="304"/>
    <x v="480"/>
    <n v="5"/>
    <x v="1"/>
    <x v="100"/>
    <n v="9.25"/>
    <x v="1"/>
    <x v="317"/>
  </r>
  <r>
    <s v="Clients_Churn_Part_07.xlsx"/>
    <x v="493"/>
    <x v="23"/>
    <n v="40"/>
    <x v="3"/>
    <n v="237"/>
    <x v="481"/>
    <n v="1"/>
    <x v="1"/>
    <x v="157"/>
    <n v="3.3333333333333335"/>
    <x v="1"/>
    <x v="318"/>
  </r>
  <r>
    <s v="Clients_Churn_Part_02.xlsx"/>
    <x v="494"/>
    <x v="4"/>
    <n v="36"/>
    <x v="0"/>
    <n v="247"/>
    <x v="482"/>
    <n v="2"/>
    <x v="1"/>
    <x v="215"/>
    <n v="3"/>
    <x v="1"/>
    <x v="319"/>
  </r>
  <r>
    <s v="Clients_Churn_Part_05.xlsx"/>
    <x v="495"/>
    <x v="24"/>
    <n v="27"/>
    <x v="3"/>
    <n v="61"/>
    <x v="483"/>
    <n v="5"/>
    <x v="0"/>
    <x v="313"/>
    <n v="2.25"/>
    <x v="1"/>
    <x v="320"/>
  </r>
  <r>
    <s v="Clients_Churn_Part_03.xlsx"/>
    <x v="496"/>
    <x v="11"/>
    <n v="64"/>
    <x v="1"/>
    <n v="300"/>
    <x v="484"/>
    <n v="2"/>
    <x v="1"/>
    <x v="103"/>
    <n v="5.333333333333333"/>
    <x v="1"/>
    <x v="321"/>
  </r>
  <r>
    <s v="Clients_Churn_Part_13.xlsx"/>
    <x v="497"/>
    <x v="2"/>
    <n v="102"/>
    <x v="0"/>
    <n v="189"/>
    <x v="485"/>
    <n v="5"/>
    <x v="1"/>
    <x v="314"/>
    <n v="8.5"/>
    <x v="2"/>
    <x v="2"/>
  </r>
  <r>
    <s v="Clients_Churn_Part_02.xlsx"/>
    <x v="498"/>
    <x v="9"/>
    <n v="22"/>
    <x v="2"/>
    <n v="119"/>
    <x v="486"/>
    <n v="3"/>
    <x v="0"/>
    <x v="18"/>
    <n v="1.8333333333333333"/>
    <x v="0"/>
    <x v="322"/>
  </r>
  <r>
    <s v="Clients_Churn_Part_13.xlsx"/>
    <x v="499"/>
    <x v="24"/>
    <n v="18"/>
    <x v="1"/>
    <n v="75"/>
    <x v="487"/>
    <n v="1"/>
    <x v="1"/>
    <x v="23"/>
    <n v="1.5"/>
    <x v="2"/>
    <x v="2"/>
  </r>
  <r>
    <s v="Clients_Churn_Part_08.xlsx"/>
    <x v="500"/>
    <x v="15"/>
    <n v="95"/>
    <x v="3"/>
    <n v="148"/>
    <x v="488"/>
    <n v="5"/>
    <x v="1"/>
    <x v="315"/>
    <n v="7.916666666666667"/>
    <x v="2"/>
    <x v="2"/>
  </r>
  <r>
    <s v="Clients_Churn_Part_02.xlsx"/>
    <x v="501"/>
    <x v="17"/>
    <n v="111"/>
    <x v="2"/>
    <n v="324"/>
    <x v="489"/>
    <n v="2"/>
    <x v="0"/>
    <x v="316"/>
    <n v="9.25"/>
    <x v="1"/>
    <x v="323"/>
  </r>
  <r>
    <s v="Clients_Churn_Part_13.xlsx"/>
    <x v="502"/>
    <x v="1"/>
    <n v="120"/>
    <x v="1"/>
    <n v="60"/>
    <x v="490"/>
    <n v="3"/>
    <x v="1"/>
    <x v="20"/>
    <n v="10"/>
    <x v="2"/>
    <x v="2"/>
  </r>
  <r>
    <s v="Clients_Churn_Part_10.xlsx"/>
    <x v="503"/>
    <x v="15"/>
    <n v="87"/>
    <x v="3"/>
    <n v="356"/>
    <x v="491"/>
    <n v="0"/>
    <x v="1"/>
    <x v="240"/>
    <n v="7.25"/>
    <x v="1"/>
    <x v="324"/>
  </r>
  <r>
    <s v="Clients_Churn_Part_13.xlsx"/>
    <x v="504"/>
    <x v="24"/>
    <n v="29"/>
    <x v="3"/>
    <n v="8"/>
    <x v="492"/>
    <n v="2"/>
    <x v="1"/>
    <x v="317"/>
    <n v="2.4166666666666665"/>
    <x v="1"/>
    <x v="325"/>
  </r>
  <r>
    <s v="Clients_Churn_Part_14.xlsx"/>
    <x v="505"/>
    <x v="5"/>
    <n v="18"/>
    <x v="2"/>
    <n v="170"/>
    <x v="493"/>
    <n v="1"/>
    <x v="1"/>
    <x v="318"/>
    <n v="1.5"/>
    <x v="2"/>
    <x v="2"/>
  </r>
  <r>
    <s v="Clients_Churn_Part_10.xlsx"/>
    <x v="506"/>
    <x v="16"/>
    <n v="113"/>
    <x v="2"/>
    <n v="428"/>
    <x v="494"/>
    <n v="0"/>
    <x v="1"/>
    <x v="319"/>
    <n v="9.4166666666666661"/>
    <x v="1"/>
    <x v="326"/>
  </r>
  <r>
    <s v="Clients_Churn_Part_04.xlsx"/>
    <x v="507"/>
    <x v="16"/>
    <n v="48"/>
    <x v="0"/>
    <n v="335"/>
    <x v="495"/>
    <n v="3"/>
    <x v="1"/>
    <x v="320"/>
    <n v="4"/>
    <x v="1"/>
    <x v="327"/>
  </r>
  <r>
    <s v="Clients_Churn_Part_14.xlsx"/>
    <x v="508"/>
    <x v="2"/>
    <n v="107"/>
    <x v="2"/>
    <n v="138"/>
    <x v="243"/>
    <n v="1"/>
    <x v="1"/>
    <x v="213"/>
    <n v="8.9166666666666661"/>
    <x v="2"/>
    <x v="2"/>
  </r>
  <r>
    <s v="Clients_Churn_Part_09.xlsx"/>
    <x v="509"/>
    <x v="6"/>
    <n v="47"/>
    <x v="0"/>
    <n v="111"/>
    <x v="496"/>
    <n v="0"/>
    <x v="1"/>
    <x v="151"/>
    <n v="3.9166666666666665"/>
    <x v="2"/>
    <x v="2"/>
  </r>
  <r>
    <s v="Clients_Churn_Part_05.xlsx"/>
    <x v="510"/>
    <x v="6"/>
    <n v="10"/>
    <x v="0"/>
    <n v="165"/>
    <x v="497"/>
    <n v="2"/>
    <x v="0"/>
    <x v="321"/>
    <n v="0.83333333333333337"/>
    <x v="0"/>
    <x v="328"/>
  </r>
  <r>
    <s v="Clients_Churn_Part_05.xlsx"/>
    <x v="511"/>
    <x v="3"/>
    <n v="9"/>
    <x v="1"/>
    <n v="255"/>
    <x v="498"/>
    <n v="1"/>
    <x v="1"/>
    <x v="322"/>
    <n v="0.75"/>
    <x v="1"/>
    <x v="329"/>
  </r>
  <r>
    <s v="Clients_Churn_Part_09.xlsx"/>
    <x v="512"/>
    <x v="19"/>
    <n v="24"/>
    <x v="0"/>
    <n v="257"/>
    <x v="499"/>
    <n v="5"/>
    <x v="1"/>
    <x v="323"/>
    <n v="2"/>
    <x v="1"/>
    <x v="330"/>
  </r>
  <r>
    <s v="Clients_Churn_Part_15.xlsx"/>
    <x v="513"/>
    <x v="3"/>
    <n v="72"/>
    <x v="0"/>
    <n v="427"/>
    <x v="500"/>
    <n v="2"/>
    <x v="1"/>
    <x v="324"/>
    <n v="6"/>
    <x v="1"/>
    <x v="331"/>
  </r>
  <r>
    <s v="Clients_Churn_Part_15.xlsx"/>
    <x v="514"/>
    <x v="1"/>
    <n v="33"/>
    <x v="2"/>
    <n v="18"/>
    <x v="501"/>
    <n v="4"/>
    <x v="0"/>
    <x v="325"/>
    <n v="2.75"/>
    <x v="0"/>
    <x v="332"/>
  </r>
  <r>
    <s v="Clients_Churn_Part_04.xlsx"/>
    <x v="515"/>
    <x v="15"/>
    <n v="64"/>
    <x v="1"/>
    <n v="370"/>
    <x v="435"/>
    <n v="1"/>
    <x v="1"/>
    <x v="150"/>
    <n v="5.333333333333333"/>
    <x v="1"/>
    <x v="333"/>
  </r>
  <r>
    <s v="Clients_Churn_Part_05.xlsx"/>
    <x v="516"/>
    <x v="18"/>
    <n v="60"/>
    <x v="2"/>
    <n v="154"/>
    <x v="502"/>
    <n v="5"/>
    <x v="0"/>
    <x v="54"/>
    <n v="5"/>
    <x v="0"/>
    <x v="334"/>
  </r>
  <r>
    <s v="Clients_Churn_Part_12.xlsx"/>
    <x v="517"/>
    <x v="23"/>
    <n v="51"/>
    <x v="1"/>
    <n v="389"/>
    <x v="503"/>
    <n v="3"/>
    <x v="1"/>
    <x v="309"/>
    <n v="4.25"/>
    <x v="1"/>
    <x v="335"/>
  </r>
  <r>
    <s v="Clients_Churn_Part_02.xlsx"/>
    <x v="518"/>
    <x v="24"/>
    <n v="103"/>
    <x v="0"/>
    <n v="300"/>
    <x v="504"/>
    <n v="4"/>
    <x v="0"/>
    <x v="103"/>
    <n v="8.5833333333333339"/>
    <x v="1"/>
    <x v="336"/>
  </r>
  <r>
    <s v="Clients_Churn_Part_14.xlsx"/>
    <x v="519"/>
    <x v="5"/>
    <n v="7"/>
    <x v="1"/>
    <n v="447"/>
    <x v="505"/>
    <n v="2"/>
    <x v="0"/>
    <x v="311"/>
    <n v="0.58333333333333337"/>
    <x v="1"/>
    <x v="337"/>
  </r>
  <r>
    <s v="Clients_Churn_Part_14.xlsx"/>
    <x v="520"/>
    <x v="13"/>
    <n v="101"/>
    <x v="1"/>
    <n v="148"/>
    <x v="506"/>
    <n v="3"/>
    <x v="0"/>
    <x v="315"/>
    <n v="8.4166666666666661"/>
    <x v="0"/>
    <x v="338"/>
  </r>
  <r>
    <s v="Clients_Churn_Part_11.xlsx"/>
    <x v="521"/>
    <x v="3"/>
    <n v="46"/>
    <x v="1"/>
    <n v="216"/>
    <x v="507"/>
    <n v="4"/>
    <x v="0"/>
    <x v="5"/>
    <n v="3.8333333333333335"/>
    <x v="0"/>
    <x v="339"/>
  </r>
  <r>
    <s v="Clients_Churn_Part_14.xlsx"/>
    <x v="522"/>
    <x v="11"/>
    <n v="72"/>
    <x v="1"/>
    <n v="317"/>
    <x v="508"/>
    <n v="1"/>
    <x v="1"/>
    <x v="222"/>
    <n v="6"/>
    <x v="1"/>
    <x v="340"/>
  </r>
  <r>
    <s v="Clients_Churn_Part_07.xlsx"/>
    <x v="523"/>
    <x v="3"/>
    <n v="69"/>
    <x v="3"/>
    <n v="486"/>
    <x v="509"/>
    <n v="0"/>
    <x v="1"/>
    <x v="37"/>
    <n v="5.75"/>
    <x v="1"/>
    <x v="341"/>
  </r>
  <r>
    <s v="Clients_Churn_Part_01.xlsx"/>
    <x v="524"/>
    <x v="13"/>
    <n v="57"/>
    <x v="2"/>
    <n v="329"/>
    <x v="510"/>
    <n v="5"/>
    <x v="1"/>
    <x v="326"/>
    <n v="4.75"/>
    <x v="1"/>
    <x v="342"/>
  </r>
  <r>
    <s v="Clients_Churn_Part_12.xlsx"/>
    <x v="525"/>
    <x v="6"/>
    <n v="108"/>
    <x v="3"/>
    <n v="78"/>
    <x v="511"/>
    <n v="2"/>
    <x v="1"/>
    <x v="327"/>
    <n v="9"/>
    <x v="2"/>
    <x v="2"/>
  </r>
  <r>
    <s v="Clients_Churn_Part_09.xlsx"/>
    <x v="526"/>
    <x v="0"/>
    <n v="92"/>
    <x v="0"/>
    <n v="4"/>
    <x v="512"/>
    <n v="3"/>
    <x v="0"/>
    <x v="328"/>
    <n v="7.666666666666667"/>
    <x v="0"/>
    <x v="343"/>
  </r>
  <r>
    <s v="Clients_Churn_Part_03.xlsx"/>
    <x v="527"/>
    <x v="0"/>
    <n v="83"/>
    <x v="1"/>
    <n v="219"/>
    <x v="513"/>
    <n v="1"/>
    <x v="1"/>
    <x v="60"/>
    <n v="6.916666666666667"/>
    <x v="2"/>
    <x v="2"/>
  </r>
  <r>
    <s v="Clients_Churn_Part_03.xlsx"/>
    <x v="528"/>
    <x v="20"/>
    <n v="114"/>
    <x v="0"/>
    <n v="304"/>
    <x v="514"/>
    <n v="1"/>
    <x v="0"/>
    <x v="100"/>
    <n v="9.5"/>
    <x v="1"/>
    <x v="344"/>
  </r>
  <r>
    <s v="Clients_Churn_Part_04.xlsx"/>
    <x v="529"/>
    <x v="25"/>
    <n v="75"/>
    <x v="1"/>
    <n v="242"/>
    <x v="515"/>
    <n v="2"/>
    <x v="1"/>
    <x v="120"/>
    <n v="6.25"/>
    <x v="1"/>
    <x v="345"/>
  </r>
  <r>
    <s v="Clients_Churn_Part_01.xlsx"/>
    <x v="530"/>
    <x v="0"/>
    <n v="115"/>
    <x v="0"/>
    <n v="176"/>
    <x v="516"/>
    <n v="4"/>
    <x v="1"/>
    <x v="329"/>
    <n v="9.5833333333333339"/>
    <x v="2"/>
    <x v="2"/>
  </r>
  <r>
    <s v="Clients_Churn_Part_13.xlsx"/>
    <x v="531"/>
    <x v="7"/>
    <n v="12"/>
    <x v="2"/>
    <n v="235"/>
    <x v="517"/>
    <n v="4"/>
    <x v="1"/>
    <x v="248"/>
    <n v="1"/>
    <x v="2"/>
    <x v="2"/>
  </r>
  <r>
    <s v="Clients_Churn_Part_05.xlsx"/>
    <x v="532"/>
    <x v="7"/>
    <n v="44"/>
    <x v="0"/>
    <n v="199"/>
    <x v="518"/>
    <n v="0"/>
    <x v="1"/>
    <x v="330"/>
    <n v="3.6666666666666665"/>
    <x v="2"/>
    <x v="2"/>
  </r>
  <r>
    <s v="Clients_Churn_Part_13.xlsx"/>
    <x v="533"/>
    <x v="5"/>
    <n v="48"/>
    <x v="3"/>
    <n v="338"/>
    <x v="519"/>
    <n v="0"/>
    <x v="1"/>
    <x v="253"/>
    <n v="4"/>
    <x v="1"/>
    <x v="346"/>
  </r>
  <r>
    <s v="Clients_Churn_Part_07.xlsx"/>
    <x v="534"/>
    <x v="15"/>
    <n v="51"/>
    <x v="3"/>
    <n v="222"/>
    <x v="520"/>
    <n v="4"/>
    <x v="1"/>
    <x v="331"/>
    <n v="4.25"/>
    <x v="1"/>
    <x v="347"/>
  </r>
  <r>
    <s v="Clients_Churn_Part_05.xlsx"/>
    <x v="535"/>
    <x v="1"/>
    <n v="57"/>
    <x v="2"/>
    <n v="435"/>
    <x v="521"/>
    <n v="4"/>
    <x v="0"/>
    <x v="26"/>
    <n v="4.75"/>
    <x v="1"/>
    <x v="348"/>
  </r>
  <r>
    <s v="Clients_Churn_Part_13.xlsx"/>
    <x v="536"/>
    <x v="4"/>
    <n v="22"/>
    <x v="1"/>
    <n v="374"/>
    <x v="522"/>
    <n v="5"/>
    <x v="1"/>
    <x v="332"/>
    <n v="1.8333333333333333"/>
    <x v="1"/>
    <x v="349"/>
  </r>
  <r>
    <s v="Clients_Churn_Part_14.xlsx"/>
    <x v="537"/>
    <x v="18"/>
    <n v="21"/>
    <x v="2"/>
    <n v="460"/>
    <x v="523"/>
    <n v="2"/>
    <x v="0"/>
    <x v="198"/>
    <n v="1.75"/>
    <x v="1"/>
    <x v="350"/>
  </r>
  <r>
    <s v="Clients_Churn_Part_03.xlsx"/>
    <x v="538"/>
    <x v="3"/>
    <n v="67"/>
    <x v="1"/>
    <n v="55"/>
    <x v="524"/>
    <n v="1"/>
    <x v="0"/>
    <x v="214"/>
    <n v="5.583333333333333"/>
    <x v="0"/>
    <x v="351"/>
  </r>
  <r>
    <s v="Clients_Churn_Part_05.xlsx"/>
    <x v="539"/>
    <x v="8"/>
    <n v="23"/>
    <x v="1"/>
    <n v="473"/>
    <x v="525"/>
    <n v="3"/>
    <x v="1"/>
    <x v="270"/>
    <n v="1.9166666666666667"/>
    <x v="1"/>
    <x v="352"/>
  </r>
  <r>
    <s v="Clients_Churn_Part_02.xlsx"/>
    <x v="540"/>
    <x v="1"/>
    <n v="12"/>
    <x v="3"/>
    <n v="208"/>
    <x v="526"/>
    <n v="4"/>
    <x v="1"/>
    <x v="176"/>
    <n v="1"/>
    <x v="1"/>
    <x v="353"/>
  </r>
  <r>
    <s v="Clients_Churn_Part_02.xlsx"/>
    <x v="541"/>
    <x v="24"/>
    <n v="6"/>
    <x v="3"/>
    <n v="162"/>
    <x v="527"/>
    <n v="0"/>
    <x v="1"/>
    <x v="333"/>
    <n v="0.5"/>
    <x v="1"/>
    <x v="354"/>
  </r>
  <r>
    <s v="Clients_Churn_Part_12.xlsx"/>
    <x v="542"/>
    <x v="25"/>
    <n v="25"/>
    <x v="0"/>
    <n v="5"/>
    <x v="528"/>
    <n v="0"/>
    <x v="0"/>
    <x v="221"/>
    <n v="2.0833333333333335"/>
    <x v="0"/>
    <x v="355"/>
  </r>
  <r>
    <s v="Clients_Churn_Part_10.xlsx"/>
    <x v="543"/>
    <x v="17"/>
    <n v="39"/>
    <x v="1"/>
    <n v="54"/>
    <x v="529"/>
    <n v="0"/>
    <x v="1"/>
    <x v="13"/>
    <n v="3.25"/>
    <x v="2"/>
    <x v="2"/>
  </r>
  <r>
    <s v="Clients_Churn_Part_10.xlsx"/>
    <x v="544"/>
    <x v="4"/>
    <n v="120"/>
    <x v="3"/>
    <n v="391"/>
    <x v="530"/>
    <n v="4"/>
    <x v="1"/>
    <x v="168"/>
    <n v="10"/>
    <x v="1"/>
    <x v="356"/>
  </r>
  <r>
    <s v="Clients_Churn_Part_04.xlsx"/>
    <x v="545"/>
    <x v="19"/>
    <n v="11"/>
    <x v="3"/>
    <n v="191"/>
    <x v="531"/>
    <n v="3"/>
    <x v="1"/>
    <x v="53"/>
    <n v="0.91666666666666663"/>
    <x v="1"/>
    <x v="357"/>
  </r>
  <r>
    <s v="Clients_Churn_Part_11.xlsx"/>
    <x v="546"/>
    <x v="11"/>
    <n v="47"/>
    <x v="3"/>
    <n v="457"/>
    <x v="532"/>
    <n v="2"/>
    <x v="1"/>
    <x v="46"/>
    <n v="3.9166666666666665"/>
    <x v="1"/>
    <x v="358"/>
  </r>
  <r>
    <s v="Clients_Churn_Part_12.xlsx"/>
    <x v="547"/>
    <x v="2"/>
    <n v="98"/>
    <x v="2"/>
    <n v="110"/>
    <x v="533"/>
    <n v="2"/>
    <x v="1"/>
    <x v="334"/>
    <n v="8.1666666666666661"/>
    <x v="2"/>
    <x v="2"/>
  </r>
  <r>
    <s v="Clients_Churn_Part_04.xlsx"/>
    <x v="548"/>
    <x v="22"/>
    <n v="28"/>
    <x v="3"/>
    <n v="96"/>
    <x v="534"/>
    <n v="4"/>
    <x v="1"/>
    <x v="223"/>
    <n v="2.3333333333333335"/>
    <x v="1"/>
    <x v="359"/>
  </r>
  <r>
    <s v="Clients_Churn_Part_10.xlsx"/>
    <x v="549"/>
    <x v="0"/>
    <n v="77"/>
    <x v="2"/>
    <n v="375"/>
    <x v="535"/>
    <n v="1"/>
    <x v="1"/>
    <x v="335"/>
    <n v="6.416666666666667"/>
    <x v="1"/>
    <x v="360"/>
  </r>
  <r>
    <s v="Clients_Churn_Part_03.xlsx"/>
    <x v="550"/>
    <x v="7"/>
    <n v="56"/>
    <x v="0"/>
    <n v="333"/>
    <x v="536"/>
    <n v="2"/>
    <x v="1"/>
    <x v="265"/>
    <n v="4.666666666666667"/>
    <x v="1"/>
    <x v="361"/>
  </r>
  <r>
    <s v="Clients_Churn_Part_04.xlsx"/>
    <x v="551"/>
    <x v="1"/>
    <n v="66"/>
    <x v="2"/>
    <n v="387"/>
    <x v="537"/>
    <n v="3"/>
    <x v="1"/>
    <x v="230"/>
    <n v="5.5"/>
    <x v="1"/>
    <x v="362"/>
  </r>
  <r>
    <s v="Clients_Churn_Part_04.xlsx"/>
    <x v="552"/>
    <x v="24"/>
    <n v="75"/>
    <x v="0"/>
    <n v="282"/>
    <x v="538"/>
    <n v="5"/>
    <x v="1"/>
    <x v="110"/>
    <n v="6.25"/>
    <x v="1"/>
    <x v="363"/>
  </r>
  <r>
    <s v="Clients_Churn_Part_09.xlsx"/>
    <x v="553"/>
    <x v="0"/>
    <n v="39"/>
    <x v="3"/>
    <n v="1"/>
    <x v="539"/>
    <n v="5"/>
    <x v="1"/>
    <x v="336"/>
    <n v="3.25"/>
    <x v="1"/>
    <x v="364"/>
  </r>
  <r>
    <s v="Clients_Churn_Part_07.xlsx"/>
    <x v="554"/>
    <x v="15"/>
    <n v="102"/>
    <x v="0"/>
    <n v="91"/>
    <x v="540"/>
    <n v="2"/>
    <x v="1"/>
    <x v="337"/>
    <n v="8.5"/>
    <x v="2"/>
    <x v="2"/>
  </r>
  <r>
    <s v="Clients_Churn_Part_05.xlsx"/>
    <x v="555"/>
    <x v="14"/>
    <n v="78"/>
    <x v="2"/>
    <n v="198"/>
    <x v="541"/>
    <n v="0"/>
    <x v="1"/>
    <x v="338"/>
    <n v="6.5"/>
    <x v="2"/>
    <x v="2"/>
  </r>
  <r>
    <s v="Clients_Churn_Part_06.xlsx"/>
    <x v="556"/>
    <x v="19"/>
    <n v="5"/>
    <x v="3"/>
    <n v="384"/>
    <x v="251"/>
    <n v="3"/>
    <x v="0"/>
    <x v="339"/>
    <n v="0.41666666666666669"/>
    <x v="1"/>
    <x v="365"/>
  </r>
  <r>
    <s v="Clients_Churn_Part_15.xlsx"/>
    <x v="557"/>
    <x v="4"/>
    <n v="87"/>
    <x v="1"/>
    <n v="486"/>
    <x v="542"/>
    <n v="0"/>
    <x v="1"/>
    <x v="37"/>
    <n v="7.25"/>
    <x v="1"/>
    <x v="366"/>
  </r>
  <r>
    <s v="Clients_Churn_Part_02.xlsx"/>
    <x v="558"/>
    <x v="24"/>
    <n v="42"/>
    <x v="2"/>
    <n v="385"/>
    <x v="543"/>
    <n v="1"/>
    <x v="1"/>
    <x v="172"/>
    <n v="3.5"/>
    <x v="1"/>
    <x v="367"/>
  </r>
  <r>
    <s v="Clients_Churn_Part_14.xlsx"/>
    <x v="559"/>
    <x v="8"/>
    <n v="103"/>
    <x v="3"/>
    <n v="386"/>
    <x v="544"/>
    <n v="0"/>
    <x v="1"/>
    <x v="340"/>
    <n v="8.5833333333333339"/>
    <x v="1"/>
    <x v="368"/>
  </r>
  <r>
    <s v="Clients_Churn_Part_05.xlsx"/>
    <x v="560"/>
    <x v="0"/>
    <n v="63"/>
    <x v="0"/>
    <n v="392"/>
    <x v="545"/>
    <n v="3"/>
    <x v="1"/>
    <x v="77"/>
    <n v="5.25"/>
    <x v="1"/>
    <x v="369"/>
  </r>
  <r>
    <s v="Clients_Churn_Part_12.xlsx"/>
    <x v="561"/>
    <x v="3"/>
    <n v="52"/>
    <x v="0"/>
    <n v="307"/>
    <x v="546"/>
    <n v="2"/>
    <x v="1"/>
    <x v="136"/>
    <n v="4.333333333333333"/>
    <x v="1"/>
    <x v="370"/>
  </r>
  <r>
    <s v="Clients_Churn_Part_02.xlsx"/>
    <x v="562"/>
    <x v="10"/>
    <n v="57"/>
    <x v="0"/>
    <n v="208"/>
    <x v="547"/>
    <n v="5"/>
    <x v="1"/>
    <x v="176"/>
    <n v="4.75"/>
    <x v="2"/>
    <x v="2"/>
  </r>
  <r>
    <s v="Clients_Churn_Part_07.xlsx"/>
    <x v="563"/>
    <x v="0"/>
    <n v="55"/>
    <x v="3"/>
    <n v="86"/>
    <x v="548"/>
    <n v="2"/>
    <x v="1"/>
    <x v="341"/>
    <n v="4.583333333333333"/>
    <x v="1"/>
    <x v="371"/>
  </r>
  <r>
    <s v="Clients_Churn_Part_10.xlsx"/>
    <x v="564"/>
    <x v="12"/>
    <n v="58"/>
    <x v="3"/>
    <n v="485"/>
    <x v="549"/>
    <n v="4"/>
    <x v="1"/>
    <x v="342"/>
    <n v="4.833333333333333"/>
    <x v="1"/>
    <x v="372"/>
  </r>
  <r>
    <s v="Clients_Churn_Part_06.xlsx"/>
    <x v="565"/>
    <x v="4"/>
    <n v="-53"/>
    <x v="0"/>
    <n v="414"/>
    <x v="550"/>
    <n v="1"/>
    <x v="1"/>
    <x v="343"/>
    <n v="-4.416666666666667"/>
    <x v="1"/>
    <x v="373"/>
  </r>
  <r>
    <s v="Clients_Churn_Part_14.xlsx"/>
    <x v="566"/>
    <x v="1"/>
    <n v="9"/>
    <x v="0"/>
    <n v="27"/>
    <x v="551"/>
    <n v="3"/>
    <x v="1"/>
    <x v="43"/>
    <n v="0.75"/>
    <x v="2"/>
    <x v="2"/>
  </r>
  <r>
    <s v="Clients_Churn_Part_11.xlsx"/>
    <x v="567"/>
    <x v="6"/>
    <n v="84"/>
    <x v="0"/>
    <n v="364"/>
    <x v="552"/>
    <n v="3"/>
    <x v="1"/>
    <x v="344"/>
    <n v="7"/>
    <x v="1"/>
    <x v="374"/>
  </r>
  <r>
    <s v="Clients_Churn_Part_01.xlsx"/>
    <x v="568"/>
    <x v="12"/>
    <n v="27"/>
    <x v="0"/>
    <n v="275"/>
    <x v="553"/>
    <n v="1"/>
    <x v="1"/>
    <x v="345"/>
    <n v="2.25"/>
    <x v="1"/>
    <x v="375"/>
  </r>
  <r>
    <s v="Clients_Churn_Part_09.xlsx"/>
    <x v="569"/>
    <x v="11"/>
    <n v="56"/>
    <x v="0"/>
    <n v="114"/>
    <x v="550"/>
    <n v="1"/>
    <x v="1"/>
    <x v="346"/>
    <n v="4.666666666666667"/>
    <x v="2"/>
    <x v="2"/>
  </r>
  <r>
    <s v="Clients_Churn_Part_12.xlsx"/>
    <x v="570"/>
    <x v="21"/>
    <n v="51"/>
    <x v="2"/>
    <n v="152"/>
    <x v="554"/>
    <n v="2"/>
    <x v="1"/>
    <x v="124"/>
    <n v="4.25"/>
    <x v="2"/>
    <x v="2"/>
  </r>
  <r>
    <s v="Clients_Churn_Part_04.xlsx"/>
    <x v="571"/>
    <x v="15"/>
    <n v="26"/>
    <x v="0"/>
    <n v="174"/>
    <x v="555"/>
    <n v="3"/>
    <x v="1"/>
    <x v="347"/>
    <n v="2.1666666666666665"/>
    <x v="2"/>
    <x v="2"/>
  </r>
  <r>
    <s v="Clients_Churn_Part_03.xlsx"/>
    <x v="572"/>
    <x v="17"/>
    <n v="60"/>
    <x v="0"/>
    <n v="168"/>
    <x v="518"/>
    <n v="1"/>
    <x v="1"/>
    <x v="263"/>
    <n v="5"/>
    <x v="2"/>
    <x v="2"/>
  </r>
  <r>
    <s v="Clients_Churn_Part_01.xlsx"/>
    <x v="573"/>
    <x v="1"/>
    <n v="47"/>
    <x v="0"/>
    <n v="199"/>
    <x v="556"/>
    <n v="2"/>
    <x v="1"/>
    <x v="330"/>
    <n v="3.9166666666666665"/>
    <x v="2"/>
    <x v="2"/>
  </r>
  <r>
    <s v="Clients_Churn_Part_13.xlsx"/>
    <x v="574"/>
    <x v="7"/>
    <n v="7"/>
    <x v="0"/>
    <n v="257"/>
    <x v="557"/>
    <n v="3"/>
    <x v="0"/>
    <x v="323"/>
    <n v="0.58333333333333337"/>
    <x v="1"/>
    <x v="376"/>
  </r>
  <r>
    <s v="Clients_Churn_Part_07.xlsx"/>
    <x v="575"/>
    <x v="6"/>
    <n v="59"/>
    <x v="1"/>
    <n v="369"/>
    <x v="558"/>
    <n v="4"/>
    <x v="1"/>
    <x v="142"/>
    <n v="4.916666666666667"/>
    <x v="1"/>
    <x v="377"/>
  </r>
  <r>
    <s v="Clients_Churn_Part_13.xlsx"/>
    <x v="576"/>
    <x v="2"/>
    <n v="104"/>
    <x v="0"/>
    <n v="243"/>
    <x v="559"/>
    <n v="0"/>
    <x v="1"/>
    <x v="179"/>
    <n v="8.6666666666666661"/>
    <x v="1"/>
    <x v="378"/>
  </r>
  <r>
    <s v="Clients_Churn_Part_06.xlsx"/>
    <x v="577"/>
    <x v="4"/>
    <n v="48"/>
    <x v="2"/>
    <n v="15"/>
    <x v="560"/>
    <n v="1"/>
    <x v="1"/>
    <x v="235"/>
    <n v="4"/>
    <x v="2"/>
    <x v="2"/>
  </r>
  <r>
    <s v="Clients_Churn_Part_05.xlsx"/>
    <x v="578"/>
    <x v="4"/>
    <n v="71"/>
    <x v="0"/>
    <n v="364"/>
    <x v="199"/>
    <n v="1"/>
    <x v="1"/>
    <x v="344"/>
    <n v="5.916666666666667"/>
    <x v="1"/>
    <x v="379"/>
  </r>
  <r>
    <s v="Clients_Churn_Part_07.xlsx"/>
    <x v="579"/>
    <x v="1"/>
    <n v="88"/>
    <x v="2"/>
    <n v="154"/>
    <x v="561"/>
    <n v="5"/>
    <x v="1"/>
    <x v="54"/>
    <n v="7.333333333333333"/>
    <x v="2"/>
    <x v="2"/>
  </r>
  <r>
    <s v="Clients_Churn_Part_11.xlsx"/>
    <x v="580"/>
    <x v="2"/>
    <n v="119"/>
    <x v="2"/>
    <n v="231"/>
    <x v="562"/>
    <n v="2"/>
    <x v="0"/>
    <x v="348"/>
    <n v="9.9166666666666661"/>
    <x v="0"/>
    <x v="380"/>
  </r>
  <r>
    <s v="Clients_Churn_Part_06.xlsx"/>
    <x v="581"/>
    <x v="4"/>
    <n v="81"/>
    <x v="1"/>
    <n v="298"/>
    <x v="563"/>
    <n v="2"/>
    <x v="1"/>
    <x v="349"/>
    <n v="6.75"/>
    <x v="1"/>
    <x v="381"/>
  </r>
  <r>
    <s v="Clients_Churn_Part_10.xlsx"/>
    <x v="582"/>
    <x v="6"/>
    <n v="45"/>
    <x v="3"/>
    <n v="244"/>
    <x v="564"/>
    <n v="2"/>
    <x v="1"/>
    <x v="256"/>
    <n v="3.75"/>
    <x v="1"/>
    <x v="382"/>
  </r>
  <r>
    <s v="Clients_Churn_Part_01.xlsx"/>
    <x v="583"/>
    <x v="11"/>
    <n v="86"/>
    <x v="3"/>
    <n v="471"/>
    <x v="565"/>
    <n v="4"/>
    <x v="1"/>
    <x v="350"/>
    <n v="7.166666666666667"/>
    <x v="1"/>
    <x v="383"/>
  </r>
  <r>
    <s v="Clients_Churn_Part_06.xlsx"/>
    <x v="584"/>
    <x v="3"/>
    <n v="33"/>
    <x v="3"/>
    <n v="444"/>
    <x v="6"/>
    <n v="5"/>
    <x v="0"/>
    <x v="257"/>
    <n v="2.75"/>
    <x v="1"/>
    <x v="5"/>
  </r>
  <r>
    <s v="Clients_Churn_Part_03.xlsx"/>
    <x v="585"/>
    <x v="11"/>
    <n v="104"/>
    <x v="1"/>
    <n v="317"/>
    <x v="566"/>
    <n v="1"/>
    <x v="0"/>
    <x v="222"/>
    <n v="8.6666666666666661"/>
    <x v="1"/>
    <x v="384"/>
  </r>
  <r>
    <s v="Clients_Churn_Part_13.xlsx"/>
    <x v="586"/>
    <x v="14"/>
    <n v="90"/>
    <x v="1"/>
    <n v="195"/>
    <x v="567"/>
    <n v="2"/>
    <x v="1"/>
    <x v="351"/>
    <n v="7.5"/>
    <x v="2"/>
    <x v="2"/>
  </r>
  <r>
    <s v="Clients_Churn_Part_01.xlsx"/>
    <x v="587"/>
    <x v="24"/>
    <n v="108"/>
    <x v="2"/>
    <n v="278"/>
    <x v="568"/>
    <n v="3"/>
    <x v="1"/>
    <x v="290"/>
    <n v="9"/>
    <x v="1"/>
    <x v="385"/>
  </r>
  <r>
    <s v="Clients_Churn_Part_15.xlsx"/>
    <x v="588"/>
    <x v="19"/>
    <n v="57"/>
    <x v="2"/>
    <n v="375"/>
    <x v="569"/>
    <n v="1"/>
    <x v="0"/>
    <x v="335"/>
    <n v="4.75"/>
    <x v="1"/>
    <x v="386"/>
  </r>
  <r>
    <s v="Clients_Churn_Part_02.xlsx"/>
    <x v="589"/>
    <x v="3"/>
    <n v="72"/>
    <x v="1"/>
    <n v="333"/>
    <x v="570"/>
    <n v="2"/>
    <x v="1"/>
    <x v="265"/>
    <n v="6"/>
    <x v="1"/>
    <x v="387"/>
  </r>
  <r>
    <s v="Clients_Churn_Part_06.xlsx"/>
    <x v="590"/>
    <x v="7"/>
    <n v="91"/>
    <x v="2"/>
    <n v="404"/>
    <x v="86"/>
    <n v="5"/>
    <x v="1"/>
    <x v="159"/>
    <n v="7.583333333333333"/>
    <x v="1"/>
    <x v="388"/>
  </r>
  <r>
    <s v="Clients_Churn_Part_04.xlsx"/>
    <x v="591"/>
    <x v="11"/>
    <n v="118"/>
    <x v="0"/>
    <n v="300"/>
    <x v="571"/>
    <n v="4"/>
    <x v="1"/>
    <x v="103"/>
    <n v="9.8333333333333339"/>
    <x v="1"/>
    <x v="389"/>
  </r>
  <r>
    <s v="Clients_Churn_Part_13.xlsx"/>
    <x v="592"/>
    <x v="6"/>
    <n v="112"/>
    <x v="2"/>
    <n v="281"/>
    <x v="572"/>
    <n v="2"/>
    <x v="0"/>
    <x v="352"/>
    <n v="9.3333333333333339"/>
    <x v="1"/>
    <x v="390"/>
  </r>
  <r>
    <s v="Clients_Churn_Part_10.xlsx"/>
    <x v="593"/>
    <x v="5"/>
    <n v="93"/>
    <x v="1"/>
    <n v="153"/>
    <x v="573"/>
    <n v="0"/>
    <x v="1"/>
    <x v="353"/>
    <n v="7.75"/>
    <x v="2"/>
    <x v="2"/>
  </r>
  <r>
    <s v="Clients_Churn_Part_11.xlsx"/>
    <x v="594"/>
    <x v="13"/>
    <n v="48"/>
    <x v="0"/>
    <n v="482"/>
    <x v="574"/>
    <n v="0"/>
    <x v="0"/>
    <x v="207"/>
    <n v="4"/>
    <x v="1"/>
    <x v="391"/>
  </r>
  <r>
    <s v="Clients_Churn_Part_08.xlsx"/>
    <x v="595"/>
    <x v="17"/>
    <n v="22"/>
    <x v="1"/>
    <n v="127"/>
    <x v="575"/>
    <n v="2"/>
    <x v="0"/>
    <x v="354"/>
    <n v="1.8333333333333333"/>
    <x v="0"/>
    <x v="392"/>
  </r>
  <r>
    <s v="Clients_Churn_Part_05.xlsx"/>
    <x v="596"/>
    <x v="12"/>
    <n v="87"/>
    <x v="1"/>
    <n v="205"/>
    <x v="576"/>
    <n v="5"/>
    <x v="1"/>
    <x v="203"/>
    <n v="7.25"/>
    <x v="2"/>
    <x v="2"/>
  </r>
  <r>
    <s v="Clients_Churn_Part_04.xlsx"/>
    <x v="597"/>
    <x v="19"/>
    <n v="51"/>
    <x v="2"/>
    <n v="433"/>
    <x v="491"/>
    <n v="1"/>
    <x v="1"/>
    <x v="355"/>
    <n v="4.25"/>
    <x v="1"/>
    <x v="324"/>
  </r>
  <r>
    <s v="Clients_Churn_Part_03.xlsx"/>
    <x v="598"/>
    <x v="0"/>
    <n v="55"/>
    <x v="0"/>
    <n v="407"/>
    <x v="577"/>
    <n v="0"/>
    <x v="0"/>
    <x v="119"/>
    <n v="4.583333333333333"/>
    <x v="1"/>
    <x v="393"/>
  </r>
  <r>
    <s v="Clients_Churn_Part_11.xlsx"/>
    <x v="599"/>
    <x v="5"/>
    <n v="99"/>
    <x v="1"/>
    <n v="42"/>
    <x v="578"/>
    <n v="3"/>
    <x v="1"/>
    <x v="27"/>
    <n v="8.25"/>
    <x v="2"/>
    <x v="2"/>
  </r>
  <r>
    <s v="Clients_Churn_Part_02.xlsx"/>
    <x v="600"/>
    <x v="16"/>
    <n v="50"/>
    <x v="0"/>
    <n v="258"/>
    <x v="579"/>
    <n v="4"/>
    <x v="1"/>
    <x v="356"/>
    <n v="4.166666666666667"/>
    <x v="1"/>
    <x v="394"/>
  </r>
  <r>
    <s v="Clients_Churn_Part_01.xlsx"/>
    <x v="601"/>
    <x v="18"/>
    <n v="22"/>
    <x v="2"/>
    <n v="451"/>
    <x v="580"/>
    <n v="3"/>
    <x v="0"/>
    <x v="273"/>
    <n v="1.8333333333333333"/>
    <x v="1"/>
    <x v="395"/>
  </r>
  <r>
    <s v="Clients_Churn_Part_12.xlsx"/>
    <x v="602"/>
    <x v="17"/>
    <n v="83"/>
    <x v="1"/>
    <n v="91"/>
    <x v="581"/>
    <n v="2"/>
    <x v="1"/>
    <x v="337"/>
    <n v="6.916666666666667"/>
    <x v="2"/>
    <x v="2"/>
  </r>
  <r>
    <s v="Clients_Churn_Part_08.xlsx"/>
    <x v="603"/>
    <x v="14"/>
    <n v="35"/>
    <x v="2"/>
    <n v="421"/>
    <x v="582"/>
    <n v="5"/>
    <x v="1"/>
    <x v="169"/>
    <n v="2.9166666666666665"/>
    <x v="1"/>
    <x v="396"/>
  </r>
  <r>
    <s v="Clients_Churn_Part_12.xlsx"/>
    <x v="604"/>
    <x v="17"/>
    <n v="99"/>
    <x v="2"/>
    <n v="137"/>
    <x v="583"/>
    <n v="4"/>
    <x v="0"/>
    <x v="75"/>
    <n v="8.25"/>
    <x v="0"/>
    <x v="397"/>
  </r>
  <r>
    <s v="Clients_Churn_Part_09.xlsx"/>
    <x v="605"/>
    <x v="0"/>
    <n v="115"/>
    <x v="1"/>
    <n v="262"/>
    <x v="584"/>
    <n v="3"/>
    <x v="1"/>
    <x v="154"/>
    <n v="9.5833333333333339"/>
    <x v="1"/>
    <x v="398"/>
  </r>
  <r>
    <s v="Clients_Churn_Part_08.xlsx"/>
    <x v="606"/>
    <x v="8"/>
    <n v="112"/>
    <x v="2"/>
    <n v="483"/>
    <x v="585"/>
    <n v="0"/>
    <x v="1"/>
    <x v="145"/>
    <n v="9.3333333333333339"/>
    <x v="1"/>
    <x v="399"/>
  </r>
  <r>
    <s v="Clients_Churn_Part_09.xlsx"/>
    <x v="607"/>
    <x v="3"/>
    <n v="7"/>
    <x v="0"/>
    <n v="233"/>
    <x v="586"/>
    <n v="0"/>
    <x v="0"/>
    <x v="357"/>
    <n v="0.58333333333333337"/>
    <x v="0"/>
    <x v="400"/>
  </r>
  <r>
    <s v="Clients_Churn_Part_04.xlsx"/>
    <x v="608"/>
    <x v="17"/>
    <n v="42"/>
    <x v="1"/>
    <n v="389"/>
    <x v="587"/>
    <n v="1"/>
    <x v="1"/>
    <x v="309"/>
    <n v="3.5"/>
    <x v="1"/>
    <x v="401"/>
  </r>
  <r>
    <s v="Clients_Churn_Part_15.xlsx"/>
    <x v="609"/>
    <x v="13"/>
    <n v="104"/>
    <x v="0"/>
    <n v="245"/>
    <x v="588"/>
    <n v="0"/>
    <x v="0"/>
    <x v="358"/>
    <n v="8.6666666666666661"/>
    <x v="1"/>
    <x v="402"/>
  </r>
  <r>
    <s v="Clients_Churn_Part_15.xlsx"/>
    <x v="610"/>
    <x v="22"/>
    <n v="23"/>
    <x v="1"/>
    <n v="120"/>
    <x v="589"/>
    <n v="1"/>
    <x v="1"/>
    <x v="101"/>
    <n v="1.9166666666666667"/>
    <x v="2"/>
    <x v="2"/>
  </r>
  <r>
    <s v="Clients_Churn_Part_07.xlsx"/>
    <x v="611"/>
    <x v="15"/>
    <n v="76"/>
    <x v="0"/>
    <n v="192"/>
    <x v="590"/>
    <n v="0"/>
    <x v="0"/>
    <x v="65"/>
    <n v="6.333333333333333"/>
    <x v="0"/>
    <x v="403"/>
  </r>
  <r>
    <s v="Clients_Churn_Part_08.xlsx"/>
    <x v="612"/>
    <x v="12"/>
    <n v="35"/>
    <x v="1"/>
    <n v="496"/>
    <x v="308"/>
    <n v="5"/>
    <x v="0"/>
    <x v="86"/>
    <n v="2.9166666666666665"/>
    <x v="1"/>
    <x v="204"/>
  </r>
  <r>
    <s v="Clients_Churn_Part_01.xlsx"/>
    <x v="613"/>
    <x v="21"/>
    <n v="97"/>
    <x v="1"/>
    <n v="319"/>
    <x v="591"/>
    <n v="1"/>
    <x v="1"/>
    <x v="52"/>
    <n v="8.0833333333333339"/>
    <x v="1"/>
    <x v="404"/>
  </r>
  <r>
    <s v="Clients_Churn_Part_04.xlsx"/>
    <x v="614"/>
    <x v="3"/>
    <n v="114"/>
    <x v="3"/>
    <n v="482"/>
    <x v="169"/>
    <n v="3"/>
    <x v="1"/>
    <x v="207"/>
    <n v="9.5"/>
    <x v="1"/>
    <x v="405"/>
  </r>
  <r>
    <s v="Clients_Churn_Part_13.xlsx"/>
    <x v="615"/>
    <x v="13"/>
    <n v="89"/>
    <x v="0"/>
    <n v="474"/>
    <x v="592"/>
    <n v="5"/>
    <x v="0"/>
    <x v="177"/>
    <n v="7.416666666666667"/>
    <x v="1"/>
    <x v="406"/>
  </r>
  <r>
    <s v="Clients_Churn_Part_07.xlsx"/>
    <x v="616"/>
    <x v="13"/>
    <n v="41"/>
    <x v="1"/>
    <n v="206"/>
    <x v="593"/>
    <n v="2"/>
    <x v="1"/>
    <x v="310"/>
    <n v="3.4166666666666665"/>
    <x v="2"/>
    <x v="2"/>
  </r>
  <r>
    <s v="Clients_Churn_Part_01.xlsx"/>
    <x v="617"/>
    <x v="9"/>
    <n v="110"/>
    <x v="2"/>
    <n v="454"/>
    <x v="594"/>
    <n v="1"/>
    <x v="0"/>
    <x v="35"/>
    <n v="9.1666666666666661"/>
    <x v="1"/>
    <x v="407"/>
  </r>
  <r>
    <s v="Clients_Churn_Part_10.xlsx"/>
    <x v="618"/>
    <x v="6"/>
    <n v="85"/>
    <x v="1"/>
    <n v="75"/>
    <x v="595"/>
    <n v="1"/>
    <x v="1"/>
    <x v="23"/>
    <n v="7.083333333333333"/>
    <x v="2"/>
    <x v="2"/>
  </r>
  <r>
    <s v="Clients_Churn_Part_12.xlsx"/>
    <x v="619"/>
    <x v="14"/>
    <n v="79"/>
    <x v="0"/>
    <n v="462"/>
    <x v="218"/>
    <n v="0"/>
    <x v="1"/>
    <x v="184"/>
    <n v="6.583333333333333"/>
    <x v="1"/>
    <x v="150"/>
  </r>
  <r>
    <s v="Clients_Churn_Part_14.xlsx"/>
    <x v="620"/>
    <x v="24"/>
    <n v="46"/>
    <x v="3"/>
    <n v="43"/>
    <x v="596"/>
    <n v="2"/>
    <x v="0"/>
    <x v="185"/>
    <n v="3.8333333333333335"/>
    <x v="1"/>
    <x v="408"/>
  </r>
  <r>
    <s v="Clients_Churn_Part_03.xlsx"/>
    <x v="621"/>
    <x v="8"/>
    <n v="1"/>
    <x v="1"/>
    <n v="326"/>
    <x v="597"/>
    <n v="3"/>
    <x v="1"/>
    <x v="359"/>
    <n v="8.3333333333333329E-2"/>
    <x v="1"/>
    <x v="409"/>
  </r>
  <r>
    <s v="Clients_Churn_Part_14.xlsx"/>
    <x v="622"/>
    <x v="14"/>
    <n v="26"/>
    <x v="3"/>
    <n v="378"/>
    <x v="598"/>
    <n v="5"/>
    <x v="0"/>
    <x v="58"/>
    <n v="2.1666666666666665"/>
    <x v="1"/>
    <x v="410"/>
  </r>
  <r>
    <s v="Clients_Churn_Part_11.xlsx"/>
    <x v="623"/>
    <x v="20"/>
    <n v="73"/>
    <x v="1"/>
    <n v="268"/>
    <x v="599"/>
    <n v="5"/>
    <x v="1"/>
    <x v="155"/>
    <n v="6.083333333333333"/>
    <x v="1"/>
    <x v="411"/>
  </r>
  <r>
    <s v="Clients_Churn_Part_03.xlsx"/>
    <x v="624"/>
    <x v="19"/>
    <n v="16"/>
    <x v="0"/>
    <n v="13"/>
    <x v="600"/>
    <n v="1"/>
    <x v="1"/>
    <x v="360"/>
    <n v="1.3333333333333333"/>
    <x v="2"/>
    <x v="2"/>
  </r>
  <r>
    <s v="Clients_Churn_Part_01.xlsx"/>
    <x v="625"/>
    <x v="9"/>
    <n v="101"/>
    <x v="2"/>
    <n v="358"/>
    <x v="601"/>
    <n v="3"/>
    <x v="1"/>
    <x v="361"/>
    <n v="8.4166666666666661"/>
    <x v="1"/>
    <x v="412"/>
  </r>
  <r>
    <s v="Clients_Churn_Part_10.xlsx"/>
    <x v="626"/>
    <x v="20"/>
    <n v="103"/>
    <x v="2"/>
    <n v="291"/>
    <x v="602"/>
    <n v="5"/>
    <x v="1"/>
    <x v="160"/>
    <n v="8.5833333333333339"/>
    <x v="1"/>
    <x v="413"/>
  </r>
  <r>
    <s v="Clients_Churn_Part_04.xlsx"/>
    <x v="627"/>
    <x v="6"/>
    <n v="92"/>
    <x v="3"/>
    <n v="116"/>
    <x v="24"/>
    <n v="3"/>
    <x v="1"/>
    <x v="362"/>
    <n v="7.666666666666667"/>
    <x v="2"/>
    <x v="2"/>
  </r>
  <r>
    <s v="Clients_Churn_Part_13.xlsx"/>
    <x v="628"/>
    <x v="23"/>
    <n v="116"/>
    <x v="2"/>
    <n v="231"/>
    <x v="439"/>
    <n v="5"/>
    <x v="0"/>
    <x v="348"/>
    <n v="9.6666666666666661"/>
    <x v="0"/>
    <x v="414"/>
  </r>
  <r>
    <s v="Clients_Churn_Part_13.xlsx"/>
    <x v="629"/>
    <x v="22"/>
    <n v="89"/>
    <x v="1"/>
    <n v="381"/>
    <x v="603"/>
    <n v="0"/>
    <x v="1"/>
    <x v="161"/>
    <n v="7.416666666666667"/>
    <x v="1"/>
    <x v="415"/>
  </r>
  <r>
    <s v="Clients_Churn_Part_12.xlsx"/>
    <x v="630"/>
    <x v="24"/>
    <n v="65"/>
    <x v="3"/>
    <n v="15"/>
    <x v="604"/>
    <n v="0"/>
    <x v="0"/>
    <x v="235"/>
    <n v="5.416666666666667"/>
    <x v="0"/>
    <x v="416"/>
  </r>
  <r>
    <s v="Clients_Churn_Part_09.xlsx"/>
    <x v="631"/>
    <x v="1"/>
    <n v="61"/>
    <x v="1"/>
    <n v="362"/>
    <x v="605"/>
    <n v="0"/>
    <x v="0"/>
    <x v="90"/>
    <n v="5.083333333333333"/>
    <x v="1"/>
    <x v="417"/>
  </r>
  <r>
    <s v="Clients_Churn_Part_13.xlsx"/>
    <x v="632"/>
    <x v="23"/>
    <n v="17"/>
    <x v="1"/>
    <n v="206"/>
    <x v="606"/>
    <n v="3"/>
    <x v="1"/>
    <x v="310"/>
    <n v="1.4166666666666667"/>
    <x v="2"/>
    <x v="2"/>
  </r>
  <r>
    <s v="Clients_Churn_Part_07.xlsx"/>
    <x v="633"/>
    <x v="21"/>
    <n v="19"/>
    <x v="0"/>
    <n v="125"/>
    <x v="607"/>
    <n v="4"/>
    <x v="1"/>
    <x v="41"/>
    <n v="1.5833333333333333"/>
    <x v="2"/>
    <x v="2"/>
  </r>
  <r>
    <s v="Clients_Churn_Part_08.xlsx"/>
    <x v="634"/>
    <x v="10"/>
    <n v="13"/>
    <x v="0"/>
    <n v="180"/>
    <x v="608"/>
    <n v="0"/>
    <x v="0"/>
    <x v="300"/>
    <n v="1.0833333333333333"/>
    <x v="0"/>
    <x v="418"/>
  </r>
  <r>
    <s v="Clients_Churn_Part_06.xlsx"/>
    <x v="635"/>
    <x v="18"/>
    <n v="90"/>
    <x v="1"/>
    <n v="299"/>
    <x v="609"/>
    <n v="1"/>
    <x v="1"/>
    <x v="181"/>
    <n v="7.5"/>
    <x v="1"/>
    <x v="419"/>
  </r>
  <r>
    <s v="Clients_Churn_Part_03.xlsx"/>
    <x v="636"/>
    <x v="16"/>
    <n v="41"/>
    <x v="3"/>
    <n v="64"/>
    <x v="610"/>
    <n v="1"/>
    <x v="1"/>
    <x v="36"/>
    <n v="3.4166666666666665"/>
    <x v="1"/>
    <x v="420"/>
  </r>
  <r>
    <s v="Clients_Churn_Part_15.xlsx"/>
    <x v="637"/>
    <x v="23"/>
    <n v="74"/>
    <x v="2"/>
    <n v="359"/>
    <x v="611"/>
    <n v="0"/>
    <x v="1"/>
    <x v="262"/>
    <n v="6.166666666666667"/>
    <x v="1"/>
    <x v="421"/>
  </r>
  <r>
    <s v="Clients_Churn_Part_04.xlsx"/>
    <x v="638"/>
    <x v="12"/>
    <n v="62"/>
    <x v="3"/>
    <n v="116"/>
    <x v="612"/>
    <n v="5"/>
    <x v="0"/>
    <x v="362"/>
    <n v="5.166666666666667"/>
    <x v="0"/>
    <x v="422"/>
  </r>
  <r>
    <s v="Clients_Churn_Part_10.xlsx"/>
    <x v="639"/>
    <x v="23"/>
    <n v="118"/>
    <x v="1"/>
    <n v="80"/>
    <x v="613"/>
    <n v="3"/>
    <x v="1"/>
    <x v="363"/>
    <n v="9.8333333333333339"/>
    <x v="2"/>
    <x v="2"/>
  </r>
  <r>
    <s v="Clients_Churn_Part_07.xlsx"/>
    <x v="640"/>
    <x v="21"/>
    <n v="99"/>
    <x v="0"/>
    <n v="28"/>
    <x v="614"/>
    <n v="1"/>
    <x v="1"/>
    <x v="302"/>
    <n v="8.25"/>
    <x v="2"/>
    <x v="2"/>
  </r>
  <r>
    <s v="Clients_Churn_Part_02.xlsx"/>
    <x v="641"/>
    <x v="24"/>
    <n v="80"/>
    <x v="3"/>
    <n v="121"/>
    <x v="615"/>
    <n v="5"/>
    <x v="1"/>
    <x v="216"/>
    <n v="6.666666666666667"/>
    <x v="2"/>
    <x v="2"/>
  </r>
  <r>
    <s v="Clients_Churn_Part_02.xlsx"/>
    <x v="642"/>
    <x v="19"/>
    <n v="58"/>
    <x v="2"/>
    <n v="61"/>
    <x v="616"/>
    <n v="3"/>
    <x v="1"/>
    <x v="313"/>
    <n v="4.833333333333333"/>
    <x v="2"/>
    <x v="2"/>
  </r>
  <r>
    <s v="Clients_Churn_Part_02.xlsx"/>
    <x v="643"/>
    <x v="2"/>
    <n v="4"/>
    <x v="0"/>
    <n v="453"/>
    <x v="617"/>
    <n v="5"/>
    <x v="1"/>
    <x v="195"/>
    <n v="0.33333333333333331"/>
    <x v="1"/>
    <x v="423"/>
  </r>
  <r>
    <s v="Clients_Churn_Part_07.xlsx"/>
    <x v="644"/>
    <x v="3"/>
    <n v="41"/>
    <x v="0"/>
    <n v="398"/>
    <x v="618"/>
    <n v="2"/>
    <x v="0"/>
    <x v="364"/>
    <n v="3.4166666666666665"/>
    <x v="1"/>
    <x v="424"/>
  </r>
  <r>
    <s v="Clients_Churn_Part_08.xlsx"/>
    <x v="645"/>
    <x v="11"/>
    <n v="49"/>
    <x v="1"/>
    <n v="229"/>
    <x v="619"/>
    <n v="5"/>
    <x v="1"/>
    <x v="365"/>
    <n v="4.083333333333333"/>
    <x v="2"/>
    <x v="2"/>
  </r>
  <r>
    <s v="Clients_Churn_Part_04.xlsx"/>
    <x v="646"/>
    <x v="21"/>
    <n v="29"/>
    <x v="2"/>
    <n v="416"/>
    <x v="620"/>
    <n v="0"/>
    <x v="1"/>
    <x v="114"/>
    <n v="2.4166666666666665"/>
    <x v="1"/>
    <x v="425"/>
  </r>
  <r>
    <s v="Clients_Churn_Part_10.xlsx"/>
    <x v="647"/>
    <x v="12"/>
    <n v="9"/>
    <x v="2"/>
    <n v="227"/>
    <x v="507"/>
    <n v="3"/>
    <x v="0"/>
    <x v="208"/>
    <n v="0.75"/>
    <x v="0"/>
    <x v="339"/>
  </r>
  <r>
    <s v="Clients_Churn_Part_08.xlsx"/>
    <x v="648"/>
    <x v="20"/>
    <n v="97"/>
    <x v="1"/>
    <n v="276"/>
    <x v="173"/>
    <n v="0"/>
    <x v="1"/>
    <x v="366"/>
    <n v="8.0833333333333339"/>
    <x v="1"/>
    <x v="113"/>
  </r>
  <r>
    <s v="Clients_Churn_Part_06.xlsx"/>
    <x v="649"/>
    <x v="23"/>
    <n v="32"/>
    <x v="2"/>
    <n v="31"/>
    <x v="621"/>
    <n v="1"/>
    <x v="1"/>
    <x v="9"/>
    <n v="2.6666666666666665"/>
    <x v="2"/>
    <x v="2"/>
  </r>
  <r>
    <s v="Clients_Churn_Part_07.xlsx"/>
    <x v="650"/>
    <x v="12"/>
    <n v="87"/>
    <x v="2"/>
    <n v="498"/>
    <x v="622"/>
    <n v="0"/>
    <x v="0"/>
    <x v="367"/>
    <n v="7.25"/>
    <x v="1"/>
    <x v="426"/>
  </r>
  <r>
    <s v="Clients_Churn_Part_01.xlsx"/>
    <x v="651"/>
    <x v="1"/>
    <n v="112"/>
    <x v="1"/>
    <n v="18"/>
    <x v="623"/>
    <n v="5"/>
    <x v="1"/>
    <x v="325"/>
    <n v="9.3333333333333339"/>
    <x v="2"/>
    <x v="2"/>
  </r>
  <r>
    <s v="Clients_Churn_Part_04.xlsx"/>
    <x v="652"/>
    <x v="18"/>
    <n v="97"/>
    <x v="3"/>
    <n v="296"/>
    <x v="624"/>
    <n v="4"/>
    <x v="0"/>
    <x v="368"/>
    <n v="8.0833333333333339"/>
    <x v="1"/>
    <x v="427"/>
  </r>
  <r>
    <s v="Clients_Churn_Part_07.xlsx"/>
    <x v="653"/>
    <x v="7"/>
    <n v="14"/>
    <x v="1"/>
    <n v="303"/>
    <x v="625"/>
    <n v="1"/>
    <x v="1"/>
    <x v="129"/>
    <n v="1.1666666666666667"/>
    <x v="1"/>
    <x v="428"/>
  </r>
  <r>
    <s v="Clients_Churn_Part_08.xlsx"/>
    <x v="654"/>
    <x v="19"/>
    <n v="104"/>
    <x v="3"/>
    <n v="68"/>
    <x v="626"/>
    <n v="2"/>
    <x v="1"/>
    <x v="227"/>
    <n v="8.6666666666666661"/>
    <x v="2"/>
    <x v="2"/>
  </r>
  <r>
    <s v="Clients_Churn_Part_14.xlsx"/>
    <x v="655"/>
    <x v="15"/>
    <n v="38"/>
    <x v="3"/>
    <n v="432"/>
    <x v="627"/>
    <n v="4"/>
    <x v="1"/>
    <x v="369"/>
    <n v="3.1666666666666665"/>
    <x v="1"/>
    <x v="429"/>
  </r>
  <r>
    <s v="Clients_Churn_Part_02.xlsx"/>
    <x v="656"/>
    <x v="18"/>
    <n v="91"/>
    <x v="3"/>
    <n v="467"/>
    <x v="628"/>
    <n v="1"/>
    <x v="1"/>
    <x v="38"/>
    <n v="7.583333333333333"/>
    <x v="1"/>
    <x v="430"/>
  </r>
  <r>
    <s v="Clients_Churn_Part_01.xlsx"/>
    <x v="657"/>
    <x v="20"/>
    <n v="14"/>
    <x v="0"/>
    <n v="415"/>
    <x v="43"/>
    <n v="5"/>
    <x v="0"/>
    <x v="370"/>
    <n v="1.1666666666666667"/>
    <x v="1"/>
    <x v="431"/>
  </r>
  <r>
    <s v="Clients_Churn_Part_09.xlsx"/>
    <x v="658"/>
    <x v="11"/>
    <n v="7"/>
    <x v="1"/>
    <n v="268"/>
    <x v="629"/>
    <n v="5"/>
    <x v="1"/>
    <x v="155"/>
    <n v="0.58333333333333337"/>
    <x v="1"/>
    <x v="432"/>
  </r>
  <r>
    <s v="Clients_Churn_Part_03.xlsx"/>
    <x v="659"/>
    <x v="12"/>
    <n v="93"/>
    <x v="0"/>
    <n v="365"/>
    <x v="630"/>
    <n v="1"/>
    <x v="1"/>
    <x v="371"/>
    <n v="7.75"/>
    <x v="1"/>
    <x v="433"/>
  </r>
  <r>
    <s v="Clients_Churn_Part_02.xlsx"/>
    <x v="660"/>
    <x v="16"/>
    <n v="30"/>
    <x v="3"/>
    <n v="197"/>
    <x v="631"/>
    <n v="0"/>
    <x v="1"/>
    <x v="372"/>
    <n v="2.5"/>
    <x v="1"/>
    <x v="434"/>
  </r>
  <r>
    <s v="Clients_Churn_Part_15.xlsx"/>
    <x v="661"/>
    <x v="12"/>
    <n v="58"/>
    <x v="3"/>
    <n v="485"/>
    <x v="632"/>
    <n v="5"/>
    <x v="1"/>
    <x v="342"/>
    <n v="4.833333333333333"/>
    <x v="1"/>
    <x v="435"/>
  </r>
  <r>
    <s v="Clients_Churn_Part_03.xlsx"/>
    <x v="662"/>
    <x v="13"/>
    <n v="113"/>
    <x v="3"/>
    <n v="246"/>
    <x v="361"/>
    <n v="2"/>
    <x v="1"/>
    <x v="373"/>
    <n v="9.4166666666666661"/>
    <x v="1"/>
    <x v="237"/>
  </r>
  <r>
    <s v="Clients_Churn_Part_13.xlsx"/>
    <x v="663"/>
    <x v="23"/>
    <n v="19"/>
    <x v="0"/>
    <n v="141"/>
    <x v="633"/>
    <n v="1"/>
    <x v="1"/>
    <x v="374"/>
    <n v="1.5833333333333333"/>
    <x v="2"/>
    <x v="2"/>
  </r>
  <r>
    <s v="Clients_Churn_Part_05.xlsx"/>
    <x v="664"/>
    <x v="2"/>
    <n v="33"/>
    <x v="0"/>
    <n v="332"/>
    <x v="634"/>
    <n v="1"/>
    <x v="1"/>
    <x v="8"/>
    <n v="2.75"/>
    <x v="1"/>
    <x v="436"/>
  </r>
  <r>
    <s v="Clients_Churn_Part_12.xlsx"/>
    <x v="665"/>
    <x v="20"/>
    <n v="103"/>
    <x v="0"/>
    <n v="98"/>
    <x v="635"/>
    <n v="4"/>
    <x v="1"/>
    <x v="121"/>
    <n v="8.5833333333333339"/>
    <x v="2"/>
    <x v="2"/>
  </r>
  <r>
    <s v="Clients_Churn_Part_01.xlsx"/>
    <x v="666"/>
    <x v="10"/>
    <n v="72"/>
    <x v="0"/>
    <n v="332"/>
    <x v="636"/>
    <n v="4"/>
    <x v="0"/>
    <x v="8"/>
    <n v="6"/>
    <x v="1"/>
    <x v="437"/>
  </r>
  <r>
    <s v="Clients_Churn_Part_01.xlsx"/>
    <x v="667"/>
    <x v="12"/>
    <n v="91"/>
    <x v="1"/>
    <n v="358"/>
    <x v="637"/>
    <n v="5"/>
    <x v="0"/>
    <x v="361"/>
    <n v="7.583333333333333"/>
    <x v="1"/>
    <x v="438"/>
  </r>
  <r>
    <s v="Clients_Churn_Part_14.xlsx"/>
    <x v="668"/>
    <x v="22"/>
    <n v="65"/>
    <x v="1"/>
    <n v="246"/>
    <x v="638"/>
    <n v="0"/>
    <x v="1"/>
    <x v="373"/>
    <n v="5.416666666666667"/>
    <x v="1"/>
    <x v="439"/>
  </r>
  <r>
    <s v="Clients_Churn_Part_15.xlsx"/>
    <x v="669"/>
    <x v="0"/>
    <n v="10"/>
    <x v="2"/>
    <n v="418"/>
    <x v="639"/>
    <n v="2"/>
    <x v="0"/>
    <x v="132"/>
    <n v="0.83333333333333337"/>
    <x v="1"/>
    <x v="440"/>
  </r>
  <r>
    <s v="Clients_Churn_Part_11.xlsx"/>
    <x v="670"/>
    <x v="15"/>
    <n v="10"/>
    <x v="1"/>
    <n v="129"/>
    <x v="640"/>
    <n v="0"/>
    <x v="1"/>
    <x v="375"/>
    <n v="0.83333333333333337"/>
    <x v="2"/>
    <x v="2"/>
  </r>
  <r>
    <s v="Clients_Churn_Part_11.xlsx"/>
    <x v="671"/>
    <x v="17"/>
    <n v="80"/>
    <x v="2"/>
    <n v="101"/>
    <x v="641"/>
    <n v="4"/>
    <x v="1"/>
    <x v="287"/>
    <n v="6.666666666666667"/>
    <x v="2"/>
    <x v="2"/>
  </r>
  <r>
    <s v="Clients_Churn_Part_04.xlsx"/>
    <x v="672"/>
    <x v="21"/>
    <n v="61"/>
    <x v="0"/>
    <n v="383"/>
    <x v="642"/>
    <n v="4"/>
    <x v="0"/>
    <x v="183"/>
    <n v="5.083333333333333"/>
    <x v="1"/>
    <x v="441"/>
  </r>
  <r>
    <s v="Clients_Churn_Part_09.xlsx"/>
    <x v="673"/>
    <x v="21"/>
    <n v="111"/>
    <x v="1"/>
    <n v="447"/>
    <x v="643"/>
    <n v="0"/>
    <x v="1"/>
    <x v="311"/>
    <n v="9.25"/>
    <x v="1"/>
    <x v="442"/>
  </r>
  <r>
    <s v="Clients_Churn_Part_10.xlsx"/>
    <x v="674"/>
    <x v="1"/>
    <n v="100"/>
    <x v="2"/>
    <n v="240"/>
    <x v="644"/>
    <n v="4"/>
    <x v="1"/>
    <x v="141"/>
    <n v="8.3333333333333339"/>
    <x v="1"/>
    <x v="443"/>
  </r>
  <r>
    <s v="Clients_Churn_Part_15.xlsx"/>
    <x v="675"/>
    <x v="20"/>
    <n v="5"/>
    <x v="3"/>
    <n v="71"/>
    <x v="645"/>
    <n v="3"/>
    <x v="0"/>
    <x v="249"/>
    <n v="0.41666666666666669"/>
    <x v="1"/>
    <x v="444"/>
  </r>
  <r>
    <s v="Clients_Churn_Part_14.xlsx"/>
    <x v="676"/>
    <x v="19"/>
    <n v="7"/>
    <x v="1"/>
    <n v="332"/>
    <x v="646"/>
    <n v="4"/>
    <x v="0"/>
    <x v="8"/>
    <n v="0.58333333333333337"/>
    <x v="1"/>
    <x v="445"/>
  </r>
  <r>
    <s v="Clients_Churn_Part_09.xlsx"/>
    <x v="677"/>
    <x v="12"/>
    <n v="47"/>
    <x v="1"/>
    <n v="149"/>
    <x v="647"/>
    <n v="1"/>
    <x v="1"/>
    <x v="376"/>
    <n v="3.9166666666666665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EC03E-41F3-4C83-A195-AEE8790419EB}" name="SOMME FACTURE ET REMISE PAR PROVINC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H11:I12" firstHeaderRow="0" firstDataRow="1" firstDataCol="0"/>
  <pivotFields count="15">
    <pivotField showAll="0"/>
    <pivotField showAll="0"/>
    <pivotField showAll="0">
      <items count="27">
        <item x="4"/>
        <item h="1" x="17"/>
        <item h="1" x="13"/>
        <item h="1" x="3"/>
        <item h="1" x="14"/>
        <item h="1" x="6"/>
        <item h="1" x="10"/>
        <item h="1" x="11"/>
        <item h="1" x="21"/>
        <item h="1" x="23"/>
        <item h="1" x="2"/>
        <item h="1" x="18"/>
        <item h="1" x="1"/>
        <item h="1" x="8"/>
        <item h="1" x="25"/>
        <item h="1" x="16"/>
        <item h="1" x="5"/>
        <item h="1" x="15"/>
        <item h="1" x="7"/>
        <item h="1" x="22"/>
        <item h="1" x="24"/>
        <item h="1" x="9"/>
        <item h="1" x="12"/>
        <item h="1" x="0"/>
        <item h="1" x="19"/>
        <item h="1" x="20"/>
        <item t="default"/>
      </items>
    </pivotField>
    <pivotField showAll="0"/>
    <pivotField showAll="0"/>
    <pivotField showAll="0"/>
    <pivotField dataField="1" showAll="0">
      <items count="649">
        <item x="6"/>
        <item x="250"/>
        <item x="402"/>
        <item x="37"/>
        <item x="544"/>
        <item x="624"/>
        <item x="31"/>
        <item x="586"/>
        <item x="365"/>
        <item x="8"/>
        <item x="338"/>
        <item x="411"/>
        <item x="321"/>
        <item x="320"/>
        <item x="607"/>
        <item x="137"/>
        <item x="410"/>
        <item x="93"/>
        <item x="479"/>
        <item x="249"/>
        <item x="319"/>
        <item x="178"/>
        <item x="491"/>
        <item x="438"/>
        <item x="49"/>
        <item x="502"/>
        <item x="332"/>
        <item x="504"/>
        <item x="72"/>
        <item x="131"/>
        <item x="318"/>
        <item x="492"/>
        <item x="600"/>
        <item x="352"/>
        <item x="149"/>
        <item x="262"/>
        <item x="70"/>
        <item x="631"/>
        <item x="98"/>
        <item x="2"/>
        <item x="7"/>
        <item x="432"/>
        <item x="169"/>
        <item x="526"/>
        <item x="116"/>
        <item x="548"/>
        <item x="88"/>
        <item x="489"/>
        <item x="218"/>
        <item x="213"/>
        <item x="404"/>
        <item x="421"/>
        <item x="194"/>
        <item x="520"/>
        <item x="73"/>
        <item x="439"/>
        <item x="441"/>
        <item x="460"/>
        <item x="467"/>
        <item x="412"/>
        <item x="58"/>
        <item x="189"/>
        <item x="429"/>
        <item x="308"/>
        <item x="562"/>
        <item x="127"/>
        <item x="224"/>
        <item x="358"/>
        <item x="315"/>
        <item x="423"/>
        <item x="400"/>
        <item x="235"/>
        <item x="637"/>
        <item x="626"/>
        <item x="4"/>
        <item x="62"/>
        <item x="9"/>
        <item x="424"/>
        <item x="204"/>
        <item x="166"/>
        <item x="462"/>
        <item x="190"/>
        <item x="512"/>
        <item x="455"/>
        <item x="350"/>
        <item x="333"/>
        <item x="401"/>
        <item x="536"/>
        <item x="583"/>
        <item x="577"/>
        <item x="556"/>
        <item x="472"/>
        <item x="364"/>
        <item x="119"/>
        <item x="340"/>
        <item x="24"/>
        <item x="608"/>
        <item x="535"/>
        <item x="45"/>
        <item x="208"/>
        <item x="481"/>
        <item x="482"/>
        <item x="275"/>
        <item x="644"/>
        <item x="447"/>
        <item x="391"/>
        <item x="579"/>
        <item x="80"/>
        <item x="289"/>
        <item x="475"/>
        <item x="469"/>
        <item x="75"/>
        <item x="448"/>
        <item x="219"/>
        <item x="452"/>
        <item x="443"/>
        <item x="506"/>
        <item x="558"/>
        <item x="459"/>
        <item x="196"/>
        <item x="485"/>
        <item x="324"/>
        <item x="524"/>
        <item x="84"/>
        <item x="623"/>
        <item x="461"/>
        <item x="639"/>
        <item x="22"/>
        <item x="27"/>
        <item x="528"/>
        <item x="280"/>
        <item x="484"/>
        <item x="647"/>
        <item x="48"/>
        <item x="97"/>
        <item x="197"/>
        <item x="592"/>
        <item x="106"/>
        <item x="111"/>
        <item x="618"/>
        <item x="322"/>
        <item x="96"/>
        <item x="211"/>
        <item x="212"/>
        <item x="361"/>
        <item x="601"/>
        <item x="337"/>
        <item x="582"/>
        <item x="323"/>
        <item x="164"/>
        <item x="434"/>
        <item x="258"/>
        <item x="334"/>
        <item x="431"/>
        <item x="413"/>
        <item x="248"/>
        <item x="336"/>
        <item x="78"/>
        <item x="594"/>
        <item x="591"/>
        <item x="198"/>
        <item x="500"/>
        <item x="46"/>
        <item x="362"/>
        <item x="342"/>
        <item x="69"/>
        <item x="210"/>
        <item x="101"/>
        <item x="281"/>
        <item x="60"/>
        <item x="82"/>
        <item x="451"/>
        <item x="629"/>
        <item x="20"/>
        <item x="516"/>
        <item x="565"/>
        <item x="5"/>
        <item x="341"/>
        <item x="122"/>
        <item x="517"/>
        <item x="490"/>
        <item x="344"/>
        <item x="570"/>
        <item x="554"/>
        <item x="540"/>
        <item x="509"/>
        <item x="385"/>
        <item x="360"/>
        <item x="378"/>
        <item x="61"/>
        <item x="382"/>
        <item x="172"/>
        <item x="185"/>
        <item x="296"/>
        <item x="314"/>
        <item x="63"/>
        <item x="112"/>
        <item x="43"/>
        <item x="215"/>
        <item x="236"/>
        <item x="83"/>
        <item x="182"/>
        <item x="150"/>
        <item x="476"/>
        <item x="425"/>
        <item x="136"/>
        <item x="91"/>
        <item x="67"/>
        <item x="588"/>
        <item x="392"/>
        <item x="14"/>
        <item x="165"/>
        <item x="497"/>
        <item x="635"/>
        <item x="38"/>
        <item x="354"/>
        <item x="302"/>
        <item x="397"/>
        <item x="282"/>
        <item x="231"/>
        <item x="163"/>
        <item x="199"/>
        <item x="642"/>
        <item x="171"/>
        <item x="294"/>
        <item x="522"/>
        <item x="576"/>
        <item x="357"/>
        <item x="370"/>
        <item x="568"/>
        <item x="151"/>
        <item x="108"/>
        <item x="11"/>
        <item x="393"/>
        <item x="381"/>
        <item x="223"/>
        <item x="130"/>
        <item x="329"/>
        <item x="260"/>
        <item x="47"/>
        <item x="95"/>
        <item x="335"/>
        <item x="244"/>
        <item x="368"/>
        <item x="499"/>
        <item x="29"/>
        <item x="76"/>
        <item x="419"/>
        <item x="187"/>
        <item x="267"/>
        <item x="107"/>
        <item x="53"/>
        <item x="3"/>
        <item x="348"/>
        <item x="87"/>
        <item x="426"/>
        <item x="384"/>
        <item x="287"/>
        <item x="604"/>
        <item x="40"/>
        <item x="140"/>
        <item x="538"/>
        <item x="598"/>
        <item x="123"/>
        <item x="183"/>
        <item x="325"/>
        <item x="23"/>
        <item x="30"/>
        <item x="396"/>
        <item x="458"/>
        <item x="55"/>
        <item x="110"/>
        <item x="160"/>
        <item x="355"/>
        <item x="501"/>
        <item x="192"/>
        <item x="200"/>
        <item x="428"/>
        <item x="259"/>
        <item x="94"/>
        <item x="303"/>
        <item x="28"/>
        <item x="103"/>
        <item x="347"/>
        <item x="430"/>
        <item x="121"/>
        <item x="463"/>
        <item x="575"/>
        <item x="277"/>
        <item x="145"/>
        <item x="405"/>
        <item x="152"/>
        <item x="285"/>
        <item x="510"/>
        <item x="105"/>
        <item x="503"/>
        <item x="186"/>
        <item x="256"/>
        <item x="560"/>
        <item x="471"/>
        <item x="156"/>
        <item x="643"/>
        <item x="388"/>
        <item x="351"/>
        <item x="398"/>
        <item x="514"/>
        <item x="383"/>
        <item x="513"/>
        <item x="157"/>
        <item x="567"/>
        <item x="36"/>
        <item x="134"/>
        <item x="126"/>
        <item x="374"/>
        <item x="316"/>
        <item x="153"/>
        <item x="414"/>
        <item x="129"/>
        <item x="563"/>
        <item x="627"/>
        <item x="242"/>
        <item x="120"/>
        <item x="619"/>
        <item x="633"/>
        <item x="376"/>
        <item x="65"/>
        <item x="234"/>
        <item x="229"/>
        <item x="33"/>
        <item x="301"/>
        <item x="508"/>
        <item x="597"/>
        <item x="297"/>
        <item x="273"/>
        <item x="371"/>
        <item x="564"/>
        <item x="237"/>
        <item x="174"/>
        <item x="68"/>
        <item x="356"/>
        <item x="25"/>
        <item x="272"/>
        <item x="21"/>
        <item x="266"/>
        <item x="363"/>
        <item x="366"/>
        <item x="245"/>
        <item x="466"/>
        <item x="390"/>
        <item x="257"/>
        <item x="263"/>
        <item x="599"/>
        <item x="521"/>
        <item x="331"/>
        <item x="487"/>
        <item x="367"/>
        <item x="270"/>
        <item x="239"/>
        <item x="542"/>
        <item x="159"/>
        <item x="109"/>
        <item x="449"/>
        <item x="168"/>
        <item x="616"/>
        <item x="418"/>
        <item x="427"/>
        <item x="444"/>
        <item x="373"/>
        <item x="403"/>
        <item x="264"/>
        <item x="377"/>
        <item x="141"/>
        <item x="375"/>
        <item x="291"/>
        <item x="602"/>
        <item x="417"/>
        <item x="387"/>
        <item x="162"/>
        <item x="620"/>
        <item x="99"/>
        <item x="625"/>
        <item x="10"/>
        <item x="143"/>
        <item x="225"/>
        <item x="622"/>
        <item x="641"/>
        <item x="241"/>
        <item x="202"/>
        <item x="480"/>
        <item x="100"/>
        <item x="158"/>
        <item x="353"/>
        <item x="561"/>
        <item x="408"/>
        <item x="92"/>
        <item x="420"/>
        <item x="606"/>
        <item x="437"/>
        <item x="507"/>
        <item x="422"/>
        <item x="246"/>
        <item x="473"/>
        <item x="515"/>
        <item x="549"/>
        <item x="138"/>
        <item x="343"/>
        <item x="550"/>
        <item x="18"/>
        <item x="569"/>
        <item x="125"/>
        <item x="406"/>
        <item x="632"/>
        <item x="133"/>
        <item x="42"/>
        <item x="113"/>
        <item x="15"/>
        <item x="50"/>
        <item x="559"/>
        <item x="161"/>
        <item x="584"/>
        <item x="307"/>
        <item x="74"/>
        <item x="252"/>
        <item x="539"/>
        <item x="621"/>
        <item x="283"/>
        <item x="453"/>
        <item x="179"/>
        <item x="288"/>
        <item x="468"/>
        <item x="293"/>
        <item x="445"/>
        <item x="518"/>
        <item x="530"/>
        <item x="220"/>
        <item x="446"/>
        <item x="261"/>
        <item x="603"/>
        <item x="292"/>
        <item x="271"/>
        <item x="590"/>
        <item x="310"/>
        <item x="228"/>
        <item x="330"/>
        <item x="175"/>
        <item x="284"/>
        <item x="638"/>
        <item x="227"/>
        <item x="41"/>
        <item x="77"/>
        <item x="541"/>
        <item x="253"/>
        <item x="369"/>
        <item x="214"/>
        <item x="640"/>
        <item x="614"/>
        <item x="523"/>
        <item x="326"/>
        <item x="477"/>
        <item x="380"/>
        <item x="13"/>
        <item x="146"/>
        <item x="395"/>
        <item x="139"/>
        <item x="609"/>
        <item x="525"/>
        <item x="148"/>
        <item x="534"/>
        <item x="450"/>
        <item x="630"/>
        <item x="85"/>
        <item x="81"/>
        <item x="209"/>
        <item x="66"/>
        <item x="486"/>
        <item x="177"/>
        <item x="557"/>
        <item x="589"/>
        <item x="581"/>
        <item x="494"/>
        <item x="298"/>
        <item x="389"/>
        <item x="519"/>
        <item x="216"/>
        <item x="328"/>
        <item x="605"/>
        <item x="617"/>
        <item x="222"/>
        <item x="102"/>
        <item x="118"/>
        <item x="290"/>
        <item x="440"/>
        <item x="580"/>
        <item x="634"/>
        <item x="39"/>
        <item x="86"/>
        <item x="399"/>
        <item x="379"/>
        <item x="59"/>
        <item x="488"/>
        <item x="184"/>
        <item x="52"/>
        <item x="442"/>
        <item x="170"/>
        <item x="470"/>
        <item x="305"/>
        <item x="26"/>
        <item x="232"/>
        <item x="372"/>
        <item x="255"/>
        <item x="566"/>
        <item x="553"/>
        <item x="587"/>
        <item x="386"/>
        <item x="247"/>
        <item x="478"/>
        <item x="415"/>
        <item x="205"/>
        <item x="572"/>
        <item x="54"/>
        <item x="132"/>
        <item x="546"/>
        <item x="135"/>
        <item x="474"/>
        <item x="188"/>
        <item x="464"/>
        <item x="306"/>
        <item x="117"/>
        <item x="299"/>
        <item x="238"/>
        <item x="44"/>
        <item x="537"/>
        <item x="57"/>
        <item x="615"/>
        <item x="593"/>
        <item x="574"/>
        <item x="286"/>
        <item x="636"/>
        <item x="230"/>
        <item x="309"/>
        <item x="12"/>
        <item x="195"/>
        <item x="457"/>
        <item x="646"/>
        <item x="394"/>
        <item x="104"/>
        <item x="1"/>
        <item x="628"/>
        <item x="532"/>
        <item x="433"/>
        <item x="505"/>
        <item x="495"/>
        <item x="114"/>
        <item x="349"/>
        <item x="547"/>
        <item x="416"/>
        <item x="243"/>
        <item x="201"/>
        <item x="339"/>
        <item x="71"/>
        <item x="573"/>
        <item x="90"/>
        <item x="167"/>
        <item x="34"/>
        <item x="155"/>
        <item x="312"/>
        <item x="327"/>
        <item x="493"/>
        <item x="531"/>
        <item x="552"/>
        <item x="180"/>
        <item x="35"/>
        <item x="115"/>
        <item x="173"/>
        <item x="56"/>
        <item x="217"/>
        <item x="295"/>
        <item x="529"/>
        <item x="456"/>
        <item x="359"/>
        <item x="269"/>
        <item x="144"/>
        <item x="51"/>
        <item x="279"/>
        <item x="142"/>
        <item x="16"/>
        <item x="511"/>
        <item x="233"/>
        <item x="17"/>
        <item x="304"/>
        <item x="555"/>
        <item x="407"/>
        <item x="207"/>
        <item x="313"/>
        <item x="278"/>
        <item x="276"/>
        <item x="176"/>
        <item x="610"/>
        <item x="611"/>
        <item x="346"/>
        <item x="154"/>
        <item x="612"/>
        <item x="268"/>
        <item x="545"/>
        <item x="32"/>
        <item x="645"/>
        <item x="585"/>
        <item x="193"/>
        <item x="128"/>
        <item x="317"/>
        <item x="345"/>
        <item x="181"/>
        <item x="124"/>
        <item x="498"/>
        <item x="409"/>
        <item x="496"/>
        <item x="191"/>
        <item x="436"/>
        <item x="435"/>
        <item x="533"/>
        <item x="221"/>
        <item x="240"/>
        <item x="543"/>
        <item x="300"/>
        <item x="226"/>
        <item x="454"/>
        <item x="89"/>
        <item x="79"/>
        <item x="251"/>
        <item x="311"/>
        <item x="64"/>
        <item x="483"/>
        <item x="613"/>
        <item x="147"/>
        <item x="19"/>
        <item x="206"/>
        <item x="595"/>
        <item x="274"/>
        <item x="254"/>
        <item x="571"/>
        <item x="596"/>
        <item x="203"/>
        <item x="578"/>
        <item x="0"/>
        <item x="551"/>
        <item x="465"/>
        <item x="265"/>
        <item x="527"/>
        <item t="default"/>
      </items>
    </pivotField>
    <pivotField showAll="0"/>
    <pivotField showAll="0"/>
    <pivotField numFmtId="21" showAll="0">
      <items count="378">
        <item x="336"/>
        <item x="298"/>
        <item x="226"/>
        <item x="328"/>
        <item x="221"/>
        <item x="123"/>
        <item x="282"/>
        <item x="317"/>
        <item x="196"/>
        <item x="44"/>
        <item x="360"/>
        <item x="180"/>
        <item x="235"/>
        <item x="197"/>
        <item x="211"/>
        <item x="325"/>
        <item x="68"/>
        <item x="116"/>
        <item x="64"/>
        <item x="99"/>
        <item x="247"/>
        <item x="73"/>
        <item x="43"/>
        <item x="302"/>
        <item x="108"/>
        <item x="9"/>
        <item x="135"/>
        <item x="188"/>
        <item x="95"/>
        <item x="55"/>
        <item x="244"/>
        <item x="78"/>
        <item x="296"/>
        <item x="15"/>
        <item x="105"/>
        <item x="27"/>
        <item x="185"/>
        <item x="305"/>
        <item x="231"/>
        <item x="80"/>
        <item x="91"/>
        <item x="202"/>
        <item x="143"/>
        <item x="34"/>
        <item x="13"/>
        <item x="214"/>
        <item x="170"/>
        <item x="307"/>
        <item x="242"/>
        <item x="20"/>
        <item x="313"/>
        <item x="243"/>
        <item x="199"/>
        <item x="36"/>
        <item x="272"/>
        <item x="218"/>
        <item x="227"/>
        <item x="250"/>
        <item x="249"/>
        <item x="163"/>
        <item x="23"/>
        <item x="62"/>
        <item x="275"/>
        <item x="327"/>
        <item x="363"/>
        <item x="94"/>
        <item x="59"/>
        <item x="303"/>
        <item x="341"/>
        <item x="212"/>
        <item x="32"/>
        <item x="175"/>
        <item x="190"/>
        <item x="337"/>
        <item x="92"/>
        <item x="93"/>
        <item x="7"/>
        <item x="223"/>
        <item x="121"/>
        <item x="102"/>
        <item x="287"/>
        <item x="173"/>
        <item x="241"/>
        <item x="229"/>
        <item x="10"/>
        <item x="56"/>
        <item x="50"/>
        <item x="189"/>
        <item x="334"/>
        <item x="151"/>
        <item x="0"/>
        <item x="346"/>
        <item x="293"/>
        <item x="362"/>
        <item x="162"/>
        <item x="18"/>
        <item x="101"/>
        <item x="216"/>
        <item x="291"/>
        <item x="130"/>
        <item x="3"/>
        <item x="41"/>
        <item x="206"/>
        <item x="354"/>
        <item x="225"/>
        <item x="375"/>
        <item x="278"/>
        <item x="297"/>
        <item x="11"/>
        <item x="193"/>
        <item x="48"/>
        <item x="67"/>
        <item x="75"/>
        <item x="213"/>
        <item x="134"/>
        <item x="374"/>
        <item x="306"/>
        <item x="288"/>
        <item x="315"/>
        <item x="376"/>
        <item x="31"/>
        <item x="88"/>
        <item x="124"/>
        <item x="353"/>
        <item x="54"/>
        <item x="96"/>
        <item x="17"/>
        <item x="279"/>
        <item x="333"/>
        <item x="321"/>
        <item x="29"/>
        <item x="263"/>
        <item x="261"/>
        <item x="318"/>
        <item x="259"/>
        <item x="2"/>
        <item x="107"/>
        <item x="347"/>
        <item x="89"/>
        <item x="329"/>
        <item x="167"/>
        <item x="239"/>
        <item x="300"/>
        <item x="74"/>
        <item x="16"/>
        <item x="127"/>
        <item x="57"/>
        <item x="47"/>
        <item x="314"/>
        <item x="255"/>
        <item x="53"/>
        <item x="65"/>
        <item x="146"/>
        <item x="217"/>
        <item x="351"/>
        <item x="126"/>
        <item x="372"/>
        <item x="338"/>
        <item x="330"/>
        <item x="137"/>
        <item x="203"/>
        <item x="310"/>
        <item x="131"/>
        <item x="176"/>
        <item x="284"/>
        <item x="308"/>
        <item x="113"/>
        <item x="98"/>
        <item x="200"/>
        <item x="5"/>
        <item x="138"/>
        <item x="60"/>
        <item x="112"/>
        <item x="331"/>
        <item x="39"/>
        <item x="267"/>
        <item x="153"/>
        <item x="208"/>
        <item x="228"/>
        <item x="365"/>
        <item x="348"/>
        <item x="268"/>
        <item x="357"/>
        <item x="81"/>
        <item x="248"/>
        <item x="192"/>
        <item x="157"/>
        <item x="232"/>
        <item x="141"/>
        <item x="152"/>
        <item x="120"/>
        <item x="179"/>
        <item x="256"/>
        <item x="358"/>
        <item x="373"/>
        <item x="215"/>
        <item x="71"/>
        <item x="258"/>
        <item x="166"/>
        <item x="322"/>
        <item x="323"/>
        <item x="356"/>
        <item x="128"/>
        <item x="165"/>
        <item x="154"/>
        <item x="106"/>
        <item x="19"/>
        <item x="224"/>
        <item x="234"/>
        <item x="155"/>
        <item x="104"/>
        <item x="109"/>
        <item x="117"/>
        <item x="204"/>
        <item x="345"/>
        <item x="366"/>
        <item x="290"/>
        <item x="285"/>
        <item x="187"/>
        <item x="352"/>
        <item x="110"/>
        <item x="21"/>
        <item x="266"/>
        <item x="139"/>
        <item x="219"/>
        <item x="246"/>
        <item x="160"/>
        <item x="271"/>
        <item x="301"/>
        <item x="368"/>
        <item x="1"/>
        <item x="349"/>
        <item x="181"/>
        <item x="103"/>
        <item x="129"/>
        <item x="100"/>
        <item x="51"/>
        <item x="66"/>
        <item x="136"/>
        <item x="149"/>
        <item x="292"/>
        <item x="220"/>
        <item x="205"/>
        <item x="295"/>
        <item x="158"/>
        <item x="222"/>
        <item x="52"/>
        <item x="276"/>
        <item x="148"/>
        <item x="111"/>
        <item x="316"/>
        <item x="40"/>
        <item x="359"/>
        <item x="233"/>
        <item x="87"/>
        <item x="326"/>
        <item x="286"/>
        <item x="8"/>
        <item x="265"/>
        <item x="79"/>
        <item x="320"/>
        <item x="115"/>
        <item x="174"/>
        <item x="253"/>
        <item x="260"/>
        <item x="72"/>
        <item x="147"/>
        <item x="118"/>
        <item x="6"/>
        <item x="12"/>
        <item x="84"/>
        <item x="283"/>
        <item x="269"/>
        <item x="140"/>
        <item x="210"/>
        <item x="63"/>
        <item x="274"/>
        <item x="240"/>
        <item x="299"/>
        <item x="361"/>
        <item x="262"/>
        <item x="90"/>
        <item x="344"/>
        <item x="371"/>
        <item x="61"/>
        <item x="252"/>
        <item x="142"/>
        <item x="150"/>
        <item x="83"/>
        <item x="304"/>
        <item x="332"/>
        <item x="335"/>
        <item x="58"/>
        <item x="245"/>
        <item x="82"/>
        <item x="161"/>
        <item x="183"/>
        <item x="339"/>
        <item x="172"/>
        <item x="340"/>
        <item x="230"/>
        <item x="30"/>
        <item x="309"/>
        <item x="125"/>
        <item x="168"/>
        <item x="77"/>
        <item x="186"/>
        <item x="364"/>
        <item x="25"/>
        <item x="45"/>
        <item x="49"/>
        <item x="159"/>
        <item x="164"/>
        <item x="119"/>
        <item x="251"/>
        <item x="85"/>
        <item x="343"/>
        <item x="370"/>
        <item x="114"/>
        <item x="277"/>
        <item x="132"/>
        <item x="209"/>
        <item x="169"/>
        <item x="144"/>
        <item x="70"/>
        <item x="324"/>
        <item x="319"/>
        <item x="24"/>
        <item x="178"/>
        <item x="369"/>
        <item x="355"/>
        <item x="26"/>
        <item x="33"/>
        <item x="280"/>
        <item x="236"/>
        <item x="264"/>
        <item x="281"/>
        <item x="257"/>
        <item x="42"/>
        <item x="254"/>
        <item x="311"/>
        <item x="289"/>
        <item x="76"/>
        <item x="122"/>
        <item x="273"/>
        <item x="171"/>
        <item x="195"/>
        <item x="35"/>
        <item x="46"/>
        <item x="201"/>
        <item x="198"/>
        <item x="14"/>
        <item x="184"/>
        <item x="194"/>
        <item x="133"/>
        <item x="38"/>
        <item x="350"/>
        <item x="191"/>
        <item x="270"/>
        <item x="177"/>
        <item x="69"/>
        <item x="237"/>
        <item x="156"/>
        <item x="238"/>
        <item x="207"/>
        <item x="145"/>
        <item x="182"/>
        <item x="342"/>
        <item x="37"/>
        <item x="97"/>
        <item x="4"/>
        <item x="294"/>
        <item x="312"/>
        <item x="28"/>
        <item x="86"/>
        <item x="367"/>
        <item x="22"/>
        <item t="default"/>
      </items>
    </pivotField>
    <pivotField numFmtId="1" showAll="0"/>
    <pivotField showAll="0">
      <items count="4">
        <item x="2"/>
        <item x="0"/>
        <item x="1"/>
        <item t="default"/>
      </items>
    </pivotField>
    <pivotField dataField="1" numFmtId="2" showAll="0">
      <items count="447">
        <item x="2"/>
        <item x="400"/>
        <item x="276"/>
        <item x="334"/>
        <item x="414"/>
        <item x="309"/>
        <item x="380"/>
        <item x="41"/>
        <item x="7"/>
        <item x="343"/>
        <item x="268"/>
        <item x="397"/>
        <item x="418"/>
        <item x="262"/>
        <item x="338"/>
        <item x="351"/>
        <item x="355"/>
        <item x="219"/>
        <item x="223"/>
        <item x="40"/>
        <item x="53"/>
        <item x="4"/>
        <item x="251"/>
        <item x="112"/>
        <item x="196"/>
        <item x="59"/>
        <item x="328"/>
        <item x="231"/>
        <item x="70"/>
        <item x="253"/>
        <item x="214"/>
        <item x="416"/>
        <item x="265"/>
        <item x="304"/>
        <item x="5"/>
        <item x="72"/>
        <item x="269"/>
        <item x="25"/>
        <item x="332"/>
        <item x="368"/>
        <item x="201"/>
        <item x="20"/>
        <item x="68"/>
        <item x="427"/>
        <item x="22"/>
        <item x="392"/>
        <item x="99"/>
        <item x="6"/>
        <item x="221"/>
        <item x="255"/>
        <item x="211"/>
        <item x="247"/>
        <item x="249"/>
        <item x="275"/>
        <item x="200"/>
        <item x="60"/>
        <item x="316"/>
        <item x="185"/>
        <item x="115"/>
        <item x="118"/>
        <item x="171"/>
        <item x="324"/>
        <item x="165"/>
        <item x="292"/>
        <item x="34"/>
        <item x="216"/>
        <item x="8"/>
        <item x="336"/>
        <item x="46"/>
        <item x="84"/>
        <item x="339"/>
        <item x="210"/>
        <item x="325"/>
        <item x="195"/>
        <item x="229"/>
        <item x="97"/>
        <item x="180"/>
        <item x="403"/>
        <item x="434"/>
        <item x="65"/>
        <item x="298"/>
        <item x="52"/>
        <item x="143"/>
        <item x="322"/>
        <item x="405"/>
        <item x="353"/>
        <item x="301"/>
        <item x="371"/>
        <item x="323"/>
        <item x="150"/>
        <item x="198"/>
        <item x="146"/>
        <item x="30"/>
        <item x="39"/>
        <item x="347"/>
        <item x="227"/>
        <item x="137"/>
        <item x="58"/>
        <item x="294"/>
        <item x="102"/>
        <item x="277"/>
        <item x="128"/>
        <item x="287"/>
        <item x="204"/>
        <item x="35"/>
        <item x="11"/>
        <item x="202"/>
        <item x="234"/>
        <item x="422"/>
        <item x="284"/>
        <item x="131"/>
        <item x="160"/>
        <item x="224"/>
        <item x="162"/>
        <item x="121"/>
        <item x="438"/>
        <item x="3"/>
        <item x="291"/>
        <item x="290"/>
        <item x="140"/>
        <item x="129"/>
        <item x="0"/>
        <item x="302"/>
        <item x="217"/>
        <item x="361"/>
        <item x="393"/>
        <item x="312"/>
        <item x="239"/>
        <item x="16"/>
        <item x="360"/>
        <item x="31"/>
        <item x="318"/>
        <item x="319"/>
        <item x="187"/>
        <item x="443"/>
        <item x="394"/>
        <item x="194"/>
        <item x="47"/>
        <item x="296"/>
        <item x="151"/>
        <item x="377"/>
        <item x="305"/>
        <item x="133"/>
        <item x="55"/>
        <item x="306"/>
        <item x="440"/>
        <item x="14"/>
        <item x="19"/>
        <item x="190"/>
        <item x="321"/>
        <item x="33"/>
        <item x="64"/>
        <item x="134"/>
        <item x="406"/>
        <item x="424"/>
        <item x="63"/>
        <item x="145"/>
        <item x="237"/>
        <item x="412"/>
        <item x="220"/>
        <item x="396"/>
        <item x="108"/>
        <item x="289"/>
        <item x="50"/>
        <item x="407"/>
        <item x="404"/>
        <item x="135"/>
        <item x="331"/>
        <item x="32"/>
        <item x="238"/>
        <item x="45"/>
        <item x="144"/>
        <item x="191"/>
        <item x="299"/>
        <item x="432"/>
        <item x="383"/>
        <item x="222"/>
        <item x="387"/>
        <item x="341"/>
        <item x="256"/>
        <item x="236"/>
        <item x="254"/>
        <item x="124"/>
        <item x="42"/>
        <item x="73"/>
        <item x="431"/>
        <item x="148"/>
        <item x="163"/>
        <item x="54"/>
        <item x="122"/>
        <item x="98"/>
        <item x="314"/>
        <item x="285"/>
        <item x="87"/>
        <item x="402"/>
        <item x="10"/>
        <item x="26"/>
        <item x="266"/>
        <item x="107"/>
        <item x="379"/>
        <item x="441"/>
        <item x="111"/>
        <item x="349"/>
        <item x="233"/>
        <item x="243"/>
        <item x="385"/>
        <item x="206"/>
        <item x="154"/>
        <item x="178"/>
        <item x="62"/>
        <item x="218"/>
        <item x="170"/>
        <item x="241"/>
        <item x="330"/>
        <item x="21"/>
        <item x="48"/>
        <item x="126"/>
        <item x="226"/>
        <item x="56"/>
        <item x="28"/>
        <item x="90"/>
        <item x="363"/>
        <item x="410"/>
        <item x="78"/>
        <item x="15"/>
        <item x="130"/>
        <item x="136"/>
        <item x="177"/>
        <item x="61"/>
        <item x="225"/>
        <item x="288"/>
        <item x="188"/>
        <item x="94"/>
        <item x="271"/>
        <item x="192"/>
        <item x="342"/>
        <item x="69"/>
        <item x="335"/>
        <item x="125"/>
        <item x="442"/>
        <item x="259"/>
        <item x="267"/>
        <item x="344"/>
        <item x="103"/>
        <item x="82"/>
        <item x="100"/>
        <item x="83"/>
        <item x="381"/>
        <item x="429"/>
        <item x="168"/>
        <item x="77"/>
        <item x="161"/>
        <item x="23"/>
        <item x="340"/>
        <item x="409"/>
        <item x="244"/>
        <item x="382"/>
        <item x="164"/>
        <item x="44"/>
        <item x="232"/>
        <item x="17"/>
        <item x="184"/>
        <item x="13"/>
        <item x="182"/>
        <item x="240"/>
        <item x="261"/>
        <item x="181"/>
        <item x="411"/>
        <item x="348"/>
        <item x="366"/>
        <item x="104"/>
        <item x="71"/>
        <item x="297"/>
        <item x="110"/>
        <item x="281"/>
        <item x="286"/>
        <item x="246"/>
        <item x="270"/>
        <item x="250"/>
        <item x="91"/>
        <item x="248"/>
        <item x="413"/>
        <item x="280"/>
        <item x="258"/>
        <item x="106"/>
        <item x="425"/>
        <item x="66"/>
        <item x="428"/>
        <item x="93"/>
        <item x="155"/>
        <item x="426"/>
        <item x="167"/>
        <item x="138"/>
        <item x="317"/>
        <item x="230"/>
        <item x="282"/>
        <item x="311"/>
        <item x="283"/>
        <item x="172"/>
        <item x="313"/>
        <item x="345"/>
        <item x="372"/>
        <item x="88"/>
        <item x="373"/>
        <item x="386"/>
        <item x="80"/>
        <item x="272"/>
        <item x="435"/>
        <item x="86"/>
        <item x="29"/>
        <item x="74"/>
        <item x="378"/>
        <item x="105"/>
        <item x="398"/>
        <item x="364"/>
        <item x="119"/>
        <item x="193"/>
        <item x="310"/>
        <item x="356"/>
        <item x="152"/>
        <item x="295"/>
        <item x="179"/>
        <item x="415"/>
        <item x="157"/>
        <item x="215"/>
        <item x="439"/>
        <item x="49"/>
        <item x="174"/>
        <item x="242"/>
        <item x="147"/>
        <item x="350"/>
        <item x="252"/>
        <item x="264"/>
        <item x="89"/>
        <item x="419"/>
        <item x="352"/>
        <item x="96"/>
        <item x="359"/>
        <item x="433"/>
        <item x="43"/>
        <item x="117"/>
        <item x="376"/>
        <item x="326"/>
        <item x="197"/>
        <item x="260"/>
        <item x="346"/>
        <item x="213"/>
        <item x="417"/>
        <item x="423"/>
        <item x="153"/>
        <item x="67"/>
        <item x="76"/>
        <item x="293"/>
        <item x="395"/>
        <item x="436"/>
        <item x="27"/>
        <item x="388"/>
        <item x="123"/>
        <item x="36"/>
        <item x="18"/>
        <item x="245"/>
        <item x="176"/>
        <item x="384"/>
        <item x="375"/>
        <item x="401"/>
        <item x="257"/>
        <item x="173"/>
        <item x="315"/>
        <item x="278"/>
        <item x="390"/>
        <item x="37"/>
        <item x="85"/>
        <item x="370"/>
        <item x="127"/>
        <item x="307"/>
        <item x="203"/>
        <item x="75"/>
        <item x="81"/>
        <item x="362"/>
        <item x="391"/>
        <item x="437"/>
        <item x="158"/>
        <item x="205"/>
        <item x="9"/>
        <item x="132"/>
        <item x="445"/>
        <item x="263"/>
        <item x="1"/>
        <item x="430"/>
        <item x="358"/>
        <item x="337"/>
        <item x="327"/>
        <item x="279"/>
        <item x="169"/>
        <item x="109"/>
        <item x="208"/>
        <item x="212"/>
        <item x="357"/>
        <item x="374"/>
        <item x="120"/>
        <item x="24"/>
        <item x="113"/>
        <item x="38"/>
        <item x="149"/>
        <item x="303"/>
        <item x="235"/>
        <item x="183"/>
        <item x="92"/>
        <item x="114"/>
        <item x="159"/>
        <item x="273"/>
        <item x="142"/>
        <item x="209"/>
        <item x="189"/>
        <item x="116"/>
        <item x="420"/>
        <item x="421"/>
        <item x="101"/>
        <item x="369"/>
        <item x="444"/>
        <item x="399"/>
        <item x="79"/>
        <item x="329"/>
        <item x="274"/>
        <item x="333"/>
        <item x="228"/>
        <item x="166"/>
        <item x="367"/>
        <item x="199"/>
        <item x="156"/>
        <item x="300"/>
        <item x="57"/>
        <item x="51"/>
        <item x="365"/>
        <item x="207"/>
        <item x="320"/>
        <item x="95"/>
        <item x="12"/>
        <item x="141"/>
        <item x="186"/>
        <item x="175"/>
        <item x="389"/>
        <item x="408"/>
        <item x="139"/>
        <item x="308"/>
        <item x="354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me de Facture_Mensuelle" fld="6" baseField="2" baseItem="0" numFmtId="2"/>
    <dataField name="Somme de Montant_Remise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6AE5DB-D336-42BA-A64F-392AF6AB51DF}" name="TYPE DE CLIENT PAR PROVINCE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de client">
  <location ref="D11:E14" firstHeaderRow="1" firstDataRow="1" firstDataCol="1"/>
  <pivotFields count="15">
    <pivotField showAll="0"/>
    <pivotField dataField="1" showAll="0"/>
    <pivotField showAll="0">
      <items count="27">
        <item x="4"/>
        <item h="1" x="17"/>
        <item h="1" x="13"/>
        <item h="1" x="3"/>
        <item h="1" x="14"/>
        <item h="1" x="6"/>
        <item h="1" x="10"/>
        <item h="1" x="11"/>
        <item h="1" x="21"/>
        <item h="1" x="23"/>
        <item h="1" x="2"/>
        <item h="1" x="18"/>
        <item h="1" x="1"/>
        <item h="1" x="8"/>
        <item h="1" x="25"/>
        <item h="1" x="16"/>
        <item h="1" x="5"/>
        <item h="1" x="15"/>
        <item h="1" x="7"/>
        <item h="1" x="22"/>
        <item h="1" x="24"/>
        <item h="1" x="9"/>
        <item h="1" x="12"/>
        <item h="1" x="0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21" showAll="0">
      <items count="378">
        <item x="336"/>
        <item x="298"/>
        <item x="226"/>
        <item x="328"/>
        <item x="221"/>
        <item x="123"/>
        <item x="282"/>
        <item x="317"/>
        <item x="196"/>
        <item x="44"/>
        <item x="360"/>
        <item x="180"/>
        <item x="235"/>
        <item x="197"/>
        <item x="211"/>
        <item x="325"/>
        <item x="68"/>
        <item x="116"/>
        <item x="64"/>
        <item x="99"/>
        <item x="247"/>
        <item x="73"/>
        <item x="43"/>
        <item x="302"/>
        <item x="108"/>
        <item x="9"/>
        <item x="135"/>
        <item x="188"/>
        <item x="95"/>
        <item x="55"/>
        <item x="244"/>
        <item x="78"/>
        <item x="296"/>
        <item x="15"/>
        <item x="105"/>
        <item x="27"/>
        <item x="185"/>
        <item x="305"/>
        <item x="231"/>
        <item x="80"/>
        <item x="91"/>
        <item x="202"/>
        <item x="143"/>
        <item x="34"/>
        <item x="13"/>
        <item x="214"/>
        <item x="170"/>
        <item x="307"/>
        <item x="242"/>
        <item x="20"/>
        <item x="313"/>
        <item x="243"/>
        <item x="199"/>
        <item x="36"/>
        <item x="272"/>
        <item x="218"/>
        <item x="227"/>
        <item x="250"/>
        <item x="249"/>
        <item x="163"/>
        <item x="23"/>
        <item x="62"/>
        <item x="275"/>
        <item x="327"/>
        <item x="363"/>
        <item x="94"/>
        <item x="59"/>
        <item x="303"/>
        <item x="341"/>
        <item x="212"/>
        <item x="32"/>
        <item x="175"/>
        <item x="190"/>
        <item x="337"/>
        <item x="92"/>
        <item x="93"/>
        <item x="7"/>
        <item x="223"/>
        <item x="121"/>
        <item x="102"/>
        <item x="287"/>
        <item x="173"/>
        <item x="241"/>
        <item x="229"/>
        <item x="10"/>
        <item x="56"/>
        <item x="50"/>
        <item x="189"/>
        <item x="334"/>
        <item x="151"/>
        <item x="0"/>
        <item x="346"/>
        <item x="293"/>
        <item x="362"/>
        <item x="162"/>
        <item x="18"/>
        <item x="101"/>
        <item x="216"/>
        <item x="291"/>
        <item x="130"/>
        <item x="3"/>
        <item x="41"/>
        <item x="206"/>
        <item x="354"/>
        <item x="225"/>
        <item x="375"/>
        <item x="278"/>
        <item x="297"/>
        <item x="11"/>
        <item x="193"/>
        <item x="48"/>
        <item x="67"/>
        <item x="75"/>
        <item x="213"/>
        <item x="134"/>
        <item x="374"/>
        <item x="306"/>
        <item x="288"/>
        <item x="315"/>
        <item x="376"/>
        <item x="31"/>
        <item x="88"/>
        <item x="124"/>
        <item x="353"/>
        <item x="54"/>
        <item x="96"/>
        <item x="17"/>
        <item x="279"/>
        <item x="333"/>
        <item x="321"/>
        <item x="29"/>
        <item x="263"/>
        <item x="261"/>
        <item x="318"/>
        <item x="259"/>
        <item x="2"/>
        <item x="107"/>
        <item x="347"/>
        <item x="89"/>
        <item x="329"/>
        <item x="167"/>
        <item x="239"/>
        <item x="300"/>
        <item x="74"/>
        <item x="16"/>
        <item x="127"/>
        <item x="57"/>
        <item x="47"/>
        <item x="314"/>
        <item x="255"/>
        <item x="53"/>
        <item x="65"/>
        <item x="146"/>
        <item x="217"/>
        <item x="351"/>
        <item x="126"/>
        <item x="372"/>
        <item x="338"/>
        <item x="330"/>
        <item x="137"/>
        <item x="203"/>
        <item x="310"/>
        <item x="131"/>
        <item x="176"/>
        <item x="284"/>
        <item x="308"/>
        <item x="113"/>
        <item x="98"/>
        <item x="200"/>
        <item x="5"/>
        <item x="138"/>
        <item x="60"/>
        <item x="112"/>
        <item x="331"/>
        <item x="39"/>
        <item x="267"/>
        <item x="153"/>
        <item x="208"/>
        <item x="228"/>
        <item x="365"/>
        <item x="348"/>
        <item x="268"/>
        <item x="357"/>
        <item x="81"/>
        <item x="248"/>
        <item x="192"/>
        <item x="157"/>
        <item x="232"/>
        <item x="141"/>
        <item x="152"/>
        <item x="120"/>
        <item x="179"/>
        <item x="256"/>
        <item x="358"/>
        <item x="373"/>
        <item x="215"/>
        <item x="71"/>
        <item x="258"/>
        <item x="166"/>
        <item x="322"/>
        <item x="323"/>
        <item x="356"/>
        <item x="128"/>
        <item x="165"/>
        <item x="154"/>
        <item x="106"/>
        <item x="19"/>
        <item x="224"/>
        <item x="234"/>
        <item x="155"/>
        <item x="104"/>
        <item x="109"/>
        <item x="117"/>
        <item x="204"/>
        <item x="345"/>
        <item x="366"/>
        <item x="290"/>
        <item x="285"/>
        <item x="187"/>
        <item x="352"/>
        <item x="110"/>
        <item x="21"/>
        <item x="266"/>
        <item x="139"/>
        <item x="219"/>
        <item x="246"/>
        <item x="160"/>
        <item x="271"/>
        <item x="301"/>
        <item x="368"/>
        <item x="1"/>
        <item x="349"/>
        <item x="181"/>
        <item x="103"/>
        <item x="129"/>
        <item x="100"/>
        <item x="51"/>
        <item x="66"/>
        <item x="136"/>
        <item x="149"/>
        <item x="292"/>
        <item x="220"/>
        <item x="205"/>
        <item x="295"/>
        <item x="158"/>
        <item x="222"/>
        <item x="52"/>
        <item x="276"/>
        <item x="148"/>
        <item x="111"/>
        <item x="316"/>
        <item x="40"/>
        <item x="359"/>
        <item x="233"/>
        <item x="87"/>
        <item x="326"/>
        <item x="286"/>
        <item x="8"/>
        <item x="265"/>
        <item x="79"/>
        <item x="320"/>
        <item x="115"/>
        <item x="174"/>
        <item x="253"/>
        <item x="260"/>
        <item x="72"/>
        <item x="147"/>
        <item x="118"/>
        <item x="6"/>
        <item x="12"/>
        <item x="84"/>
        <item x="283"/>
        <item x="269"/>
        <item x="140"/>
        <item x="210"/>
        <item x="63"/>
        <item x="274"/>
        <item x="240"/>
        <item x="299"/>
        <item x="361"/>
        <item x="262"/>
        <item x="90"/>
        <item x="344"/>
        <item x="371"/>
        <item x="61"/>
        <item x="252"/>
        <item x="142"/>
        <item x="150"/>
        <item x="83"/>
        <item x="304"/>
        <item x="332"/>
        <item x="335"/>
        <item x="58"/>
        <item x="245"/>
        <item x="82"/>
        <item x="161"/>
        <item x="183"/>
        <item x="339"/>
        <item x="172"/>
        <item x="340"/>
        <item x="230"/>
        <item x="30"/>
        <item x="309"/>
        <item x="125"/>
        <item x="168"/>
        <item x="77"/>
        <item x="186"/>
        <item x="364"/>
        <item x="25"/>
        <item x="45"/>
        <item x="49"/>
        <item x="159"/>
        <item x="164"/>
        <item x="119"/>
        <item x="251"/>
        <item x="85"/>
        <item x="343"/>
        <item x="370"/>
        <item x="114"/>
        <item x="277"/>
        <item x="132"/>
        <item x="209"/>
        <item x="169"/>
        <item x="144"/>
        <item x="70"/>
        <item x="324"/>
        <item x="319"/>
        <item x="24"/>
        <item x="178"/>
        <item x="369"/>
        <item x="355"/>
        <item x="26"/>
        <item x="33"/>
        <item x="280"/>
        <item x="236"/>
        <item x="264"/>
        <item x="281"/>
        <item x="257"/>
        <item x="42"/>
        <item x="254"/>
        <item x="311"/>
        <item x="289"/>
        <item x="76"/>
        <item x="122"/>
        <item x="273"/>
        <item x="171"/>
        <item x="195"/>
        <item x="35"/>
        <item x="46"/>
        <item x="201"/>
        <item x="198"/>
        <item x="14"/>
        <item x="184"/>
        <item x="194"/>
        <item x="133"/>
        <item x="38"/>
        <item x="350"/>
        <item x="191"/>
        <item x="270"/>
        <item x="177"/>
        <item x="69"/>
        <item x="237"/>
        <item x="156"/>
        <item x="238"/>
        <item x="207"/>
        <item x="145"/>
        <item x="182"/>
        <item x="342"/>
        <item x="37"/>
        <item x="97"/>
        <item x="4"/>
        <item x="294"/>
        <item x="312"/>
        <item x="28"/>
        <item x="86"/>
        <item x="367"/>
        <item x="22"/>
        <item t="default"/>
      </items>
    </pivotField>
    <pivotField numFmtId="1" showAll="0"/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Nombre de 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25B65-130C-4E6B-B4BD-3FA5264212BF}" name="NOMBRE CLIENT GENERAL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B11:B12" firstHeaderRow="1" firstDataRow="1" firstDataCol="0"/>
  <pivotFields count="15">
    <pivotField showAll="0"/>
    <pivotField dataField="1" showAll="0">
      <items count="6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t="default"/>
      </items>
    </pivotField>
    <pivotField showAll="0">
      <items count="27">
        <item x="4"/>
        <item h="1" x="17"/>
        <item h="1" x="13"/>
        <item h="1" x="3"/>
        <item h="1" x="14"/>
        <item h="1" x="6"/>
        <item h="1" x="10"/>
        <item h="1" x="11"/>
        <item h="1" x="21"/>
        <item h="1" x="23"/>
        <item h="1" x="2"/>
        <item h="1" x="18"/>
        <item h="1" x="1"/>
        <item h="1" x="8"/>
        <item h="1" x="25"/>
        <item h="1" x="16"/>
        <item h="1" x="5"/>
        <item h="1" x="15"/>
        <item h="1" x="7"/>
        <item h="1" x="22"/>
        <item h="1" x="24"/>
        <item h="1" x="9"/>
        <item h="1" x="12"/>
        <item h="1" x="0"/>
        <item h="1" x="19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numFmtId="21" showAll="0">
      <items count="378">
        <item x="336"/>
        <item x="298"/>
        <item x="226"/>
        <item x="328"/>
        <item x="221"/>
        <item x="123"/>
        <item x="282"/>
        <item x="317"/>
        <item x="196"/>
        <item x="44"/>
        <item x="360"/>
        <item x="180"/>
        <item x="235"/>
        <item x="197"/>
        <item x="211"/>
        <item x="325"/>
        <item x="68"/>
        <item x="116"/>
        <item x="64"/>
        <item x="99"/>
        <item x="247"/>
        <item x="73"/>
        <item x="43"/>
        <item x="302"/>
        <item x="108"/>
        <item x="9"/>
        <item x="135"/>
        <item x="188"/>
        <item x="95"/>
        <item x="55"/>
        <item x="244"/>
        <item x="78"/>
        <item x="296"/>
        <item x="15"/>
        <item x="105"/>
        <item x="27"/>
        <item x="185"/>
        <item x="305"/>
        <item x="231"/>
        <item x="80"/>
        <item x="91"/>
        <item x="202"/>
        <item x="143"/>
        <item x="34"/>
        <item x="13"/>
        <item x="214"/>
        <item x="170"/>
        <item x="307"/>
        <item x="242"/>
        <item x="20"/>
        <item x="313"/>
        <item x="243"/>
        <item x="199"/>
        <item x="36"/>
        <item x="272"/>
        <item x="218"/>
        <item x="227"/>
        <item x="250"/>
        <item x="249"/>
        <item x="163"/>
        <item x="23"/>
        <item x="62"/>
        <item x="275"/>
        <item x="327"/>
        <item x="363"/>
        <item x="94"/>
        <item x="59"/>
        <item x="303"/>
        <item x="341"/>
        <item x="212"/>
        <item x="32"/>
        <item x="175"/>
        <item x="190"/>
        <item x="337"/>
        <item x="92"/>
        <item x="93"/>
        <item x="7"/>
        <item x="223"/>
        <item x="121"/>
        <item x="102"/>
        <item x="287"/>
        <item x="173"/>
        <item x="241"/>
        <item x="229"/>
        <item x="10"/>
        <item x="56"/>
        <item x="50"/>
        <item x="189"/>
        <item x="334"/>
        <item x="151"/>
        <item x="0"/>
        <item x="346"/>
        <item x="293"/>
        <item x="362"/>
        <item x="162"/>
        <item x="18"/>
        <item x="101"/>
        <item x="216"/>
        <item x="291"/>
        <item x="130"/>
        <item x="3"/>
        <item x="41"/>
        <item x="206"/>
        <item x="354"/>
        <item x="225"/>
        <item x="375"/>
        <item x="278"/>
        <item x="297"/>
        <item x="11"/>
        <item x="193"/>
        <item x="48"/>
        <item x="67"/>
        <item x="75"/>
        <item x="213"/>
        <item x="134"/>
        <item x="374"/>
        <item x="306"/>
        <item x="288"/>
        <item x="315"/>
        <item x="376"/>
        <item x="31"/>
        <item x="88"/>
        <item x="124"/>
        <item x="353"/>
        <item x="54"/>
        <item x="96"/>
        <item x="17"/>
        <item x="279"/>
        <item x="333"/>
        <item x="321"/>
        <item x="29"/>
        <item x="263"/>
        <item x="261"/>
        <item x="318"/>
        <item x="259"/>
        <item x="2"/>
        <item x="107"/>
        <item x="347"/>
        <item x="89"/>
        <item x="329"/>
        <item x="167"/>
        <item x="239"/>
        <item x="300"/>
        <item x="74"/>
        <item x="16"/>
        <item x="127"/>
        <item x="57"/>
        <item x="47"/>
        <item x="314"/>
        <item x="255"/>
        <item x="53"/>
        <item x="65"/>
        <item x="146"/>
        <item x="217"/>
        <item x="351"/>
        <item x="126"/>
        <item x="372"/>
        <item x="338"/>
        <item x="330"/>
        <item x="137"/>
        <item x="203"/>
        <item x="310"/>
        <item x="131"/>
        <item x="176"/>
        <item x="284"/>
        <item x="308"/>
        <item x="113"/>
        <item x="98"/>
        <item x="200"/>
        <item x="5"/>
        <item x="138"/>
        <item x="60"/>
        <item x="112"/>
        <item x="331"/>
        <item x="39"/>
        <item x="267"/>
        <item x="153"/>
        <item x="208"/>
        <item x="228"/>
        <item x="365"/>
        <item x="348"/>
        <item x="268"/>
        <item x="357"/>
        <item x="81"/>
        <item x="248"/>
        <item x="192"/>
        <item x="157"/>
        <item x="232"/>
        <item x="141"/>
        <item x="152"/>
        <item x="120"/>
        <item x="179"/>
        <item x="256"/>
        <item x="358"/>
        <item x="373"/>
        <item x="215"/>
        <item x="71"/>
        <item x="258"/>
        <item x="166"/>
        <item x="322"/>
        <item x="323"/>
        <item x="356"/>
        <item x="128"/>
        <item x="165"/>
        <item x="154"/>
        <item x="106"/>
        <item x="19"/>
        <item x="224"/>
        <item x="234"/>
        <item x="155"/>
        <item x="104"/>
        <item x="109"/>
        <item x="117"/>
        <item x="204"/>
        <item x="345"/>
        <item x="366"/>
        <item x="290"/>
        <item x="285"/>
        <item x="187"/>
        <item x="352"/>
        <item x="110"/>
        <item x="21"/>
        <item x="266"/>
        <item x="139"/>
        <item x="219"/>
        <item x="246"/>
        <item x="160"/>
        <item x="271"/>
        <item x="301"/>
        <item x="368"/>
        <item x="1"/>
        <item x="349"/>
        <item x="181"/>
        <item x="103"/>
        <item x="129"/>
        <item x="100"/>
        <item x="51"/>
        <item x="66"/>
        <item x="136"/>
        <item x="149"/>
        <item x="292"/>
        <item x="220"/>
        <item x="205"/>
        <item x="295"/>
        <item x="158"/>
        <item x="222"/>
        <item x="52"/>
        <item x="276"/>
        <item x="148"/>
        <item x="111"/>
        <item x="316"/>
        <item x="40"/>
        <item x="359"/>
        <item x="233"/>
        <item x="87"/>
        <item x="326"/>
        <item x="286"/>
        <item x="8"/>
        <item x="265"/>
        <item x="79"/>
        <item x="320"/>
        <item x="115"/>
        <item x="174"/>
        <item x="253"/>
        <item x="260"/>
        <item x="72"/>
        <item x="147"/>
        <item x="118"/>
        <item x="6"/>
        <item x="12"/>
        <item x="84"/>
        <item x="283"/>
        <item x="269"/>
        <item x="140"/>
        <item x="210"/>
        <item x="63"/>
        <item x="274"/>
        <item x="240"/>
        <item x="299"/>
        <item x="361"/>
        <item x="262"/>
        <item x="90"/>
        <item x="344"/>
        <item x="371"/>
        <item x="61"/>
        <item x="252"/>
        <item x="142"/>
        <item x="150"/>
        <item x="83"/>
        <item x="304"/>
        <item x="332"/>
        <item x="335"/>
        <item x="58"/>
        <item x="245"/>
        <item x="82"/>
        <item x="161"/>
        <item x="183"/>
        <item x="339"/>
        <item x="172"/>
        <item x="340"/>
        <item x="230"/>
        <item x="30"/>
        <item x="309"/>
        <item x="125"/>
        <item x="168"/>
        <item x="77"/>
        <item x="186"/>
        <item x="364"/>
        <item x="25"/>
        <item x="45"/>
        <item x="49"/>
        <item x="159"/>
        <item x="164"/>
        <item x="119"/>
        <item x="251"/>
        <item x="85"/>
        <item x="343"/>
        <item x="370"/>
        <item x="114"/>
        <item x="277"/>
        <item x="132"/>
        <item x="209"/>
        <item x="169"/>
        <item x="144"/>
        <item x="70"/>
        <item x="324"/>
        <item x="319"/>
        <item x="24"/>
        <item x="178"/>
        <item x="369"/>
        <item x="355"/>
        <item x="26"/>
        <item x="33"/>
        <item x="280"/>
        <item x="236"/>
        <item x="264"/>
        <item x="281"/>
        <item x="257"/>
        <item x="42"/>
        <item x="254"/>
        <item x="311"/>
        <item x="289"/>
        <item x="76"/>
        <item x="122"/>
        <item x="273"/>
        <item x="171"/>
        <item x="195"/>
        <item x="35"/>
        <item x="46"/>
        <item x="201"/>
        <item x="198"/>
        <item x="14"/>
        <item x="184"/>
        <item x="194"/>
        <item x="133"/>
        <item x="38"/>
        <item x="350"/>
        <item x="191"/>
        <item x="270"/>
        <item x="177"/>
        <item x="69"/>
        <item x="237"/>
        <item x="156"/>
        <item x="238"/>
        <item x="207"/>
        <item x="145"/>
        <item x="182"/>
        <item x="342"/>
        <item x="37"/>
        <item x="97"/>
        <item x="4"/>
        <item x="294"/>
        <item x="312"/>
        <item x="28"/>
        <item x="86"/>
        <item x="367"/>
        <item x="22"/>
        <item t="default"/>
      </items>
    </pivotField>
    <pivotField numFmtId="1" showAll="0"/>
    <pivotField showAll="0"/>
    <pivotField numFmtId="2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Nombre de clie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B12FE-D170-4EAF-8909-614CA19BEB00}" name="SOMME FACTURE PAR TYPE DE FORFAIT 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de forfait">
  <location ref="K11:L16" firstHeaderRow="1" firstDataRow="1" firstDataCol="1"/>
  <pivotFields count="15">
    <pivotField showAll="0"/>
    <pivotField showAll="0"/>
    <pivotField showAll="0">
      <items count="27">
        <item x="4"/>
        <item h="1" x="17"/>
        <item h="1" x="13"/>
        <item h="1" x="3"/>
        <item h="1" x="14"/>
        <item h="1" x="6"/>
        <item h="1" x="10"/>
        <item h="1" x="11"/>
        <item h="1" x="21"/>
        <item h="1" x="23"/>
        <item h="1" x="2"/>
        <item h="1" x="18"/>
        <item h="1" x="1"/>
        <item h="1" x="8"/>
        <item h="1" x="25"/>
        <item h="1" x="16"/>
        <item h="1" x="5"/>
        <item h="1" x="15"/>
        <item h="1" x="7"/>
        <item h="1" x="22"/>
        <item h="1" x="24"/>
        <item h="1" x="9"/>
        <item h="1" x="12"/>
        <item h="1" x="0"/>
        <item h="1" x="19"/>
        <item h="1" x="20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numFmtId="21" showAll="0">
      <items count="378">
        <item x="336"/>
        <item x="298"/>
        <item x="226"/>
        <item x="328"/>
        <item x="221"/>
        <item x="123"/>
        <item x="282"/>
        <item x="317"/>
        <item x="196"/>
        <item x="44"/>
        <item x="360"/>
        <item x="180"/>
        <item x="235"/>
        <item x="197"/>
        <item x="211"/>
        <item x="325"/>
        <item x="68"/>
        <item x="116"/>
        <item x="64"/>
        <item x="99"/>
        <item x="247"/>
        <item x="73"/>
        <item x="43"/>
        <item x="302"/>
        <item x="108"/>
        <item x="9"/>
        <item x="135"/>
        <item x="188"/>
        <item x="95"/>
        <item x="55"/>
        <item x="244"/>
        <item x="78"/>
        <item x="296"/>
        <item x="15"/>
        <item x="105"/>
        <item x="27"/>
        <item x="185"/>
        <item x="305"/>
        <item x="231"/>
        <item x="80"/>
        <item x="91"/>
        <item x="202"/>
        <item x="143"/>
        <item x="34"/>
        <item x="13"/>
        <item x="214"/>
        <item x="170"/>
        <item x="307"/>
        <item x="242"/>
        <item x="20"/>
        <item x="313"/>
        <item x="243"/>
        <item x="199"/>
        <item x="36"/>
        <item x="272"/>
        <item x="218"/>
        <item x="227"/>
        <item x="250"/>
        <item x="249"/>
        <item x="163"/>
        <item x="23"/>
        <item x="62"/>
        <item x="275"/>
        <item x="327"/>
        <item x="363"/>
        <item x="94"/>
        <item x="59"/>
        <item x="303"/>
        <item x="341"/>
        <item x="212"/>
        <item x="32"/>
        <item x="175"/>
        <item x="190"/>
        <item x="337"/>
        <item x="92"/>
        <item x="93"/>
        <item x="7"/>
        <item x="223"/>
        <item x="121"/>
        <item x="102"/>
        <item x="287"/>
        <item x="173"/>
        <item x="241"/>
        <item x="229"/>
        <item x="10"/>
        <item x="56"/>
        <item x="50"/>
        <item x="189"/>
        <item x="334"/>
        <item x="151"/>
        <item x="0"/>
        <item x="346"/>
        <item x="293"/>
        <item x="362"/>
        <item x="162"/>
        <item x="18"/>
        <item x="101"/>
        <item x="216"/>
        <item x="291"/>
        <item x="130"/>
        <item x="3"/>
        <item x="41"/>
        <item x="206"/>
        <item x="354"/>
        <item x="225"/>
        <item x="375"/>
        <item x="278"/>
        <item x="297"/>
        <item x="11"/>
        <item x="193"/>
        <item x="48"/>
        <item x="67"/>
        <item x="75"/>
        <item x="213"/>
        <item x="134"/>
        <item x="374"/>
        <item x="306"/>
        <item x="288"/>
        <item x="315"/>
        <item x="376"/>
        <item x="31"/>
        <item x="88"/>
        <item x="124"/>
        <item x="353"/>
        <item x="54"/>
        <item x="96"/>
        <item x="17"/>
        <item x="279"/>
        <item x="333"/>
        <item x="321"/>
        <item x="29"/>
        <item x="263"/>
        <item x="261"/>
        <item x="318"/>
        <item x="259"/>
        <item x="2"/>
        <item x="107"/>
        <item x="347"/>
        <item x="89"/>
        <item x="329"/>
        <item x="167"/>
        <item x="239"/>
        <item x="300"/>
        <item x="74"/>
        <item x="16"/>
        <item x="127"/>
        <item x="57"/>
        <item x="47"/>
        <item x="314"/>
        <item x="255"/>
        <item x="53"/>
        <item x="65"/>
        <item x="146"/>
        <item x="217"/>
        <item x="351"/>
        <item x="126"/>
        <item x="372"/>
        <item x="338"/>
        <item x="330"/>
        <item x="137"/>
        <item x="203"/>
        <item x="310"/>
        <item x="131"/>
        <item x="176"/>
        <item x="284"/>
        <item x="308"/>
        <item x="113"/>
        <item x="98"/>
        <item x="200"/>
        <item x="5"/>
        <item x="138"/>
        <item x="60"/>
        <item x="112"/>
        <item x="331"/>
        <item x="39"/>
        <item x="267"/>
        <item x="153"/>
        <item x="208"/>
        <item x="228"/>
        <item x="365"/>
        <item x="348"/>
        <item x="268"/>
        <item x="357"/>
        <item x="81"/>
        <item x="248"/>
        <item x="192"/>
        <item x="157"/>
        <item x="232"/>
        <item x="141"/>
        <item x="152"/>
        <item x="120"/>
        <item x="179"/>
        <item x="256"/>
        <item x="358"/>
        <item x="373"/>
        <item x="215"/>
        <item x="71"/>
        <item x="258"/>
        <item x="166"/>
        <item x="322"/>
        <item x="323"/>
        <item x="356"/>
        <item x="128"/>
        <item x="165"/>
        <item x="154"/>
        <item x="106"/>
        <item x="19"/>
        <item x="224"/>
        <item x="234"/>
        <item x="155"/>
        <item x="104"/>
        <item x="109"/>
        <item x="117"/>
        <item x="204"/>
        <item x="345"/>
        <item x="366"/>
        <item x="290"/>
        <item x="285"/>
        <item x="187"/>
        <item x="352"/>
        <item x="110"/>
        <item x="21"/>
        <item x="266"/>
        <item x="139"/>
        <item x="219"/>
        <item x="246"/>
        <item x="160"/>
        <item x="271"/>
        <item x="301"/>
        <item x="368"/>
        <item x="1"/>
        <item x="349"/>
        <item x="181"/>
        <item x="103"/>
        <item x="129"/>
        <item x="100"/>
        <item x="51"/>
        <item x="66"/>
        <item x="136"/>
        <item x="149"/>
        <item x="292"/>
        <item x="220"/>
        <item x="205"/>
        <item x="295"/>
        <item x="158"/>
        <item x="222"/>
        <item x="52"/>
        <item x="276"/>
        <item x="148"/>
        <item x="111"/>
        <item x="316"/>
        <item x="40"/>
        <item x="359"/>
        <item x="233"/>
        <item x="87"/>
        <item x="326"/>
        <item x="286"/>
        <item x="8"/>
        <item x="265"/>
        <item x="79"/>
        <item x="320"/>
        <item x="115"/>
        <item x="174"/>
        <item x="253"/>
        <item x="260"/>
        <item x="72"/>
        <item x="147"/>
        <item x="118"/>
        <item x="6"/>
        <item x="12"/>
        <item x="84"/>
        <item x="283"/>
        <item x="269"/>
        <item x="140"/>
        <item x="210"/>
        <item x="63"/>
        <item x="274"/>
        <item x="240"/>
        <item x="299"/>
        <item x="361"/>
        <item x="262"/>
        <item x="90"/>
        <item x="344"/>
        <item x="371"/>
        <item x="61"/>
        <item x="252"/>
        <item x="142"/>
        <item x="150"/>
        <item x="83"/>
        <item x="304"/>
        <item x="332"/>
        <item x="335"/>
        <item x="58"/>
        <item x="245"/>
        <item x="82"/>
        <item x="161"/>
        <item x="183"/>
        <item x="339"/>
        <item x="172"/>
        <item x="340"/>
        <item x="230"/>
        <item x="30"/>
        <item x="309"/>
        <item x="125"/>
        <item x="168"/>
        <item x="77"/>
        <item x="186"/>
        <item x="364"/>
        <item x="25"/>
        <item x="45"/>
        <item x="49"/>
        <item x="159"/>
        <item x="164"/>
        <item x="119"/>
        <item x="251"/>
        <item x="85"/>
        <item x="343"/>
        <item x="370"/>
        <item x="114"/>
        <item x="277"/>
        <item x="132"/>
        <item x="209"/>
        <item x="169"/>
        <item x="144"/>
        <item x="70"/>
        <item x="324"/>
        <item x="319"/>
        <item x="24"/>
        <item x="178"/>
        <item x="369"/>
        <item x="355"/>
        <item x="26"/>
        <item x="33"/>
        <item x="280"/>
        <item x="236"/>
        <item x="264"/>
        <item x="281"/>
        <item x="257"/>
        <item x="42"/>
        <item x="254"/>
        <item x="311"/>
        <item x="289"/>
        <item x="76"/>
        <item x="122"/>
        <item x="273"/>
        <item x="171"/>
        <item x="195"/>
        <item x="35"/>
        <item x="46"/>
        <item x="201"/>
        <item x="198"/>
        <item x="14"/>
        <item x="184"/>
        <item x="194"/>
        <item x="133"/>
        <item x="38"/>
        <item x="350"/>
        <item x="191"/>
        <item x="270"/>
        <item x="177"/>
        <item x="69"/>
        <item x="237"/>
        <item x="156"/>
        <item x="238"/>
        <item x="207"/>
        <item x="145"/>
        <item x="182"/>
        <item x="342"/>
        <item x="37"/>
        <item x="97"/>
        <item x="4"/>
        <item x="294"/>
        <item x="312"/>
        <item x="28"/>
        <item x="86"/>
        <item x="367"/>
        <item x="22"/>
        <item t="default"/>
      </items>
    </pivotField>
    <pivotField numFmtId="1" showAll="0"/>
    <pivotField showAll="0"/>
    <pivotField numFmtId="2"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Facture_Mensuelle" fld="6" baseField="0" baseItem="0"/>
  </dataFields>
  <formats count="2">
    <format dxfId="60">
      <pivotArea dataOnly="0" grandRow="1" axis="axisRow" fieldPosition="0"/>
    </format>
    <format dxfId="59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F43EC-93DB-4ED4-84F7-13DDBCB6C2E3}" name="Tableau croisé dynamique3" cacheId="13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echnologie et_x000a__x000a_ Equipementier">
  <location ref="L11:M28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2">
    <field x="0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Nombre de Statut_Resolution" fld="1" subtotal="count" baseField="0" baseItem="0"/>
  </dataFields>
  <formats count="5">
    <format dxfId="11">
      <pivotArea dataOnly="0" labelOnly="1" outline="0" axis="axisValues" fieldPosition="0"/>
    </format>
    <format dxfId="10">
      <pivotArea dataOnly="0" labelOnly="1" grandRow="1" outline="0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grandRow="1" outline="0" collapsedLevelsAreSubtotals="1" fieldPosition="0"/>
    </format>
  </formats>
  <pivotHierarchies count="17">
    <pivotHierarchy dragToData="1"/>
    <pivotHierarchy dragToData="1"/>
    <pivotHierarchy dragToData="1"/>
    <pivotHierarchy dragToData="1"/>
    <pivotHierarchy dragToData="1">
      <members count="2" level="1">
        <member name="[LOGS_Rx5].[Statut_Resolution].&amp;[En Cours]"/>
        <member name="[LOGS_Rx5].[Statut_Resolution].&amp;[Non Résolu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_TELCO.xlsx!LOGS_Rx5">
        <x15:activeTabTopLevelEntity name="[LOGS_Rx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EFF87-F068-4C29-A32F-E61837EBAAD3}" name="MOYENNE ABONNEE IMPACTEES" cacheId="9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ype de Statut Antenne">
  <location ref="H11:J14" firstHeaderRow="0" firstDataRow="1" firstDataCol="1"/>
  <pivotFields count="4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Statut Antenne" fld="1" subtotal="count" baseField="0" baseItem="0"/>
    <dataField fld="2" subtotal="count" baseField="0" baseItem="0"/>
  </dataFields>
  <formats count="8">
    <format dxfId="23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grandRow="1" outline="0" fieldPosition="0"/>
    </format>
    <format dxfId="20">
      <pivotArea dataOnly="0" labelOnly="1" grandRow="1" outline="0" fieldPosition="0"/>
    </format>
    <format dxfId="19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x5].[Province_RDC].&amp;[Kasai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ombre de Statut Antenne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_TELCO.xlsx!LOGS_Rx5">
        <x15:activeTabTopLevelEntity name="[LOGS_Rx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2BF86A-C8D2-46B7-B677-AA88D2E310C1}" name="EQUIPEMENTIER PAR TECHNOLOGIE" cacheId="93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rowHeaderCaption="Equipementier par _x000a_technologie">
  <location ref="E11:F23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2">
    <field x="0"/>
    <field x="1"/>
  </rowFields>
  <rowItems count="12">
    <i>
      <x/>
    </i>
    <i r="1">
      <x/>
    </i>
    <i>
      <x v="1"/>
    </i>
    <i r="1">
      <x v="1"/>
    </i>
    <i r="1">
      <x v="2"/>
    </i>
    <i r="1">
      <x/>
    </i>
    <i>
      <x v="2"/>
    </i>
    <i r="1">
      <x/>
    </i>
    <i>
      <x v="3"/>
    </i>
    <i r="1">
      <x v="1"/>
    </i>
    <i r="1">
      <x v="2"/>
    </i>
    <i t="grand">
      <x/>
    </i>
  </rowItems>
  <colItems count="1">
    <i/>
  </colItems>
  <dataFields count="1">
    <dataField name="Antenne" fld="2" subtotal="count" baseField="0" baseItem="0"/>
  </dataFields>
  <formats count="11">
    <format dxfId="32">
      <pivotArea field="0" type="button" dataOnly="0" labelOnly="1" outline="0" axis="axisRow" fieldPosition="0"/>
    </format>
    <format dxfId="31">
      <pivotArea field="0" type="button" dataOnly="0" labelOnly="1" outline="0" axis="axisRow" fieldPosition="0"/>
    </format>
    <format dxfId="30">
      <pivotArea dataOnly="0" labelOnly="1" outline="0" axis="axisValues" fieldPosition="0"/>
    </format>
    <format dxfId="29">
      <pivotArea dataOnly="0" labelOnly="1" outline="0" axis="axisValues" fieldPosition="0"/>
    </format>
    <format dxfId="28">
      <pivotArea dataOnly="0" labelOnly="1" grandRow="1" outline="0" fieldPosition="0"/>
    </format>
    <format dxfId="27">
      <pivotArea dataOnly="0" labelOnly="1" grandRow="1" outline="0" fieldPosition="0"/>
    </format>
    <format dxfId="26">
      <pivotArea grandRow="1" outline="0" collapsedLevelsAreSubtotals="1" fieldPosition="0"/>
    </format>
    <format dxfId="25">
      <pivotArea grandRow="1" outline="0" collapsedLevelsAreSubtotals="1" fieldPosition="0"/>
    </format>
    <format dxfId="24">
      <pivotArea field="0" type="button" dataOnly="0" labelOnly="1" outline="0" axis="axisRow" fieldPosition="0"/>
    </format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x5].[Province_RDC].&amp;[Kasai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ntenne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_TELCO.xlsx!LOGS_Rx5">
        <x15:activeTabTopLevelEntity name="[LOGS_Rx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5D9C8-320D-46F0-8E7C-BBADAFB0847C}" name="SOUS CATEGORIE" cacheId="9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Technologie">
  <location ref="B11:C15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ntenne" fld="1" subtotal="count" baseField="0" baseItem="0"/>
  </dataFields>
  <formats count="9">
    <format dxfId="39">
      <pivotArea dataOnly="0" labelOnly="1" outline="0" axis="axisValues" fieldPosition="0"/>
    </format>
    <format dxfId="38">
      <pivotArea field="0" type="button" dataOnly="0" labelOnly="1" outline="0" axis="axisRow" fieldPosition="0"/>
    </format>
    <format dxfId="37">
      <pivotArea dataOnly="0" labelOnly="1" outline="0" axis="axisValues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dataOnly="0" labelOnly="1" grandRow="1" outline="0" fieldPosition="0"/>
    </format>
    <format dxfId="33">
      <pivotArea grandRow="1"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outline="0" axis="axisValues" fieldPosition="0"/>
    </format>
  </formats>
  <pivotHierarchies count="1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GS_Rx5].[Province_RDC].&amp;[Kasai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ntenn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KADEA_TELCO.xlsx!LOGS_Rx5">
        <x15:activeTabTopLevelEntity name="[LOGS_Rx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A409A66B-34CC-4CC8-B5BC-54A0CF4112BC}" autoFormatId="16" applyNumberFormats="0" applyBorderFormats="0" applyFontFormats="0" applyPatternFormats="0" applyAlignmentFormats="0" applyWidthHeightFormats="0">
  <queryTableRefresh nextId="14" unboundColumnsRight="6">
    <queryTableFields count="11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  <queryTableField id="6" dataBound="0" tableColumnId="6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3CA2297-7C72-4DA1-9758-D63FCE97532A}" autoFormatId="16" applyNumberFormats="0" applyBorderFormats="0" applyFontFormats="0" applyPatternFormats="0" applyAlignmentFormats="0" applyWidthHeightFormats="0">
  <queryTableRefresh nextId="15" unboundColumnsRight="5">
    <queryTableFields count="13">
      <queryTableField id="1" name="Source.Name" tableColumnId="1"/>
      <queryTableField id="2" name="ID_Client" tableColumnId="2"/>
      <queryTableField id="3" name="Province_Client" tableColumnId="3"/>
      <queryTableField id="4" name="Anciennete_Mois" tableColumnId="4"/>
      <queryTableField id="5" name="Type_Forfait" tableColumnId="5"/>
      <queryTableField id="6" name="Duree_Cumulee_Panne_Min" tableColumnId="6"/>
      <queryTableField id="7" name="Facture_Mensuelle" tableColumnId="7"/>
      <queryTableField id="8" name="Plaintes_Service_Client" tableColumnId="8"/>
      <queryTableField id="10" dataBound="0" tableColumnId="9"/>
      <queryTableField id="11" dataBound="0" tableColumnId="10"/>
      <queryTableField id="12" dataBound="0" tableColumnId="11"/>
      <queryTableField id="13" dataBound="0" tableColumnId="12"/>
      <queryTableField id="14" dataBound="0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8" xr16:uid="{9F639D31-B0DE-4F49-90B6-F3960D405409}" autoFormatId="16" applyNumberFormats="0" applyBorderFormats="0" applyFontFormats="0" applyPatternFormats="0" applyAlignmentFormats="0" applyWidthHeightFormats="0">
  <queryTableRefresh nextId="6">
    <queryTableFields count="5">
      <queryTableField id="1" name="Source.Name" tableColumnId="1"/>
      <queryTableField id="2" name="Date_Heure_Panne" tableColumnId="2"/>
      <queryTableField id="3" name="Cell_ID" tableColumnId="3"/>
      <queryTableField id="4" name="Duree_Panne_Min" tableColumnId="4"/>
      <queryTableField id="5" name="Statut_Resolution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2" xr16:uid="{757BFEED-EF86-4AE7-8FC5-931B1BEC7B3A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ID_Antenne" tableColumnId="2"/>
      <queryTableField id="3" name="Province_RDC" tableColumnId="3"/>
      <queryTableField id="4" name="Latitude" tableColumnId="4"/>
      <queryTableField id="5" name="Longitude" tableColumnId="5"/>
      <queryTableField id="6" name="Technologie" tableColumnId="6"/>
      <queryTableField id="7" name="Equipementier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RDC" xr10:uid="{04CCB2B9-5244-4183-93EC-65EDA746D122}" sourceName="[LOGS_Rx5].[Province_RDC]">
  <pivotTables>
    <pivotTable tabId="21" name="MOYENNE ABONNEE IMPACTEES"/>
    <pivotTable tabId="21" name="EQUIPEMENTIER PAR TECHNOLOGIE"/>
    <pivotTable tabId="21" name="SOUS CATEGORIE"/>
  </pivotTables>
  <data>
    <olap pivotCacheId="1795037072">
      <levels count="2">
        <level uniqueName="[LOGS_Rx5].[Province_RDC].[(All)]" sourceCaption="(All)" count="0"/>
        <level uniqueName="[LOGS_Rx5].[Province_RDC].[Province_RDC]" sourceCaption="Province_RDC" count="26">
          <ranges>
            <range startItem="0">
              <i n="[LOGS_Rx5].[Province_RDC].&amp;[Bas-Uele]" c="Bas-Uele"/>
              <i n="[LOGS_Rx5].[Province_RDC].&amp;[Equateur]" c="Equateur"/>
              <i n="[LOGS_Rx5].[Province_RDC].&amp;[Haut-Katanga]" c="Haut-Katanga"/>
              <i n="[LOGS_Rx5].[Province_RDC].&amp;[Haut-Lomami]" c="Haut-Lomami"/>
              <i n="[LOGS_Rx5].[Province_RDC].&amp;[Haut-Uele]" c="Haut-Uele"/>
              <i n="[LOGS_Rx5].[Province_RDC].&amp;[Ituri]" c="Ituri"/>
              <i n="[LOGS_Rx5].[Province_RDC].&amp;[Kasai]" c="Kasai"/>
              <i n="[LOGS_Rx5].[Province_RDC].&amp;[Kasai-Central]" c="Kasai-Central"/>
              <i n="[LOGS_Rx5].[Province_RDC].&amp;[Kasai-Oriental]" c="Kasai-Oriental"/>
              <i n="[LOGS_Rx5].[Province_RDC].&amp;[Kinshasa]" c="Kinshasa"/>
              <i n="[LOGS_Rx5].[Province_RDC].&amp;[Kongo-Central]" c="Kongo-Central"/>
              <i n="[LOGS_Rx5].[Province_RDC].&amp;[Kwango]" c="Kwango"/>
              <i n="[LOGS_Rx5].[Province_RDC].&amp;[Kwilu]" c="Kwilu"/>
              <i n="[LOGS_Rx5].[Province_RDC].&amp;[Lomami]" c="Lomami"/>
              <i n="[LOGS_Rx5].[Province_RDC].&amp;[Lualaba]" c="Lualaba"/>
              <i n="[LOGS_Rx5].[Province_RDC].&amp;[Mai-Ndombe]" c="Mai-Ndombe"/>
              <i n="[LOGS_Rx5].[Province_RDC].&amp;[Maniema]" c="Maniema"/>
              <i n="[LOGS_Rx5].[Province_RDC].&amp;[Mongala]" c="Mongala"/>
              <i n="[LOGS_Rx5].[Province_RDC].&amp;[Nord-Kivu]" c="Nord-Kivu"/>
              <i n="[LOGS_Rx5].[Province_RDC].&amp;[Nord-Ubangi]" c="Nord-Ubangi"/>
              <i n="[LOGS_Rx5].[Province_RDC].&amp;[Sankuru]" c="Sankuru"/>
              <i n="[LOGS_Rx5].[Province_RDC].&amp;[Sud-Kivu]" c="Sud-Kivu"/>
              <i n="[LOGS_Rx5].[Province_RDC].&amp;[Sud-Ubangi]" c="Sud-Ubangi"/>
              <i n="[LOGS_Rx5].[Province_RDC].&amp;[Tanganyika]" c="Tanganyika"/>
              <i n="[LOGS_Rx5].[Province_RDC].&amp;[Tshopo]" c="Tshopo"/>
              <i n="[LOGS_Rx5].[Province_RDC].&amp;[Tshuapa]" c="Tshuapa"/>
            </range>
          </ranges>
        </level>
      </levels>
      <selections count="1">
        <selection n="[LOGS_Rx5].[Province_RDC].&amp;[Kasai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vince_Client" xr10:uid="{DE4570BF-7676-414B-9518-C6A15D6FC441}" sourceName="Province_Client">
  <pivotTables>
    <pivotTable tabId="22" name="SOMME FACTURE PAR TYPE DE FORFAIT "/>
    <pivotTable tabId="22" name="NOMBRE CLIENT GENERAL"/>
    <pivotTable tabId="22" name="SOMME FACTURE ET REMISE PAR PROVINCE"/>
    <pivotTable tabId="22" name="TYPE DE CLIENT PAR PROVINCE"/>
  </pivotTables>
  <data>
    <tabular pivotCacheId="2122167289">
      <items count="26">
        <i x="4" s="1"/>
        <i x="17"/>
        <i x="13"/>
        <i x="3"/>
        <i x="14"/>
        <i x="6"/>
        <i x="10"/>
        <i x="11"/>
        <i x="21"/>
        <i x="23"/>
        <i x="2"/>
        <i x="18"/>
        <i x="1"/>
        <i x="8"/>
        <i x="25"/>
        <i x="16"/>
        <i x="5"/>
        <i x="15"/>
        <i x="7"/>
        <i x="22"/>
        <i x="24"/>
        <i x="9"/>
        <i x="12"/>
        <i x="0"/>
        <i x="19"/>
        <i x="2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Client" xr10:uid="{C3465396-3E6A-4EA2-B097-B1A505673263}" cache="Segment_Province_Client" caption="Province_Client" columnCount="13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vince_RDC" xr10:uid="{D95925CD-141B-4257-93E0-BD688BE02753}" cache="Segment_Province_RDC" caption="Province_RDC" columnCount="13" level="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B2698-7204-4448-8073-C591C8CD4729}" name="LOGS_Rx5" displayName="LOGS_Rx5" ref="A1:K548" tableType="queryTable" totalsRowShown="0">
  <autoFilter ref="A1:K548" xr:uid="{3D70AB2A-8003-4E64-AE95-AC1E63B4C490}"/>
  <sortState xmlns:xlrd2="http://schemas.microsoft.com/office/spreadsheetml/2017/richdata2" ref="A2:J548">
    <sortCondition ref="C1:C548"/>
  </sortState>
  <tableColumns count="11">
    <tableColumn id="1" xr3:uid="{85AD4917-7951-4107-8C4F-EAEEF2D2BFDD}" uniqueName="1" name="Source.Name" queryTableFieldId="1" dataDxfId="70"/>
    <tableColumn id="2" xr3:uid="{BBC15A67-F929-4DF4-A6B5-AEFBAEAFC31E}" uniqueName="2" name="Date_Heure_Panne" queryTableFieldId="2" dataDxfId="69"/>
    <tableColumn id="3" xr3:uid="{CE4AE781-A04C-48AE-BCE6-3F11D5648487}" uniqueName="3" name="Cell_ID" queryTableFieldId="3" dataDxfId="68"/>
    <tableColumn id="4" xr3:uid="{4729BA41-B853-4316-85D6-2B1A43DDD3A4}" uniqueName="4" name="Duree_Panne_Min" queryTableFieldId="4"/>
    <tableColumn id="5" xr3:uid="{7186005A-64A6-4CFE-B363-42D02BB16905}" uniqueName="5" name="Statut_Resolution" queryTableFieldId="5" dataDxfId="67"/>
    <tableColumn id="6" xr3:uid="{F949F08F-8769-4DFB-A868-D33EBAB434D0}" uniqueName="6" name="Province_RDC" queryTableFieldId="6" dataDxfId="66">
      <calculatedColumnFormula>VLOOKUP(C2,REGISTRE!B:G,2,FALSE)</calculatedColumnFormula>
    </tableColumn>
    <tableColumn id="9" xr3:uid="{379012B8-84F8-4D7A-A628-98FB20F7D5B4}" uniqueName="9" name="Latitude" queryTableFieldId="9" dataDxfId="65">
      <calculatedColumnFormula>VLOOKUP(C2,REGISTRE!B:G,3,FALSE)</calculatedColumnFormula>
    </tableColumn>
    <tableColumn id="10" xr3:uid="{995183D2-902F-4ED2-8B83-2568EA0F1314}" uniqueName="10" name="longitude" queryTableFieldId="10" dataDxfId="64">
      <calculatedColumnFormula>VLOOKUP(C2,REGISTRE!B:G,4,FALSE)</calculatedColumnFormula>
    </tableColumn>
    <tableColumn id="11" xr3:uid="{FF422AB9-A75C-4CD9-AE4D-0FA8AA4F26EC}" uniqueName="11" name="Technologie" queryTableFieldId="11" dataDxfId="63">
      <calculatedColumnFormula>VLOOKUP(C2,REGISTRE!B:G,5,FALSE)</calculatedColumnFormula>
    </tableColumn>
    <tableColumn id="12" xr3:uid="{5157A62B-03D7-4B18-BC70-9A85622E428F}" uniqueName="12" name="Equipementier" queryTableFieldId="12" dataDxfId="62">
      <calculatedColumnFormula>VLOOKUP(C2,REGISTRE!B:G,6,FALSE)</calculatedColumnFormula>
    </tableColumn>
    <tableColumn id="7" xr3:uid="{B41EB884-500D-450C-A6CE-A590503F8E51}" uniqueName="7" name="Duree_Panne_Heure" queryTableFieldId="13" dataDxfId="61">
      <calculatedColumnFormula>INT(LOGS_Rx5[[#This Row],[Duree_Panne_Min]]/60) &amp; " h " &amp; MOD(LOGS_Rx5[[#This Row],[Duree_Panne_Min]],60) &amp; " min " &amp; "0 s"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85902-B3A3-47E5-9F09-53101CA1C31A}" name="CLIENT" displayName="CLIENT" ref="A1:M679" tableType="queryTable" totalsRowShown="0">
  <autoFilter ref="A1:M679" xr:uid="{41D85902-B3A3-47E5-9F09-53101CA1C31A}"/>
  <sortState xmlns:xlrd2="http://schemas.microsoft.com/office/spreadsheetml/2017/richdata2" ref="A2:H679">
    <sortCondition ref="B1:B679"/>
  </sortState>
  <tableColumns count="13">
    <tableColumn id="1" xr3:uid="{73A915D6-3126-4D4F-856C-94ADCCA35094}" uniqueName="1" name="Source.Name" queryTableFieldId="1" dataDxfId="58"/>
    <tableColumn id="2" xr3:uid="{5DD5E359-93D3-41AF-9D0A-A2750FFCC241}" uniqueName="2" name="ID_Client" queryTableFieldId="2" dataDxfId="57"/>
    <tableColumn id="3" xr3:uid="{0F49B0C9-A0C8-4ACE-919A-17E62268794D}" uniqueName="3" name="Province_Client" queryTableFieldId="3" dataDxfId="56"/>
    <tableColumn id="4" xr3:uid="{D003A138-5770-4806-A86D-EB3F05EA1D38}" uniqueName="4" name="Anciennete_Mois" queryTableFieldId="4"/>
    <tableColumn id="5" xr3:uid="{8D13AD87-2535-4D05-88DE-32E680790D02}" uniqueName="5" name="Type_Forfait" queryTableFieldId="5" dataDxfId="55"/>
    <tableColumn id="6" xr3:uid="{070BB2E0-072E-4FF2-AC70-3102986D178B}" uniqueName="6" name="Duree_Cumulee_Panne_Min" queryTableFieldId="6" dataDxfId="54"/>
    <tableColumn id="7" xr3:uid="{BA49588D-9058-4F26-B60F-891B69A04242}" uniqueName="7" name="Facture_Mensuelle" queryTableFieldId="7"/>
    <tableColumn id="8" xr3:uid="{789A90EE-A76E-462B-A8F4-0FB735953A01}" uniqueName="8" name="Plaintes_Service_Client" queryTableFieldId="8"/>
    <tableColumn id="9" xr3:uid="{83EFEDE8-74CB-4A44-B343-DF1C5BECC716}" uniqueName="9" name="Type_Client" queryTableFieldId="10" dataDxfId="53">
      <calculatedColumnFormula>IF(E3="Pro Monde","B2B","B2C")</calculatedColumnFormula>
    </tableColumn>
    <tableColumn id="10" xr3:uid="{BB691908-8102-4A99-9457-60E25A9E55B7}" uniqueName="10" name="Panne_Heure" queryTableFieldId="11" dataDxfId="52">
      <calculatedColumnFormula>CLIENT[[#This Row],[Duree_Cumulee_Panne_Min]]/1440</calculatedColumnFormula>
    </tableColumn>
    <tableColumn id="11" xr3:uid="{8A53E0E5-D096-44DF-975D-090517D350AF}" uniqueName="11" name="Anciennete_Annee" queryTableFieldId="12" dataDxfId="51">
      <calculatedColumnFormula>CLIENT[[#This Row],[Anciennete_Mois]]/12</calculatedColumnFormula>
    </tableColumn>
    <tableColumn id="12" xr3:uid="{6D6956A2-E5EA-4651-9801-AD38813A8365}" uniqueName="12" name="Remise" queryTableFieldId="13" dataDxfId="50">
      <calculatedColumnFormula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calculatedColumnFormula>
    </tableColumn>
    <tableColumn id="13" xr3:uid="{E257E15C-E015-402C-A83B-AFA6AE221632}" uniqueName="13" name="Montant_Remise" queryTableFieldId="14" dataDxfId="49">
      <calculatedColumnFormula>CLIENT[[#This Row],[Facture_Mensuelle]]*CLIENT[[#This Row],[Remise]]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70AB2A-8003-4E64-AE95-AC1E63B4C490}" name="LOGS_Rx" displayName="LOGS_Rx" ref="A1:E1069" tableType="queryTable" totalsRowShown="0">
  <autoFilter ref="A1:E1069" xr:uid="{3D70AB2A-8003-4E64-AE95-AC1E63B4C490}"/>
  <sortState xmlns:xlrd2="http://schemas.microsoft.com/office/spreadsheetml/2017/richdata2" ref="A2:E1069">
    <sortCondition ref="C1:C1069"/>
  </sortState>
  <tableColumns count="5">
    <tableColumn id="1" xr3:uid="{5D28CDC4-E4B6-4B59-9316-2828AD279826}" uniqueName="1" name="Source.Name" queryTableFieldId="1" dataDxfId="48"/>
    <tableColumn id="2" xr3:uid="{34F64CD1-1DA4-4452-A044-DDC5EE4F49EE}" uniqueName="2" name="Date_Heure_Panne" queryTableFieldId="2" dataDxfId="47"/>
    <tableColumn id="3" xr3:uid="{6F71C6EF-DFC5-4A7E-94A6-E37A523437F7}" uniqueName="3" name="Cell_ID" queryTableFieldId="3" dataDxfId="46"/>
    <tableColumn id="4" xr3:uid="{CF2FFAEB-61BB-4FF2-B6F0-2CDAA3247388}" uniqueName="4" name="Duree_Panne_Min" queryTableFieldId="4"/>
    <tableColumn id="5" xr3:uid="{F3602DAE-3C5E-4B60-93EC-EB8CA4BB7E32}" uniqueName="5" name="Statut_Resolution" queryTableFieldId="5" data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BD725A-52D4-4B6B-AADD-A8105246CAA0}" name="MAINTENANCE" displayName="MAINTENANCE" ref="A1:G499" tableType="queryTable" totalsRowShown="0">
  <autoFilter ref="A1:G499" xr:uid="{A0BD725A-52D4-4B6B-AADD-A8105246CAA0}"/>
  <sortState xmlns:xlrd2="http://schemas.microsoft.com/office/spreadsheetml/2017/richdata2" ref="A2:G499">
    <sortCondition ref="B1:B499"/>
  </sortState>
  <tableColumns count="7">
    <tableColumn id="1" xr3:uid="{25982E6B-469C-4552-9893-51A5F8672714}" uniqueName="1" name="Source.Name" queryTableFieldId="1" dataDxfId="44"/>
    <tableColumn id="2" xr3:uid="{CEC475E6-AC87-4310-A6E4-AAADFFB8242D}" uniqueName="2" name="ID_Antenne" queryTableFieldId="2" dataDxfId="43"/>
    <tableColumn id="3" xr3:uid="{05C5432C-8DD2-49B3-B093-84D84A4CB3F4}" uniqueName="3" name="Province_RDC" queryTableFieldId="3" dataDxfId="42"/>
    <tableColumn id="4" xr3:uid="{C16CC69E-E936-442D-BD4A-3071D7D1EC6B}" uniqueName="4" name="Latitude" queryTableFieldId="4"/>
    <tableColumn id="5" xr3:uid="{86EE3ABB-41AF-4FB1-9517-9123E7AA965C}" uniqueName="5" name="Longitude" queryTableFieldId="5"/>
    <tableColumn id="6" xr3:uid="{3E0DEF7E-2E0C-4383-9074-5F81C05B0F8E}" uniqueName="6" name="Technologie" queryTableFieldId="6" dataDxfId="41"/>
    <tableColumn id="7" xr3:uid="{7D521FDE-B291-4E7D-BE1A-F819EEDA03AD}" uniqueName="7" name="Equipementier" queryTableFieldId="7" dataDxfId="4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DE98-6599-470F-9907-3E94DACF0B0F}">
  <sheetPr>
    <tabColor rgb="FFFF0000"/>
  </sheetPr>
  <dimension ref="A1:K548"/>
  <sheetViews>
    <sheetView topLeftCell="A2" workbookViewId="0">
      <selection sqref="A1:K548"/>
    </sheetView>
  </sheetViews>
  <sheetFormatPr baseColWidth="10" defaultRowHeight="14.5" x14ac:dyDescent="0.35"/>
  <cols>
    <col min="1" max="1" width="22.08984375" bestFit="1" customWidth="1"/>
    <col min="2" max="2" width="22.90625" style="2" customWidth="1"/>
    <col min="3" max="3" width="11.26953125" customWidth="1"/>
    <col min="4" max="4" width="18.1796875" bestFit="1" customWidth="1"/>
    <col min="5" max="5" width="18" bestFit="1" customWidth="1"/>
    <col min="6" max="6" width="14.90625" bestFit="1" customWidth="1"/>
    <col min="7" max="7" width="10.453125" bestFit="1" customWidth="1"/>
    <col min="8" max="8" width="11" bestFit="1" customWidth="1"/>
    <col min="9" max="9" width="13.1796875" bestFit="1" customWidth="1"/>
    <col min="10" max="10" width="15.453125" bestFit="1" customWidth="1"/>
    <col min="11" max="11" width="20.08984375" bestFit="1" customWidth="1"/>
  </cols>
  <sheetData>
    <row r="1" spans="1:11" x14ac:dyDescent="0.35">
      <c r="A1" s="1" t="s">
        <v>0</v>
      </c>
      <c r="B1" s="2" t="s">
        <v>729</v>
      </c>
      <c r="C1" t="s">
        <v>730</v>
      </c>
      <c r="D1" t="s">
        <v>731</v>
      </c>
      <c r="E1" t="s">
        <v>732</v>
      </c>
      <c r="F1" t="s">
        <v>1426</v>
      </c>
      <c r="G1" t="s">
        <v>1427</v>
      </c>
      <c r="H1" t="s">
        <v>1624</v>
      </c>
      <c r="I1" t="s">
        <v>1429</v>
      </c>
      <c r="J1" t="s">
        <v>1430</v>
      </c>
      <c r="K1" t="s">
        <v>1633</v>
      </c>
    </row>
    <row r="2" spans="1:11" x14ac:dyDescent="0.35">
      <c r="A2" s="1" t="s">
        <v>733</v>
      </c>
      <c r="B2" s="2">
        <v>45211.279166666667</v>
      </c>
      <c r="C2" s="1" t="s">
        <v>766</v>
      </c>
      <c r="D2">
        <v>75</v>
      </c>
      <c r="E2" s="1" t="s">
        <v>735</v>
      </c>
      <c r="F2" s="1" t="str">
        <f>VLOOKUP(C2,REGISTRE!B:G,2,FALSE)</f>
        <v>Nord-Ubangi</v>
      </c>
      <c r="G2" s="1">
        <f>VLOOKUP(C2,REGISTRE!B:G,3,FALSE)</f>
        <v>-8.1437910000000002</v>
      </c>
      <c r="H2" s="1">
        <f>VLOOKUP(C2,REGISTRE!B:G,4,FALSE)</f>
        <v>28.946161</v>
      </c>
      <c r="I2" s="1" t="str">
        <f>VLOOKUP(C2,REGISTRE!B:G,5,FALSE)</f>
        <v>4G</v>
      </c>
      <c r="J2" s="1" t="str">
        <f>VLOOKUP(C2,REGISTRE!B:G,6,FALSE)</f>
        <v>ZTE</v>
      </c>
      <c r="K2" s="1" t="str">
        <f>INT(LOGS_Rx5[[#This Row],[Duree_Panne_Min]]/60) &amp; " h " &amp; MOD(LOGS_Rx5[[#This Row],[Duree_Panne_Min]],60) &amp; " min " &amp; "0 s"</f>
        <v>1 h 15 min 0 s</v>
      </c>
    </row>
    <row r="3" spans="1:11" x14ac:dyDescent="0.35">
      <c r="A3" s="1" t="s">
        <v>1294</v>
      </c>
      <c r="B3" s="2">
        <v>45205.013888888891</v>
      </c>
      <c r="C3" s="1" t="s">
        <v>766</v>
      </c>
      <c r="D3">
        <v>35</v>
      </c>
      <c r="E3" s="1" t="s">
        <v>738</v>
      </c>
      <c r="F3" s="1" t="str">
        <f>VLOOKUP(C3,REGISTRE!B:G,2,FALSE)</f>
        <v>Nord-Ubangi</v>
      </c>
      <c r="G3" s="1">
        <f>VLOOKUP(C3,REGISTRE!B:G,3,FALSE)</f>
        <v>-8.1437910000000002</v>
      </c>
      <c r="H3" s="1">
        <f>VLOOKUP(C3,REGISTRE!B:G,4,FALSE)</f>
        <v>28.946161</v>
      </c>
      <c r="I3" s="1" t="str">
        <f>VLOOKUP(C3,REGISTRE!B:G,5,FALSE)</f>
        <v>4G</v>
      </c>
      <c r="J3" s="1" t="str">
        <f>VLOOKUP(C3,REGISTRE!B:G,6,FALSE)</f>
        <v>ZTE</v>
      </c>
      <c r="K3" s="1" t="str">
        <f>INT(LOGS_Rx5[[#This Row],[Duree_Panne_Min]]/60) &amp; " h " &amp; MOD(LOGS_Rx5[[#This Row],[Duree_Panne_Min]],60) &amp; " min " &amp; "0 s"</f>
        <v>0 h 35 min 0 s</v>
      </c>
    </row>
    <row r="4" spans="1:11" x14ac:dyDescent="0.35">
      <c r="A4" s="1" t="s">
        <v>1368</v>
      </c>
      <c r="B4" s="2">
        <v>45203.517361111109</v>
      </c>
      <c r="C4" s="1" t="s">
        <v>766</v>
      </c>
      <c r="D4">
        <v>26</v>
      </c>
      <c r="E4" s="1" t="s">
        <v>735</v>
      </c>
      <c r="F4" s="1" t="str">
        <f>VLOOKUP(C4,REGISTRE!B:G,2,FALSE)</f>
        <v>Nord-Ubangi</v>
      </c>
      <c r="G4" s="1">
        <f>VLOOKUP(C4,REGISTRE!B:G,3,FALSE)</f>
        <v>-8.1437910000000002</v>
      </c>
      <c r="H4" s="1">
        <f>VLOOKUP(C4,REGISTRE!B:G,4,FALSE)</f>
        <v>28.946161</v>
      </c>
      <c r="I4" s="1" t="str">
        <f>VLOOKUP(C4,REGISTRE!B:G,5,FALSE)</f>
        <v>4G</v>
      </c>
      <c r="J4" s="1" t="str">
        <f>VLOOKUP(C4,REGISTRE!B:G,6,FALSE)</f>
        <v>ZTE</v>
      </c>
      <c r="K4" s="1" t="str">
        <f>INT(LOGS_Rx5[[#This Row],[Duree_Panne_Min]]/60) &amp; " h " &amp; MOD(LOGS_Rx5[[#This Row],[Duree_Panne_Min]],60) &amp; " min " &amp; "0 s"</f>
        <v>0 h 26 min 0 s</v>
      </c>
    </row>
    <row r="5" spans="1:11" x14ac:dyDescent="0.35">
      <c r="A5" s="1" t="s">
        <v>905</v>
      </c>
      <c r="B5" s="2">
        <v>45224.568055555559</v>
      </c>
      <c r="C5" s="1" t="s">
        <v>914</v>
      </c>
      <c r="D5">
        <v>27</v>
      </c>
      <c r="E5" s="1" t="s">
        <v>735</v>
      </c>
      <c r="F5" s="1" t="str">
        <f>VLOOKUP(C5,REGISTRE!B:G,2,FALSE)</f>
        <v>Mai-Ndombe</v>
      </c>
      <c r="G5" s="1">
        <f>VLOOKUP(C5,REGISTRE!B:G,3,FALSE)</f>
        <v>-10.442425</v>
      </c>
      <c r="H5" s="1">
        <f>VLOOKUP(C5,REGISTRE!B:G,4,FALSE)</f>
        <v>23.243632000000002</v>
      </c>
      <c r="I5" s="1" t="str">
        <f>VLOOKUP(C5,REGISTRE!B:G,5,FALSE)</f>
        <v>4G</v>
      </c>
      <c r="J5" s="1" t="str">
        <f>VLOOKUP(C5,REGISTRE!B:G,6,FALSE)</f>
        <v>Nokia</v>
      </c>
      <c r="K5" s="1" t="str">
        <f>INT(LOGS_Rx5[[#This Row],[Duree_Panne_Min]]/60) &amp; " h " &amp; MOD(LOGS_Rx5[[#This Row],[Duree_Panne_Min]],60) &amp; " min " &amp; "0 s"</f>
        <v>0 h 27 min 0 s</v>
      </c>
    </row>
    <row r="6" spans="1:11" x14ac:dyDescent="0.35">
      <c r="A6" s="1" t="s">
        <v>1120</v>
      </c>
      <c r="B6" s="2">
        <v>45230.868055555547</v>
      </c>
      <c r="C6" s="1" t="s">
        <v>1129</v>
      </c>
      <c r="D6">
        <v>103</v>
      </c>
      <c r="E6" s="1" t="s">
        <v>740</v>
      </c>
      <c r="F6" s="1" t="str">
        <f>VLOOKUP(C6,REGISTRE!B:G,2,FALSE)</f>
        <v>Bas-Uele</v>
      </c>
      <c r="G6" s="1">
        <f>VLOOKUP(C6,REGISTRE!B:G,3,FALSE)</f>
        <v>-2.8532869999999999</v>
      </c>
      <c r="H6" s="1">
        <f>VLOOKUP(C6,REGISTRE!B:G,4,FALSE)</f>
        <v>22.117896000000002</v>
      </c>
      <c r="I6" s="1" t="str">
        <f>VLOOKUP(C6,REGISTRE!B:G,5,FALSE)</f>
        <v>5G</v>
      </c>
      <c r="J6" s="1" t="str">
        <f>VLOOKUP(C6,REGISTRE!B:G,6,FALSE)</f>
        <v>Huawei</v>
      </c>
      <c r="K6" s="1" t="str">
        <f>INT(LOGS_Rx5[[#This Row],[Duree_Panne_Min]]/60) &amp; " h " &amp; MOD(LOGS_Rx5[[#This Row],[Duree_Panne_Min]],60) &amp; " min " &amp; "0 s"</f>
        <v>1 h 43 min 0 s</v>
      </c>
    </row>
    <row r="7" spans="1:11" x14ac:dyDescent="0.35">
      <c r="A7" s="1" t="s">
        <v>1389</v>
      </c>
      <c r="B7" s="2">
        <v>45230.429166666669</v>
      </c>
      <c r="C7" s="1" t="s">
        <v>1129</v>
      </c>
      <c r="D7">
        <v>11</v>
      </c>
      <c r="E7" s="1" t="s">
        <v>740</v>
      </c>
      <c r="F7" s="1" t="str">
        <f>VLOOKUP(C7,REGISTRE!B:G,2,FALSE)</f>
        <v>Bas-Uele</v>
      </c>
      <c r="G7" s="1">
        <f>VLOOKUP(C7,REGISTRE!B:G,3,FALSE)</f>
        <v>-2.8532869999999999</v>
      </c>
      <c r="H7" s="1">
        <f>VLOOKUP(C7,REGISTRE!B:G,4,FALSE)</f>
        <v>22.117896000000002</v>
      </c>
      <c r="I7" s="1" t="str">
        <f>VLOOKUP(C7,REGISTRE!B:G,5,FALSE)</f>
        <v>5G</v>
      </c>
      <c r="J7" s="1" t="str">
        <f>VLOOKUP(C7,REGISTRE!B:G,6,FALSE)</f>
        <v>Huawei</v>
      </c>
      <c r="K7" s="1" t="str">
        <f>INT(LOGS_Rx5[[#This Row],[Duree_Panne_Min]]/60) &amp; " h " &amp; MOD(LOGS_Rx5[[#This Row],[Duree_Panne_Min]],60) &amp; " min " &amp; "0 s"</f>
        <v>0 h 11 min 0 s</v>
      </c>
    </row>
    <row r="8" spans="1:11" x14ac:dyDescent="0.35">
      <c r="A8" s="1" t="s">
        <v>1171</v>
      </c>
      <c r="B8" s="2">
        <v>45221.565972222219</v>
      </c>
      <c r="C8" s="1" t="s">
        <v>1172</v>
      </c>
      <c r="D8">
        <v>87</v>
      </c>
      <c r="E8" s="1" t="s">
        <v>738</v>
      </c>
      <c r="F8" s="1" t="str">
        <f>VLOOKUP(C8,REGISTRE!B:G,2,FALSE)</f>
        <v>Tshopo</v>
      </c>
      <c r="G8" s="1">
        <f>VLOOKUP(C8,REGISTRE!B:G,3,FALSE)</f>
        <v>4.7777349999999998</v>
      </c>
      <c r="H8" s="1">
        <f>VLOOKUP(C8,REGISTRE!B:G,4,FALSE)</f>
        <v>16.392204</v>
      </c>
      <c r="I8" s="1" t="str">
        <f>VLOOKUP(C8,REGISTRE!B:G,5,FALSE)</f>
        <v>5G</v>
      </c>
      <c r="J8" s="1" t="str">
        <f>VLOOKUP(C8,REGISTRE!B:G,6,FALSE)</f>
        <v>ZTE</v>
      </c>
      <c r="K8" s="1" t="str">
        <f>INT(LOGS_Rx5[[#This Row],[Duree_Panne_Min]]/60) &amp; " h " &amp; MOD(LOGS_Rx5[[#This Row],[Duree_Panne_Min]],60) &amp; " min " &amp; "0 s"</f>
        <v>1 h 27 min 0 s</v>
      </c>
    </row>
    <row r="9" spans="1:11" x14ac:dyDescent="0.35">
      <c r="A9" s="1" t="s">
        <v>1336</v>
      </c>
      <c r="B9" s="2">
        <v>45222.501388888893</v>
      </c>
      <c r="C9" s="1" t="s">
        <v>1339</v>
      </c>
      <c r="D9">
        <v>39</v>
      </c>
      <c r="E9" s="1" t="s">
        <v>735</v>
      </c>
      <c r="F9" s="1" t="str">
        <f>VLOOKUP(C9,REGISTRE!B:G,2,FALSE)</f>
        <v>Haut-Lomami</v>
      </c>
      <c r="G9" s="1">
        <f>VLOOKUP(C9,REGISTRE!B:G,3,FALSE)</f>
        <v>-11.89448</v>
      </c>
      <c r="H9" s="1">
        <f>VLOOKUP(C9,REGISTRE!B:G,4,FALSE)</f>
        <v>19.216214999999998</v>
      </c>
      <c r="I9" s="1" t="str">
        <f>VLOOKUP(C9,REGISTRE!B:G,5,FALSE)</f>
        <v>3G</v>
      </c>
      <c r="J9" s="1" t="str">
        <f>VLOOKUP(C9,REGISTRE!B:G,6,FALSE)</f>
        <v>ZTE</v>
      </c>
      <c r="K9" s="1" t="str">
        <f>INT(LOGS_Rx5[[#This Row],[Duree_Panne_Min]]/60) &amp; " h " &amp; MOD(LOGS_Rx5[[#This Row],[Duree_Panne_Min]],60) &amp; " min " &amp; "0 s"</f>
        <v>0 h 39 min 0 s</v>
      </c>
    </row>
    <row r="10" spans="1:11" x14ac:dyDescent="0.35">
      <c r="A10" s="1" t="s">
        <v>782</v>
      </c>
      <c r="B10" s="2">
        <v>45223.418749999997</v>
      </c>
      <c r="C10" s="1" t="s">
        <v>808</v>
      </c>
      <c r="D10">
        <v>89</v>
      </c>
      <c r="E10" s="1" t="s">
        <v>735</v>
      </c>
      <c r="F10" s="1" t="str">
        <f>VLOOKUP(C10,REGISTRE!B:G,2,FALSE)</f>
        <v>Haut-Katanga</v>
      </c>
      <c r="G10" s="1">
        <f>VLOOKUP(C10,REGISTRE!B:G,3,FALSE)</f>
        <v>4.4712560000000003</v>
      </c>
      <c r="H10" s="1">
        <f>VLOOKUP(C10,REGISTRE!B:G,4,FALSE)</f>
        <v>27.107028</v>
      </c>
      <c r="I10" s="1" t="str">
        <f>VLOOKUP(C10,REGISTRE!B:G,5,FALSE)</f>
        <v>3G</v>
      </c>
      <c r="J10" s="1" t="str">
        <f>VLOOKUP(C10,REGISTRE!B:G,6,FALSE)</f>
        <v>Ericsson</v>
      </c>
      <c r="K10" s="1" t="str">
        <f>INT(LOGS_Rx5[[#This Row],[Duree_Panne_Min]]/60) &amp; " h " &amp; MOD(LOGS_Rx5[[#This Row],[Duree_Panne_Min]],60) &amp; " min " &amp; "0 s"</f>
        <v>1 h 29 min 0 s</v>
      </c>
    </row>
    <row r="11" spans="1:11" x14ac:dyDescent="0.35">
      <c r="A11" s="1" t="s">
        <v>1351</v>
      </c>
      <c r="B11" s="2">
        <v>45210.835416666669</v>
      </c>
      <c r="C11" s="1" t="s">
        <v>808</v>
      </c>
      <c r="D11">
        <v>80</v>
      </c>
      <c r="E11" s="1" t="s">
        <v>738</v>
      </c>
      <c r="F11" s="1" t="str">
        <f>VLOOKUP(C11,REGISTRE!B:G,2,FALSE)</f>
        <v>Haut-Katanga</v>
      </c>
      <c r="G11" s="1">
        <f>VLOOKUP(C11,REGISTRE!B:G,3,FALSE)</f>
        <v>4.4712560000000003</v>
      </c>
      <c r="H11" s="1">
        <f>VLOOKUP(C11,REGISTRE!B:G,4,FALSE)</f>
        <v>27.107028</v>
      </c>
      <c r="I11" s="1" t="str">
        <f>VLOOKUP(C11,REGISTRE!B:G,5,FALSE)</f>
        <v>3G</v>
      </c>
      <c r="J11" s="1" t="str">
        <f>VLOOKUP(C11,REGISTRE!B:G,6,FALSE)</f>
        <v>Ericsson</v>
      </c>
      <c r="K11" s="1" t="str">
        <f>INT(LOGS_Rx5[[#This Row],[Duree_Panne_Min]]/60) &amp; " h " &amp; MOD(LOGS_Rx5[[#This Row],[Duree_Panne_Min]],60) &amp; " min " &amp; "0 s"</f>
        <v>1 h 20 min 0 s</v>
      </c>
    </row>
    <row r="12" spans="1:11" x14ac:dyDescent="0.35">
      <c r="A12" s="1" t="s">
        <v>864</v>
      </c>
      <c r="B12" s="2">
        <v>45202.852083333331</v>
      </c>
      <c r="C12" s="1" t="s">
        <v>871</v>
      </c>
      <c r="D12">
        <v>83</v>
      </c>
      <c r="E12" s="1" t="s">
        <v>735</v>
      </c>
      <c r="F12" s="1" t="str">
        <f>VLOOKUP(C12,REGISTRE!B:G,2,FALSE)</f>
        <v>Mai-Ndombe</v>
      </c>
      <c r="G12" s="1">
        <f>VLOOKUP(C12,REGISTRE!B:G,3,FALSE)</f>
        <v>-1.607639</v>
      </c>
      <c r="H12" s="1">
        <f>VLOOKUP(C12,REGISTRE!B:G,4,FALSE)</f>
        <v>17.003636</v>
      </c>
      <c r="I12" s="1" t="str">
        <f>VLOOKUP(C12,REGISTRE!B:G,5,FALSE)</f>
        <v>4G</v>
      </c>
      <c r="J12" s="1" t="str">
        <f>VLOOKUP(C12,REGISTRE!B:G,6,FALSE)</f>
        <v>Ericsson</v>
      </c>
      <c r="K12" s="1" t="str">
        <f>INT(LOGS_Rx5[[#This Row],[Duree_Panne_Min]]/60) &amp; " h " &amp; MOD(LOGS_Rx5[[#This Row],[Duree_Panne_Min]],60) &amp; " min " &amp; "0 s"</f>
        <v>1 h 23 min 0 s</v>
      </c>
    </row>
    <row r="13" spans="1:11" x14ac:dyDescent="0.35">
      <c r="A13" s="1" t="s">
        <v>733</v>
      </c>
      <c r="B13" s="2">
        <v>45217.96875</v>
      </c>
      <c r="C13" s="1" t="s">
        <v>770</v>
      </c>
      <c r="D13">
        <v>97</v>
      </c>
      <c r="E13" s="1" t="s">
        <v>738</v>
      </c>
      <c r="F13" s="1" t="str">
        <f>VLOOKUP(C13,REGISTRE!B:G,2,FALSE)</f>
        <v>Kasaï</v>
      </c>
      <c r="G13" s="1">
        <f>VLOOKUP(C13,REGISTRE!B:G,3,FALSE)</f>
        <v>-10.059846</v>
      </c>
      <c r="H13" s="1">
        <f>VLOOKUP(C13,REGISTRE!B:G,4,FALSE)</f>
        <v>14.375757999999999</v>
      </c>
      <c r="I13" s="1" t="str">
        <f>VLOOKUP(C13,REGISTRE!B:G,5,FALSE)</f>
        <v>4G</v>
      </c>
      <c r="J13" s="1" t="str">
        <f>VLOOKUP(C13,REGISTRE!B:G,6,FALSE)</f>
        <v>Huawei</v>
      </c>
      <c r="K13" s="1" t="str">
        <f>INT(LOGS_Rx5[[#This Row],[Duree_Panne_Min]]/60) &amp; " h " &amp; MOD(LOGS_Rx5[[#This Row],[Duree_Panne_Min]],60) &amp; " min " &amp; "0 s"</f>
        <v>1 h 37 min 0 s</v>
      </c>
    </row>
    <row r="14" spans="1:11" x14ac:dyDescent="0.35">
      <c r="A14" s="1" t="s">
        <v>1294</v>
      </c>
      <c r="B14" s="2">
        <v>45206.515972222223</v>
      </c>
      <c r="C14" s="1" t="s">
        <v>1299</v>
      </c>
      <c r="D14">
        <v>108</v>
      </c>
      <c r="E14" s="1" t="s">
        <v>735</v>
      </c>
      <c r="F14" s="1" t="str">
        <f>VLOOKUP(C14,REGISTRE!B:G,2,FALSE)</f>
        <v>Kinshasa</v>
      </c>
      <c r="G14" s="1">
        <f>VLOOKUP(C14,REGISTRE!B:G,3,FALSE)</f>
        <v>-10.227569000000001</v>
      </c>
      <c r="H14" s="1">
        <f>VLOOKUP(C14,REGISTRE!B:G,4,FALSE)</f>
        <v>18.887930999999998</v>
      </c>
      <c r="I14" s="1" t="str">
        <f>VLOOKUP(C14,REGISTRE!B:G,5,FALSE)</f>
        <v>3G</v>
      </c>
      <c r="J14" s="1" t="str">
        <f>VLOOKUP(C14,REGISTRE!B:G,6,FALSE)</f>
        <v>ZTE</v>
      </c>
      <c r="K14" s="1" t="str">
        <f>INT(LOGS_Rx5[[#This Row],[Duree_Panne_Min]]/60) &amp; " h " &amp; MOD(LOGS_Rx5[[#This Row],[Duree_Panne_Min]],60) &amp; " min " &amp; "0 s"</f>
        <v>1 h 48 min 0 s</v>
      </c>
    </row>
    <row r="15" spans="1:11" x14ac:dyDescent="0.35">
      <c r="A15" s="1" t="s">
        <v>1063</v>
      </c>
      <c r="B15" s="2">
        <v>45222.652777777781</v>
      </c>
      <c r="C15" s="1" t="s">
        <v>1083</v>
      </c>
      <c r="D15">
        <v>46</v>
      </c>
      <c r="E15" s="1" t="s">
        <v>740</v>
      </c>
      <c r="F15" s="1" t="str">
        <f>VLOOKUP(C15,REGISTRE!B:G,2,FALSE)</f>
        <v>Lomami</v>
      </c>
      <c r="G15" s="1">
        <f>VLOOKUP(C15,REGISTRE!B:G,3,FALSE)</f>
        <v>-11.266565999999999</v>
      </c>
      <c r="H15" s="1">
        <f>VLOOKUP(C15,REGISTRE!B:G,4,FALSE)</f>
        <v>26.245055000000001</v>
      </c>
      <c r="I15" s="1" t="str">
        <f>VLOOKUP(C15,REGISTRE!B:G,5,FALSE)</f>
        <v>3G</v>
      </c>
      <c r="J15" s="1" t="str">
        <f>VLOOKUP(C15,REGISTRE!B:G,6,FALSE)</f>
        <v>Ericsson</v>
      </c>
      <c r="K15" s="1" t="str">
        <f>INT(LOGS_Rx5[[#This Row],[Duree_Panne_Min]]/60) &amp; " h " &amp; MOD(LOGS_Rx5[[#This Row],[Duree_Panne_Min]],60) &amp; " min " &amp; "0 s"</f>
        <v>0 h 46 min 0 s</v>
      </c>
    </row>
    <row r="16" spans="1:11" x14ac:dyDescent="0.35">
      <c r="A16" s="1" t="s">
        <v>942</v>
      </c>
      <c r="B16" s="2">
        <v>45208.443749999999</v>
      </c>
      <c r="C16" s="1" t="s">
        <v>955</v>
      </c>
      <c r="D16">
        <v>7</v>
      </c>
      <c r="E16" s="1" t="s">
        <v>740</v>
      </c>
      <c r="F16" s="1" t="str">
        <f>VLOOKUP(C16,REGISTRE!B:G,2,FALSE)</f>
        <v>Haut-Lomami</v>
      </c>
      <c r="G16" s="1">
        <f>VLOOKUP(C16,REGISTRE!B:G,3,FALSE)</f>
        <v>-6.3324319999999998</v>
      </c>
      <c r="H16" s="1">
        <f>VLOOKUP(C16,REGISTRE!B:G,4,FALSE)</f>
        <v>24.887858000000001</v>
      </c>
      <c r="I16" s="1" t="str">
        <f>VLOOKUP(C16,REGISTRE!B:G,5,FALSE)</f>
        <v>4G</v>
      </c>
      <c r="J16" s="1" t="str">
        <f>VLOOKUP(C16,REGISTRE!B:G,6,FALSE)</f>
        <v>ZTE</v>
      </c>
      <c r="K16" s="1" t="str">
        <f>INT(LOGS_Rx5[[#This Row],[Duree_Panne_Min]]/60) &amp; " h " &amp; MOD(LOGS_Rx5[[#This Row],[Duree_Panne_Min]],60) &amp; " min " &amp; "0 s"</f>
        <v>0 h 7 min 0 s</v>
      </c>
    </row>
    <row r="17" spans="1:11" x14ac:dyDescent="0.35">
      <c r="A17" s="1" t="s">
        <v>782</v>
      </c>
      <c r="B17" s="2">
        <v>45219.101388888892</v>
      </c>
      <c r="C17" s="1" t="s">
        <v>816</v>
      </c>
      <c r="D17">
        <v>75</v>
      </c>
      <c r="E17" s="1" t="s">
        <v>735</v>
      </c>
      <c r="F17" s="1" t="str">
        <f>VLOOKUP(C17,REGISTRE!B:G,2,FALSE)</f>
        <v>Ituri</v>
      </c>
      <c r="G17" s="1">
        <f>VLOOKUP(C17,REGISTRE!B:G,3,FALSE)</f>
        <v>-7.0076900000000002</v>
      </c>
      <c r="H17" s="1">
        <f>VLOOKUP(C17,REGISTRE!B:G,4,FALSE)</f>
        <v>27.367121999999998</v>
      </c>
      <c r="I17" s="1" t="str">
        <f>VLOOKUP(C17,REGISTRE!B:G,5,FALSE)</f>
        <v>3G</v>
      </c>
      <c r="J17" s="1" t="str">
        <f>VLOOKUP(C17,REGISTRE!B:G,6,FALSE)</f>
        <v>Nokia</v>
      </c>
      <c r="K17" s="1" t="str">
        <f>INT(LOGS_Rx5[[#This Row],[Duree_Panne_Min]]/60) &amp; " h " &amp; MOD(LOGS_Rx5[[#This Row],[Duree_Panne_Min]],60) &amp; " min " &amp; "0 s"</f>
        <v>1 h 15 min 0 s</v>
      </c>
    </row>
    <row r="18" spans="1:11" x14ac:dyDescent="0.35">
      <c r="A18" s="1" t="s">
        <v>1368</v>
      </c>
      <c r="B18" s="2">
        <v>45211.61041666667</v>
      </c>
      <c r="C18" s="1" t="s">
        <v>816</v>
      </c>
      <c r="D18">
        <v>114</v>
      </c>
      <c r="E18" s="1" t="s">
        <v>735</v>
      </c>
      <c r="F18" s="1" t="str">
        <f>VLOOKUP(C18,REGISTRE!B:G,2,FALSE)</f>
        <v>Ituri</v>
      </c>
      <c r="G18" s="1">
        <f>VLOOKUP(C18,REGISTRE!B:G,3,FALSE)</f>
        <v>-7.0076900000000002</v>
      </c>
      <c r="H18" s="1">
        <f>VLOOKUP(C18,REGISTRE!B:G,4,FALSE)</f>
        <v>27.367121999999998</v>
      </c>
      <c r="I18" s="1" t="str">
        <f>VLOOKUP(C18,REGISTRE!B:G,5,FALSE)</f>
        <v>3G</v>
      </c>
      <c r="J18" s="1" t="str">
        <f>VLOOKUP(C18,REGISTRE!B:G,6,FALSE)</f>
        <v>Nokia</v>
      </c>
      <c r="K18" s="1" t="str">
        <f>INT(LOGS_Rx5[[#This Row],[Duree_Panne_Min]]/60) &amp; " h " &amp; MOD(LOGS_Rx5[[#This Row],[Duree_Panne_Min]],60) &amp; " min " &amp; "0 s"</f>
        <v>1 h 54 min 0 s</v>
      </c>
    </row>
    <row r="19" spans="1:11" x14ac:dyDescent="0.35">
      <c r="A19" s="1" t="s">
        <v>1294</v>
      </c>
      <c r="B19" s="2">
        <v>45202.35</v>
      </c>
      <c r="C19" s="1" t="s">
        <v>1308</v>
      </c>
      <c r="D19">
        <v>78</v>
      </c>
      <c r="E19" s="1" t="s">
        <v>735</v>
      </c>
      <c r="F19" s="1" t="str">
        <f>VLOOKUP(C19,REGISTRE!B:G,2,FALSE)</f>
        <v>Mongala</v>
      </c>
      <c r="G19" s="1">
        <f>VLOOKUP(C19,REGISTRE!B:G,3,FALSE)</f>
        <v>4.0988100000000003</v>
      </c>
      <c r="H19" s="1">
        <f>VLOOKUP(C19,REGISTRE!B:G,4,FALSE)</f>
        <v>29.843810999999999</v>
      </c>
      <c r="I19" s="1" t="str">
        <f>VLOOKUP(C19,REGISTRE!B:G,5,FALSE)</f>
        <v>3G</v>
      </c>
      <c r="J19" s="1" t="str">
        <f>VLOOKUP(C19,REGISTRE!B:G,6,FALSE)</f>
        <v>Huawei</v>
      </c>
      <c r="K19" s="1" t="str">
        <f>INT(LOGS_Rx5[[#This Row],[Duree_Panne_Min]]/60) &amp; " h " &amp; MOD(LOGS_Rx5[[#This Row],[Duree_Panne_Min]],60) &amp; " min " &amp; "0 s"</f>
        <v>1 h 18 min 0 s</v>
      </c>
    </row>
    <row r="20" spans="1:11" x14ac:dyDescent="0.35">
      <c r="A20" s="1" t="s">
        <v>942</v>
      </c>
      <c r="B20" s="2">
        <v>45216.583333333343</v>
      </c>
      <c r="C20" s="1" t="s">
        <v>951</v>
      </c>
      <c r="D20">
        <v>78</v>
      </c>
      <c r="E20" s="1" t="s">
        <v>740</v>
      </c>
      <c r="F20" s="1" t="str">
        <f>VLOOKUP(C20,REGISTRE!B:G,2,FALSE)</f>
        <v>Haut-Katanga</v>
      </c>
      <c r="G20" s="1">
        <f>VLOOKUP(C20,REGISTRE!B:G,3,FALSE)</f>
        <v>0.16841400000000001</v>
      </c>
      <c r="H20" s="1">
        <f>VLOOKUP(C20,REGISTRE!B:G,4,FALSE)</f>
        <v>30.029876999999999</v>
      </c>
      <c r="I20" s="1" t="str">
        <f>VLOOKUP(C20,REGISTRE!B:G,5,FALSE)</f>
        <v>5G</v>
      </c>
      <c r="J20" s="1" t="str">
        <f>VLOOKUP(C20,REGISTRE!B:G,6,FALSE)</f>
        <v>Huawei</v>
      </c>
      <c r="K20" s="1" t="str">
        <f>INT(LOGS_Rx5[[#This Row],[Duree_Panne_Min]]/60) &amp; " h " &amp; MOD(LOGS_Rx5[[#This Row],[Duree_Panne_Min]],60) &amp; " min " &amp; "0 s"</f>
        <v>1 h 18 min 0 s</v>
      </c>
    </row>
    <row r="21" spans="1:11" x14ac:dyDescent="0.35">
      <c r="A21" s="1" t="s">
        <v>1389</v>
      </c>
      <c r="B21" s="2">
        <v>45223.736111111109</v>
      </c>
      <c r="C21" s="1" t="s">
        <v>951</v>
      </c>
      <c r="D21">
        <v>116</v>
      </c>
      <c r="E21" s="1" t="s">
        <v>738</v>
      </c>
      <c r="F21" s="1" t="str">
        <f>VLOOKUP(C21,REGISTRE!B:G,2,FALSE)</f>
        <v>Haut-Katanga</v>
      </c>
      <c r="G21" s="1">
        <f>VLOOKUP(C21,REGISTRE!B:G,3,FALSE)</f>
        <v>0.16841400000000001</v>
      </c>
      <c r="H21" s="1">
        <f>VLOOKUP(C21,REGISTRE!B:G,4,FALSE)</f>
        <v>30.029876999999999</v>
      </c>
      <c r="I21" s="1" t="str">
        <f>VLOOKUP(C21,REGISTRE!B:G,5,FALSE)</f>
        <v>5G</v>
      </c>
      <c r="J21" s="1" t="str">
        <f>VLOOKUP(C21,REGISTRE!B:G,6,FALSE)</f>
        <v>Huawei</v>
      </c>
      <c r="K21" s="1" t="str">
        <f>INT(LOGS_Rx5[[#This Row],[Duree_Panne_Min]]/60) &amp; " h " &amp; MOD(LOGS_Rx5[[#This Row],[Duree_Panne_Min]],60) &amp; " min " &amp; "0 s"</f>
        <v>1 h 56 min 0 s</v>
      </c>
    </row>
    <row r="22" spans="1:11" x14ac:dyDescent="0.35">
      <c r="A22" s="1" t="s">
        <v>1389</v>
      </c>
      <c r="B22" s="2">
        <v>45217.578472222223</v>
      </c>
      <c r="C22" s="1" t="s">
        <v>1393</v>
      </c>
      <c r="D22">
        <v>93</v>
      </c>
      <c r="E22" s="1" t="s">
        <v>738</v>
      </c>
      <c r="F22" s="1" t="str">
        <f>VLOOKUP(C22,REGISTRE!B:G,2,FALSE)</f>
        <v>Kasai-Central</v>
      </c>
      <c r="G22" s="1">
        <f>VLOOKUP(C22,REGISTRE!B:G,3,FALSE)</f>
        <v>-10.735106</v>
      </c>
      <c r="H22" s="1">
        <f>VLOOKUP(C22,REGISTRE!B:G,4,FALSE)</f>
        <v>27.868673999999999</v>
      </c>
      <c r="I22" s="1" t="str">
        <f>VLOOKUP(C22,REGISTRE!B:G,5,FALSE)</f>
        <v>3G</v>
      </c>
      <c r="J22" s="1" t="str">
        <f>VLOOKUP(C22,REGISTRE!B:G,6,FALSE)</f>
        <v>Ericsson</v>
      </c>
      <c r="K22" s="1" t="str">
        <f>INT(LOGS_Rx5[[#This Row],[Duree_Panne_Min]]/60) &amp; " h " &amp; MOD(LOGS_Rx5[[#This Row],[Duree_Panne_Min]],60) &amp; " min " &amp; "0 s"</f>
        <v>1 h 33 min 0 s</v>
      </c>
    </row>
    <row r="23" spans="1:11" x14ac:dyDescent="0.35">
      <c r="A23" s="1" t="s">
        <v>1063</v>
      </c>
      <c r="B23" s="2">
        <v>45202.161805555559</v>
      </c>
      <c r="C23" s="1" t="s">
        <v>1066</v>
      </c>
      <c r="D23">
        <v>61</v>
      </c>
      <c r="E23" s="1" t="s">
        <v>738</v>
      </c>
      <c r="F23" s="1" t="str">
        <f>VLOOKUP(C23,REGISTRE!B:G,2,FALSE)</f>
        <v>Nord-Kivu</v>
      </c>
      <c r="G23" s="1">
        <f>VLOOKUP(C23,REGISTRE!B:G,3,FALSE)</f>
        <v>-6.5529849999999996</v>
      </c>
      <c r="H23" s="1">
        <f>VLOOKUP(C23,REGISTRE!B:G,4,FALSE)</f>
        <v>21.990606</v>
      </c>
      <c r="I23" s="1" t="str">
        <f>VLOOKUP(C23,REGISTRE!B:G,5,FALSE)</f>
        <v>3G</v>
      </c>
      <c r="J23" s="1" t="str">
        <f>VLOOKUP(C23,REGISTRE!B:G,6,FALSE)</f>
        <v>Huawei</v>
      </c>
      <c r="K23" s="1" t="str">
        <f>INT(LOGS_Rx5[[#This Row],[Duree_Panne_Min]]/60) &amp; " h " &amp; MOD(LOGS_Rx5[[#This Row],[Duree_Panne_Min]],60) &amp; " min " &amp; "0 s"</f>
        <v>1 h 1 min 0 s</v>
      </c>
    </row>
    <row r="24" spans="1:11" x14ac:dyDescent="0.35">
      <c r="A24" s="1" t="s">
        <v>1267</v>
      </c>
      <c r="B24" s="2">
        <v>45205.463888888888</v>
      </c>
      <c r="C24" s="1" t="s">
        <v>1273</v>
      </c>
      <c r="D24">
        <v>103</v>
      </c>
      <c r="E24" s="1" t="s">
        <v>735</v>
      </c>
      <c r="F24" s="1" t="str">
        <f>VLOOKUP(C24,REGISTRE!B:G,2,FALSE)</f>
        <v>Nord-Kivu</v>
      </c>
      <c r="G24" s="1">
        <f>VLOOKUP(C24,REGISTRE!B:G,3,FALSE)</f>
        <v>-0.17258100000000001</v>
      </c>
      <c r="H24" s="1">
        <f>VLOOKUP(C24,REGISTRE!B:G,4,FALSE)</f>
        <v>23.775555000000001</v>
      </c>
      <c r="I24" s="1" t="str">
        <f>VLOOKUP(C24,REGISTRE!B:G,5,FALSE)</f>
        <v>5G</v>
      </c>
      <c r="J24" s="1" t="str">
        <f>VLOOKUP(C24,REGISTRE!B:G,6,FALSE)</f>
        <v>Nokia</v>
      </c>
      <c r="K24" s="1" t="str">
        <f>INT(LOGS_Rx5[[#This Row],[Duree_Panne_Min]]/60) &amp; " h " &amp; MOD(LOGS_Rx5[[#This Row],[Duree_Panne_Min]],60) &amp; " min " &amp; "0 s"</f>
        <v>1 h 43 min 0 s</v>
      </c>
    </row>
    <row r="25" spans="1:11" x14ac:dyDescent="0.35">
      <c r="A25" s="1" t="s">
        <v>1028</v>
      </c>
      <c r="B25" s="2">
        <v>45221.505555555559</v>
      </c>
      <c r="C25" s="1" t="s">
        <v>1050</v>
      </c>
      <c r="D25">
        <v>51</v>
      </c>
      <c r="E25" s="1" t="s">
        <v>735</v>
      </c>
      <c r="F25" s="1" t="str">
        <f>VLOOKUP(C25,REGISTRE!B:G,2,FALSE)</f>
        <v>Mongala</v>
      </c>
      <c r="G25" s="1">
        <f>VLOOKUP(C25,REGISTRE!B:G,3,FALSE)</f>
        <v>-1.231033</v>
      </c>
      <c r="H25" s="1">
        <f>VLOOKUP(C25,REGISTRE!B:G,4,FALSE)</f>
        <v>28.851388</v>
      </c>
      <c r="I25" s="1" t="str">
        <f>VLOOKUP(C25,REGISTRE!B:G,5,FALSE)</f>
        <v>3G</v>
      </c>
      <c r="J25" s="1" t="str">
        <f>VLOOKUP(C25,REGISTRE!B:G,6,FALSE)</f>
        <v>Ericsson</v>
      </c>
      <c r="K25" s="1" t="str">
        <f>INT(LOGS_Rx5[[#This Row],[Duree_Panne_Min]]/60) &amp; " h " &amp; MOD(LOGS_Rx5[[#This Row],[Duree_Panne_Min]],60) &amp; " min " &amp; "0 s"</f>
        <v>0 h 51 min 0 s</v>
      </c>
    </row>
    <row r="26" spans="1:11" x14ac:dyDescent="0.35">
      <c r="A26" s="1" t="s">
        <v>1120</v>
      </c>
      <c r="B26" s="2">
        <v>45223.400694444441</v>
      </c>
      <c r="C26" s="1" t="s">
        <v>1050</v>
      </c>
      <c r="D26">
        <v>41</v>
      </c>
      <c r="E26" s="1" t="s">
        <v>740</v>
      </c>
      <c r="F26" s="1" t="str">
        <f>VLOOKUP(C26,REGISTRE!B:G,2,FALSE)</f>
        <v>Mongala</v>
      </c>
      <c r="G26" s="1">
        <f>VLOOKUP(C26,REGISTRE!B:G,3,FALSE)</f>
        <v>-1.231033</v>
      </c>
      <c r="H26" s="1">
        <f>VLOOKUP(C26,REGISTRE!B:G,4,FALSE)</f>
        <v>28.851388</v>
      </c>
      <c r="I26" s="1" t="str">
        <f>VLOOKUP(C26,REGISTRE!B:G,5,FALSE)</f>
        <v>3G</v>
      </c>
      <c r="J26" s="1" t="str">
        <f>VLOOKUP(C26,REGISTRE!B:G,6,FALSE)</f>
        <v>Ericsson</v>
      </c>
      <c r="K26" s="1" t="str">
        <f>INT(LOGS_Rx5[[#This Row],[Duree_Panne_Min]]/60) &amp; " h " &amp; MOD(LOGS_Rx5[[#This Row],[Duree_Panne_Min]],60) &amp; " min " &amp; "0 s"</f>
        <v>0 h 41 min 0 s</v>
      </c>
    </row>
    <row r="27" spans="1:11" x14ac:dyDescent="0.35">
      <c r="A27" s="1" t="s">
        <v>905</v>
      </c>
      <c r="B27" s="2">
        <v>45201.824305555558</v>
      </c>
      <c r="C27" s="1" t="s">
        <v>920</v>
      </c>
      <c r="D27">
        <v>28</v>
      </c>
      <c r="E27" s="1" t="s">
        <v>738</v>
      </c>
      <c r="F27" s="1" t="str">
        <f>VLOOKUP(C27,REGISTRE!B:G,2,FALSE)</f>
        <v>Mai-Ndombe</v>
      </c>
      <c r="G27" s="1">
        <f>VLOOKUP(C27,REGISTRE!B:G,3,FALSE)</f>
        <v>-9.3652280000000001</v>
      </c>
      <c r="H27" s="1">
        <f>VLOOKUP(C27,REGISTRE!B:G,4,FALSE)</f>
        <v>18.674116000000001</v>
      </c>
      <c r="I27" s="1" t="str">
        <f>VLOOKUP(C27,REGISTRE!B:G,5,FALSE)</f>
        <v>4G</v>
      </c>
      <c r="J27" s="1" t="str">
        <f>VLOOKUP(C27,REGISTRE!B:G,6,FALSE)</f>
        <v>Huawei</v>
      </c>
      <c r="K27" s="1" t="str">
        <f>INT(LOGS_Rx5[[#This Row],[Duree_Panne_Min]]/60) &amp; " h " &amp; MOD(LOGS_Rx5[[#This Row],[Duree_Panne_Min]],60) &amp; " min " &amp; "0 s"</f>
        <v>0 h 28 min 0 s</v>
      </c>
    </row>
    <row r="28" spans="1:11" x14ac:dyDescent="0.35">
      <c r="A28" s="1" t="s">
        <v>1247</v>
      </c>
      <c r="B28" s="2">
        <v>45206.956944444442</v>
      </c>
      <c r="C28" s="1" t="s">
        <v>920</v>
      </c>
      <c r="D28">
        <v>32</v>
      </c>
      <c r="E28" s="1" t="s">
        <v>738</v>
      </c>
      <c r="F28" s="1" t="str">
        <f>VLOOKUP(C28,REGISTRE!B:G,2,FALSE)</f>
        <v>Mai-Ndombe</v>
      </c>
      <c r="G28" s="1">
        <f>VLOOKUP(C28,REGISTRE!B:G,3,FALSE)</f>
        <v>-9.3652280000000001</v>
      </c>
      <c r="H28" s="1">
        <f>VLOOKUP(C28,REGISTRE!B:G,4,FALSE)</f>
        <v>18.674116000000001</v>
      </c>
      <c r="I28" s="1" t="str">
        <f>VLOOKUP(C28,REGISTRE!B:G,5,FALSE)</f>
        <v>4G</v>
      </c>
      <c r="J28" s="1" t="str">
        <f>VLOOKUP(C28,REGISTRE!B:G,6,FALSE)</f>
        <v>Huawei</v>
      </c>
      <c r="K28" s="1" t="str">
        <f>INT(LOGS_Rx5[[#This Row],[Duree_Panne_Min]]/60) &amp; " h " &amp; MOD(LOGS_Rx5[[#This Row],[Duree_Panne_Min]],60) &amp; " min " &amp; "0 s"</f>
        <v>0 h 32 min 0 s</v>
      </c>
    </row>
    <row r="29" spans="1:11" x14ac:dyDescent="0.35">
      <c r="A29" s="1" t="s">
        <v>1368</v>
      </c>
      <c r="B29" s="2">
        <v>45224.98333333333</v>
      </c>
      <c r="C29" s="1" t="s">
        <v>920</v>
      </c>
      <c r="D29">
        <v>107</v>
      </c>
      <c r="E29" s="1" t="s">
        <v>740</v>
      </c>
      <c r="F29" s="1" t="str">
        <f>VLOOKUP(C29,REGISTRE!B:G,2,FALSE)</f>
        <v>Mai-Ndombe</v>
      </c>
      <c r="G29" s="1">
        <f>VLOOKUP(C29,REGISTRE!B:G,3,FALSE)</f>
        <v>-9.3652280000000001</v>
      </c>
      <c r="H29" s="1">
        <f>VLOOKUP(C29,REGISTRE!B:G,4,FALSE)</f>
        <v>18.674116000000001</v>
      </c>
      <c r="I29" s="1" t="str">
        <f>VLOOKUP(C29,REGISTRE!B:G,5,FALSE)</f>
        <v>4G</v>
      </c>
      <c r="J29" s="1" t="str">
        <f>VLOOKUP(C29,REGISTRE!B:G,6,FALSE)</f>
        <v>Huawei</v>
      </c>
      <c r="K29" s="1" t="str">
        <f>INT(LOGS_Rx5[[#This Row],[Duree_Panne_Min]]/60) &amp; " h " &amp; MOD(LOGS_Rx5[[#This Row],[Duree_Panne_Min]],60) &amp; " min " &amp; "0 s"</f>
        <v>1 h 47 min 0 s</v>
      </c>
    </row>
    <row r="30" spans="1:11" x14ac:dyDescent="0.35">
      <c r="A30" s="1" t="s">
        <v>1414</v>
      </c>
      <c r="B30" s="2">
        <v>45223.570138888892</v>
      </c>
      <c r="C30" s="1" t="s">
        <v>920</v>
      </c>
      <c r="D30">
        <v>10</v>
      </c>
      <c r="E30" s="1" t="s">
        <v>738</v>
      </c>
      <c r="F30" s="1" t="str">
        <f>VLOOKUP(C30,REGISTRE!B:G,2,FALSE)</f>
        <v>Mai-Ndombe</v>
      </c>
      <c r="G30" s="1">
        <f>VLOOKUP(C30,REGISTRE!B:G,3,FALSE)</f>
        <v>-9.3652280000000001</v>
      </c>
      <c r="H30" s="1">
        <f>VLOOKUP(C30,REGISTRE!B:G,4,FALSE)</f>
        <v>18.674116000000001</v>
      </c>
      <c r="I30" s="1" t="str">
        <f>VLOOKUP(C30,REGISTRE!B:G,5,FALSE)</f>
        <v>4G</v>
      </c>
      <c r="J30" s="1" t="str">
        <f>VLOOKUP(C30,REGISTRE!B:G,6,FALSE)</f>
        <v>Huawei</v>
      </c>
      <c r="K30" s="1" t="str">
        <f>INT(LOGS_Rx5[[#This Row],[Duree_Panne_Min]]/60) &amp; " h " &amp; MOD(LOGS_Rx5[[#This Row],[Duree_Panne_Min]],60) &amp; " min " &amp; "0 s"</f>
        <v>0 h 10 min 0 s</v>
      </c>
    </row>
    <row r="31" spans="1:11" x14ac:dyDescent="0.35">
      <c r="A31" s="1" t="s">
        <v>1294</v>
      </c>
      <c r="B31" s="2">
        <v>45220.677083333343</v>
      </c>
      <c r="C31" s="1" t="s">
        <v>1309</v>
      </c>
      <c r="D31">
        <v>107</v>
      </c>
      <c r="E31" s="1" t="s">
        <v>740</v>
      </c>
      <c r="F31" s="1" t="str">
        <f>VLOOKUP(C31,REGISTRE!B:G,2,FALSE)</f>
        <v>Tshopo</v>
      </c>
      <c r="G31" s="1">
        <f>VLOOKUP(C31,REGISTRE!B:G,3,FALSE)</f>
        <v>-6.4670189999999996</v>
      </c>
      <c r="H31" s="1">
        <f>VLOOKUP(C31,REGISTRE!B:G,4,FALSE)</f>
        <v>29.487309</v>
      </c>
      <c r="I31" s="1" t="str">
        <f>VLOOKUP(C31,REGISTRE!B:G,5,FALSE)</f>
        <v>4G</v>
      </c>
      <c r="J31" s="1" t="str">
        <f>VLOOKUP(C31,REGISTRE!B:G,6,FALSE)</f>
        <v>ZTE</v>
      </c>
      <c r="K31" s="1" t="str">
        <f>INT(LOGS_Rx5[[#This Row],[Duree_Panne_Min]]/60) &amp; " h " &amp; MOD(LOGS_Rx5[[#This Row],[Duree_Panne_Min]],60) &amp; " min " &amp; "0 s"</f>
        <v>1 h 47 min 0 s</v>
      </c>
    </row>
    <row r="32" spans="1:11" x14ac:dyDescent="0.35">
      <c r="A32" s="1" t="s">
        <v>1063</v>
      </c>
      <c r="B32" s="2">
        <v>45216.709027777782</v>
      </c>
      <c r="C32" s="1" t="s">
        <v>1073</v>
      </c>
      <c r="D32">
        <v>39</v>
      </c>
      <c r="E32" s="1" t="s">
        <v>735</v>
      </c>
      <c r="F32" s="1" t="str">
        <f>VLOOKUP(C32,REGISTRE!B:G,2,FALSE)</f>
        <v>Ituri</v>
      </c>
      <c r="G32" s="1">
        <f>VLOOKUP(C32,REGISTRE!B:G,3,FALSE)</f>
        <v>-0.34051900000000002</v>
      </c>
      <c r="H32" s="1">
        <f>VLOOKUP(C32,REGISTRE!B:G,4,FALSE)</f>
        <v>17.079799000000001</v>
      </c>
      <c r="I32" s="1" t="str">
        <f>VLOOKUP(C32,REGISTRE!B:G,5,FALSE)</f>
        <v>5G</v>
      </c>
      <c r="J32" s="1" t="str">
        <f>VLOOKUP(C32,REGISTRE!B:G,6,FALSE)</f>
        <v>Ericsson</v>
      </c>
      <c r="K32" s="1" t="str">
        <f>INT(LOGS_Rx5[[#This Row],[Duree_Panne_Min]]/60) &amp; " h " &amp; MOD(LOGS_Rx5[[#This Row],[Duree_Panne_Min]],60) &amp; " min " &amp; "0 s"</f>
        <v>0 h 39 min 0 s</v>
      </c>
    </row>
    <row r="33" spans="1:11" x14ac:dyDescent="0.35">
      <c r="A33" s="1" t="s">
        <v>1336</v>
      </c>
      <c r="B33" s="2">
        <v>45201.245833333327</v>
      </c>
      <c r="C33" s="1" t="s">
        <v>1073</v>
      </c>
      <c r="D33">
        <v>91</v>
      </c>
      <c r="E33" s="1" t="s">
        <v>738</v>
      </c>
      <c r="F33" s="1" t="str">
        <f>VLOOKUP(C33,REGISTRE!B:G,2,FALSE)</f>
        <v>Ituri</v>
      </c>
      <c r="G33" s="1">
        <f>VLOOKUP(C33,REGISTRE!B:G,3,FALSE)</f>
        <v>-0.34051900000000002</v>
      </c>
      <c r="H33" s="1">
        <f>VLOOKUP(C33,REGISTRE!B:G,4,FALSE)</f>
        <v>17.079799000000001</v>
      </c>
      <c r="I33" s="1" t="str">
        <f>VLOOKUP(C33,REGISTRE!B:G,5,FALSE)</f>
        <v>5G</v>
      </c>
      <c r="J33" s="1" t="str">
        <f>VLOOKUP(C33,REGISTRE!B:G,6,FALSE)</f>
        <v>Ericsson</v>
      </c>
      <c r="K33" s="1" t="str">
        <f>INT(LOGS_Rx5[[#This Row],[Duree_Panne_Min]]/60) &amp; " h " &amp; MOD(LOGS_Rx5[[#This Row],[Duree_Panne_Min]],60) &amp; " min " &amp; "0 s"</f>
        <v>1 h 31 min 0 s</v>
      </c>
    </row>
    <row r="34" spans="1:11" x14ac:dyDescent="0.35">
      <c r="A34" s="1" t="s">
        <v>1336</v>
      </c>
      <c r="B34" s="2">
        <v>45211.063888888893</v>
      </c>
      <c r="C34" s="1" t="s">
        <v>1345</v>
      </c>
      <c r="D34">
        <v>6</v>
      </c>
      <c r="E34" s="1" t="s">
        <v>740</v>
      </c>
      <c r="F34" s="1" t="str">
        <f>VLOOKUP(C34,REGISTRE!B:G,2,FALSE)</f>
        <v>Kasai-Oriental</v>
      </c>
      <c r="G34" s="1">
        <f>VLOOKUP(C34,REGISTRE!B:G,3,FALSE)</f>
        <v>1.7832440000000001</v>
      </c>
      <c r="H34" s="1">
        <f>VLOOKUP(C34,REGISTRE!B:G,4,FALSE)</f>
        <v>25.477405999999998</v>
      </c>
      <c r="I34" s="1" t="str">
        <f>VLOOKUP(C34,REGISTRE!B:G,5,FALSE)</f>
        <v>5G</v>
      </c>
      <c r="J34" s="1" t="str">
        <f>VLOOKUP(C34,REGISTRE!B:G,6,FALSE)</f>
        <v>Huawei</v>
      </c>
      <c r="K34" s="1" t="str">
        <f>INT(LOGS_Rx5[[#This Row],[Duree_Panne_Min]]/60) &amp; " h " &amp; MOD(LOGS_Rx5[[#This Row],[Duree_Panne_Min]],60) &amp; " min " &amp; "0 s"</f>
        <v>0 h 6 min 0 s</v>
      </c>
    </row>
    <row r="35" spans="1:11" x14ac:dyDescent="0.35">
      <c r="A35" s="1" t="s">
        <v>1389</v>
      </c>
      <c r="B35" s="2">
        <v>45207.701388888891</v>
      </c>
      <c r="C35" s="1" t="s">
        <v>1413</v>
      </c>
      <c r="D35">
        <v>27</v>
      </c>
      <c r="E35" s="1" t="s">
        <v>740</v>
      </c>
      <c r="F35" s="1" t="str">
        <f>VLOOKUP(C35,REGISTRE!B:G,2,FALSE)</f>
        <v>Sankuru</v>
      </c>
      <c r="G35" s="1">
        <f>VLOOKUP(C35,REGISTRE!B:G,3,FALSE)</f>
        <v>-10.764815</v>
      </c>
      <c r="H35" s="1">
        <f>VLOOKUP(C35,REGISTRE!B:G,4,FALSE)</f>
        <v>14.602039</v>
      </c>
      <c r="I35" s="1" t="str">
        <f>VLOOKUP(C35,REGISTRE!B:G,5,FALSE)</f>
        <v>4G</v>
      </c>
      <c r="J35" s="1" t="str">
        <f>VLOOKUP(C35,REGISTRE!B:G,6,FALSE)</f>
        <v>Nokia</v>
      </c>
      <c r="K35" s="1" t="str">
        <f>INT(LOGS_Rx5[[#This Row],[Duree_Panne_Min]]/60) &amp; " h " &amp; MOD(LOGS_Rx5[[#This Row],[Duree_Panne_Min]],60) &amp; " min " &amp; "0 s"</f>
        <v>0 h 27 min 0 s</v>
      </c>
    </row>
    <row r="36" spans="1:11" x14ac:dyDescent="0.35">
      <c r="A36" s="1" t="s">
        <v>1199</v>
      </c>
      <c r="B36" s="2">
        <v>45209.558333333327</v>
      </c>
      <c r="C36" s="1" t="s">
        <v>1219</v>
      </c>
      <c r="D36">
        <v>66</v>
      </c>
      <c r="E36" s="1" t="s">
        <v>738</v>
      </c>
      <c r="F36" s="1" t="str">
        <f>VLOOKUP(C36,REGISTRE!B:G,2,FALSE)</f>
        <v>Ituri</v>
      </c>
      <c r="G36" s="1">
        <f>VLOOKUP(C36,REGISTRE!B:G,3,FALSE)</f>
        <v>-12.595355</v>
      </c>
      <c r="H36" s="1">
        <f>VLOOKUP(C36,REGISTRE!B:G,4,FALSE)</f>
        <v>17.897442000000002</v>
      </c>
      <c r="I36" s="1" t="str">
        <f>VLOOKUP(C36,REGISTRE!B:G,5,FALSE)</f>
        <v>4G</v>
      </c>
      <c r="J36" s="1" t="str">
        <f>VLOOKUP(C36,REGISTRE!B:G,6,FALSE)</f>
        <v>Huawei</v>
      </c>
      <c r="K36" s="1" t="str">
        <f>INT(LOGS_Rx5[[#This Row],[Duree_Panne_Min]]/60) &amp; " h " &amp; MOD(LOGS_Rx5[[#This Row],[Duree_Panne_Min]],60) &amp; " min " &amp; "0 s"</f>
        <v>1 h 6 min 0 s</v>
      </c>
    </row>
    <row r="37" spans="1:11" x14ac:dyDescent="0.35">
      <c r="A37" s="1" t="s">
        <v>1389</v>
      </c>
      <c r="B37" s="2">
        <v>45225.220833333333</v>
      </c>
      <c r="C37" s="1" t="s">
        <v>1407</v>
      </c>
      <c r="D37">
        <v>104</v>
      </c>
      <c r="E37" s="1" t="s">
        <v>738</v>
      </c>
      <c r="F37" s="1" t="str">
        <f>VLOOKUP(C37,REGISTRE!B:G,2,FALSE)</f>
        <v>Kasai-Central</v>
      </c>
      <c r="G37" s="1">
        <f>VLOOKUP(C37,REGISTRE!B:G,3,FALSE)</f>
        <v>-8.0800809999999998</v>
      </c>
      <c r="H37" s="1">
        <f>VLOOKUP(C37,REGISTRE!B:G,4,FALSE)</f>
        <v>30.147970999999998</v>
      </c>
      <c r="I37" s="1" t="str">
        <f>VLOOKUP(C37,REGISTRE!B:G,5,FALSE)</f>
        <v>5G</v>
      </c>
      <c r="J37" s="1" t="str">
        <f>VLOOKUP(C37,REGISTRE!B:G,6,FALSE)</f>
        <v>Huawei</v>
      </c>
      <c r="K37" s="1" t="str">
        <f>INT(LOGS_Rx5[[#This Row],[Duree_Panne_Min]]/60) &amp; " h " &amp; MOD(LOGS_Rx5[[#This Row],[Duree_Panne_Min]],60) &amp; " min " &amp; "0 s"</f>
        <v>1 h 44 min 0 s</v>
      </c>
    </row>
    <row r="38" spans="1:11" x14ac:dyDescent="0.35">
      <c r="A38" s="1" t="s">
        <v>1414</v>
      </c>
      <c r="B38" s="2">
        <v>45208.558333333327</v>
      </c>
      <c r="C38" s="1" t="s">
        <v>1407</v>
      </c>
      <c r="D38">
        <v>44</v>
      </c>
      <c r="E38" s="1" t="s">
        <v>740</v>
      </c>
      <c r="F38" s="1" t="str">
        <f>VLOOKUP(C38,REGISTRE!B:G,2,FALSE)</f>
        <v>Kasai-Central</v>
      </c>
      <c r="G38" s="1">
        <f>VLOOKUP(C38,REGISTRE!B:G,3,FALSE)</f>
        <v>-8.0800809999999998</v>
      </c>
      <c r="H38" s="1">
        <f>VLOOKUP(C38,REGISTRE!B:G,4,FALSE)</f>
        <v>30.147970999999998</v>
      </c>
      <c r="I38" s="1" t="str">
        <f>VLOOKUP(C38,REGISTRE!B:G,5,FALSE)</f>
        <v>5G</v>
      </c>
      <c r="J38" s="1" t="str">
        <f>VLOOKUP(C38,REGISTRE!B:G,6,FALSE)</f>
        <v>Huawei</v>
      </c>
      <c r="K38" s="1" t="str">
        <f>INT(LOGS_Rx5[[#This Row],[Duree_Panne_Min]]/60) &amp; " h " &amp; MOD(LOGS_Rx5[[#This Row],[Duree_Panne_Min]],60) &amp; " min " &amp; "0 s"</f>
        <v>0 h 44 min 0 s</v>
      </c>
    </row>
    <row r="39" spans="1:11" x14ac:dyDescent="0.35">
      <c r="A39" s="1" t="s">
        <v>782</v>
      </c>
      <c r="B39" s="2">
        <v>45216.673611111109</v>
      </c>
      <c r="C39" s="1" t="s">
        <v>809</v>
      </c>
      <c r="D39">
        <v>117</v>
      </c>
      <c r="E39" s="1" t="s">
        <v>735</v>
      </c>
      <c r="F39" s="1" t="str">
        <f>VLOOKUP(C39,REGISTRE!B:G,2,FALSE)</f>
        <v>Sud-Ubangi</v>
      </c>
      <c r="G39" s="1">
        <f>VLOOKUP(C39,REGISTRE!B:G,3,FALSE)</f>
        <v>-12.141233</v>
      </c>
      <c r="H39" s="1">
        <f>VLOOKUP(C39,REGISTRE!B:G,4,FALSE)</f>
        <v>15.179043999999999</v>
      </c>
      <c r="I39" s="1" t="str">
        <f>VLOOKUP(C39,REGISTRE!B:G,5,FALSE)</f>
        <v>5G</v>
      </c>
      <c r="J39" s="1" t="str">
        <f>VLOOKUP(C39,REGISTRE!B:G,6,FALSE)</f>
        <v>Ericsson</v>
      </c>
      <c r="K39" s="1" t="str">
        <f>INT(LOGS_Rx5[[#This Row],[Duree_Panne_Min]]/60) &amp; " h " &amp; MOD(LOGS_Rx5[[#This Row],[Duree_Panne_Min]],60) &amp; " min " &amp; "0 s"</f>
        <v>1 h 57 min 0 s</v>
      </c>
    </row>
    <row r="40" spans="1:11" x14ac:dyDescent="0.35">
      <c r="A40" s="1" t="s">
        <v>1002</v>
      </c>
      <c r="B40" s="2">
        <v>45221.376388888893</v>
      </c>
      <c r="C40" s="1" t="s">
        <v>1026</v>
      </c>
      <c r="D40">
        <v>59</v>
      </c>
      <c r="E40" s="1" t="s">
        <v>740</v>
      </c>
      <c r="F40" s="1" t="str">
        <f>VLOOKUP(C40,REGISTRE!B:G,2,FALSE)</f>
        <v>Maniema</v>
      </c>
      <c r="G40" s="1">
        <f>VLOOKUP(C40,REGISTRE!B:G,3,FALSE)</f>
        <v>-8.4824669999999998</v>
      </c>
      <c r="H40" s="1">
        <f>VLOOKUP(C40,REGISTRE!B:G,4,FALSE)</f>
        <v>21.897777999999999</v>
      </c>
      <c r="I40" s="1" t="str">
        <f>VLOOKUP(C40,REGISTRE!B:G,5,FALSE)</f>
        <v>5G</v>
      </c>
      <c r="J40" s="1" t="str">
        <f>VLOOKUP(C40,REGISTRE!B:G,6,FALSE)</f>
        <v>Ericsson</v>
      </c>
      <c r="K40" s="1" t="str">
        <f>INT(LOGS_Rx5[[#This Row],[Duree_Panne_Min]]/60) &amp; " h " &amp; MOD(LOGS_Rx5[[#This Row],[Duree_Panne_Min]],60) &amp; " min " &amp; "0 s"</f>
        <v>0 h 59 min 0 s</v>
      </c>
    </row>
    <row r="41" spans="1:11" x14ac:dyDescent="0.35">
      <c r="A41" s="1" t="s">
        <v>826</v>
      </c>
      <c r="B41" s="2">
        <v>45206.167361111111</v>
      </c>
      <c r="C41" s="1" t="s">
        <v>861</v>
      </c>
      <c r="D41">
        <v>64</v>
      </c>
      <c r="E41" s="1" t="s">
        <v>738</v>
      </c>
      <c r="F41" s="1" t="str">
        <f>VLOOKUP(C41,REGISTRE!B:G,2,FALSE)</f>
        <v>Ituri</v>
      </c>
      <c r="G41" s="1">
        <f>VLOOKUP(C41,REGISTRE!B:G,3,FALSE)</f>
        <v>0.24202000000000001</v>
      </c>
      <c r="H41" s="1">
        <f>VLOOKUP(C41,REGISTRE!B:G,4,FALSE)</f>
        <v>17.396256999999999</v>
      </c>
      <c r="I41" s="1" t="str">
        <f>VLOOKUP(C41,REGISTRE!B:G,5,FALSE)</f>
        <v>4G</v>
      </c>
      <c r="J41" s="1" t="str">
        <f>VLOOKUP(C41,REGISTRE!B:G,6,FALSE)</f>
        <v>Huawei</v>
      </c>
      <c r="K41" s="1" t="str">
        <f>INT(LOGS_Rx5[[#This Row],[Duree_Panne_Min]]/60) &amp; " h " &amp; MOD(LOGS_Rx5[[#This Row],[Duree_Panne_Min]],60) &amp; " min " &amp; "0 s"</f>
        <v>1 h 4 min 0 s</v>
      </c>
    </row>
    <row r="42" spans="1:11" x14ac:dyDescent="0.35">
      <c r="A42" s="1" t="s">
        <v>1002</v>
      </c>
      <c r="B42" s="2">
        <v>45202.04791666667</v>
      </c>
      <c r="C42" s="1" t="s">
        <v>1020</v>
      </c>
      <c r="D42">
        <v>115</v>
      </c>
      <c r="E42" s="1" t="s">
        <v>738</v>
      </c>
      <c r="F42" s="1" t="str">
        <f>VLOOKUP(C42,REGISTRE!B:G,2,FALSE)</f>
        <v>Tshuapa</v>
      </c>
      <c r="G42" s="1">
        <f>VLOOKUP(C42,REGISTRE!B:G,3,FALSE)</f>
        <v>-10.577049000000001</v>
      </c>
      <c r="H42" s="1">
        <f>VLOOKUP(C42,REGISTRE!B:G,4,FALSE)</f>
        <v>23.721854</v>
      </c>
      <c r="I42" s="1" t="str">
        <f>VLOOKUP(C42,REGISTRE!B:G,5,FALSE)</f>
        <v>4G</v>
      </c>
      <c r="J42" s="1" t="str">
        <f>VLOOKUP(C42,REGISTRE!B:G,6,FALSE)</f>
        <v>ZTE</v>
      </c>
      <c r="K42" s="1" t="str">
        <f>INT(LOGS_Rx5[[#This Row],[Duree_Panne_Min]]/60) &amp; " h " &amp; MOD(LOGS_Rx5[[#This Row],[Duree_Panne_Min]],60) &amp; " min " &amp; "0 s"</f>
        <v>1 h 55 min 0 s</v>
      </c>
    </row>
    <row r="43" spans="1:11" x14ac:dyDescent="0.35">
      <c r="A43" s="1" t="s">
        <v>1171</v>
      </c>
      <c r="B43" s="2">
        <v>45225.979166666657</v>
      </c>
      <c r="C43" s="1" t="s">
        <v>1020</v>
      </c>
      <c r="D43">
        <v>6</v>
      </c>
      <c r="E43" s="1" t="s">
        <v>735</v>
      </c>
      <c r="F43" s="1" t="str">
        <f>VLOOKUP(C43,REGISTRE!B:G,2,FALSE)</f>
        <v>Tshuapa</v>
      </c>
      <c r="G43" s="1">
        <f>VLOOKUP(C43,REGISTRE!B:G,3,FALSE)</f>
        <v>-10.577049000000001</v>
      </c>
      <c r="H43" s="1">
        <f>VLOOKUP(C43,REGISTRE!B:G,4,FALSE)</f>
        <v>23.721854</v>
      </c>
      <c r="I43" s="1" t="str">
        <f>VLOOKUP(C43,REGISTRE!B:G,5,FALSE)</f>
        <v>4G</v>
      </c>
      <c r="J43" s="1" t="str">
        <f>VLOOKUP(C43,REGISTRE!B:G,6,FALSE)</f>
        <v>ZTE</v>
      </c>
      <c r="K43" s="1" t="str">
        <f>INT(LOGS_Rx5[[#This Row],[Duree_Panne_Min]]/60) &amp; " h " &amp; MOD(LOGS_Rx5[[#This Row],[Duree_Panne_Min]],60) &amp; " min " &amp; "0 s"</f>
        <v>0 h 6 min 0 s</v>
      </c>
    </row>
    <row r="44" spans="1:11" x14ac:dyDescent="0.35">
      <c r="A44" s="1" t="s">
        <v>1314</v>
      </c>
      <c r="B44" s="2">
        <v>45219.65625</v>
      </c>
      <c r="C44" s="1" t="s">
        <v>1020</v>
      </c>
      <c r="D44">
        <v>118</v>
      </c>
      <c r="E44" s="1" t="s">
        <v>738</v>
      </c>
      <c r="F44" s="1" t="str">
        <f>VLOOKUP(C44,REGISTRE!B:G,2,FALSE)</f>
        <v>Tshuapa</v>
      </c>
      <c r="G44" s="1">
        <f>VLOOKUP(C44,REGISTRE!B:G,3,FALSE)</f>
        <v>-10.577049000000001</v>
      </c>
      <c r="H44" s="1">
        <f>VLOOKUP(C44,REGISTRE!B:G,4,FALSE)</f>
        <v>23.721854</v>
      </c>
      <c r="I44" s="1" t="str">
        <f>VLOOKUP(C44,REGISTRE!B:G,5,FALSE)</f>
        <v>4G</v>
      </c>
      <c r="J44" s="1" t="str">
        <f>VLOOKUP(C44,REGISTRE!B:G,6,FALSE)</f>
        <v>ZTE</v>
      </c>
      <c r="K44" s="1" t="str">
        <f>INT(LOGS_Rx5[[#This Row],[Duree_Panne_Min]]/60) &amp; " h " &amp; MOD(LOGS_Rx5[[#This Row],[Duree_Panne_Min]],60) &amp; " min " &amp; "0 s"</f>
        <v>1 h 58 min 0 s</v>
      </c>
    </row>
    <row r="45" spans="1:11" x14ac:dyDescent="0.35">
      <c r="A45" s="1" t="s">
        <v>1028</v>
      </c>
      <c r="B45" s="2">
        <v>45225.147222222222</v>
      </c>
      <c r="C45" s="1" t="s">
        <v>1062</v>
      </c>
      <c r="D45">
        <v>44</v>
      </c>
      <c r="E45" s="1" t="s">
        <v>735</v>
      </c>
      <c r="F45" s="1" t="str">
        <f>VLOOKUP(C45,REGISTRE!B:G,2,FALSE)</f>
        <v>Sud-Kivu</v>
      </c>
      <c r="G45" s="1">
        <f>VLOOKUP(C45,REGISTRE!B:G,3,FALSE)</f>
        <v>4.2904629999999999</v>
      </c>
      <c r="H45" s="1">
        <f>VLOOKUP(C45,REGISTRE!B:G,4,FALSE)</f>
        <v>26.354195000000001</v>
      </c>
      <c r="I45" s="1" t="str">
        <f>VLOOKUP(C45,REGISTRE!B:G,5,FALSE)</f>
        <v>3G</v>
      </c>
      <c r="J45" s="1" t="str">
        <f>VLOOKUP(C45,REGISTRE!B:G,6,FALSE)</f>
        <v>Ericsson</v>
      </c>
      <c r="K45" s="1" t="str">
        <f>INT(LOGS_Rx5[[#This Row],[Duree_Panne_Min]]/60) &amp; " h " &amp; MOD(LOGS_Rx5[[#This Row],[Duree_Panne_Min]],60) &amp; " min " &amp; "0 s"</f>
        <v>0 h 44 min 0 s</v>
      </c>
    </row>
    <row r="46" spans="1:11" x14ac:dyDescent="0.35">
      <c r="A46" s="1" t="s">
        <v>864</v>
      </c>
      <c r="B46" s="2">
        <v>45210.45</v>
      </c>
      <c r="C46" s="1" t="s">
        <v>875</v>
      </c>
      <c r="D46">
        <v>66</v>
      </c>
      <c r="E46" s="1" t="s">
        <v>735</v>
      </c>
      <c r="F46" s="1" t="str">
        <f>VLOOKUP(C46,REGISTRE!B:G,2,FALSE)</f>
        <v>Lualaba</v>
      </c>
      <c r="G46" s="1">
        <f>VLOOKUP(C46,REGISTRE!B:G,3,FALSE)</f>
        <v>-9.7803979999999999</v>
      </c>
      <c r="H46" s="1">
        <f>VLOOKUP(C46,REGISTRE!B:G,4,FALSE)</f>
        <v>17.686595000000001</v>
      </c>
      <c r="I46" s="1" t="str">
        <f>VLOOKUP(C46,REGISTRE!B:G,5,FALSE)</f>
        <v>4G</v>
      </c>
      <c r="J46" s="1" t="str">
        <f>VLOOKUP(C46,REGISTRE!B:G,6,FALSE)</f>
        <v>Ericsson</v>
      </c>
      <c r="K46" s="1" t="str">
        <f>INT(LOGS_Rx5[[#This Row],[Duree_Panne_Min]]/60) &amp; " h " &amp; MOD(LOGS_Rx5[[#This Row],[Duree_Panne_Min]],60) &amp; " min " &amp; "0 s"</f>
        <v>1 h 6 min 0 s</v>
      </c>
    </row>
    <row r="47" spans="1:11" x14ac:dyDescent="0.35">
      <c r="A47" s="1" t="s">
        <v>1314</v>
      </c>
      <c r="B47" s="2">
        <v>45220.754166666673</v>
      </c>
      <c r="C47" s="1" t="s">
        <v>875</v>
      </c>
      <c r="D47">
        <v>85</v>
      </c>
      <c r="E47" s="1" t="s">
        <v>735</v>
      </c>
      <c r="F47" s="1" t="str">
        <f>VLOOKUP(C47,REGISTRE!B:G,2,FALSE)</f>
        <v>Lualaba</v>
      </c>
      <c r="G47" s="1">
        <f>VLOOKUP(C47,REGISTRE!B:G,3,FALSE)</f>
        <v>-9.7803979999999999</v>
      </c>
      <c r="H47" s="1">
        <f>VLOOKUP(C47,REGISTRE!B:G,4,FALSE)</f>
        <v>17.686595000000001</v>
      </c>
      <c r="I47" s="1" t="str">
        <f>VLOOKUP(C47,REGISTRE!B:G,5,FALSE)</f>
        <v>4G</v>
      </c>
      <c r="J47" s="1" t="str">
        <f>VLOOKUP(C47,REGISTRE!B:G,6,FALSE)</f>
        <v>Ericsson</v>
      </c>
      <c r="K47" s="1" t="str">
        <f>INT(LOGS_Rx5[[#This Row],[Duree_Panne_Min]]/60) &amp; " h " &amp; MOD(LOGS_Rx5[[#This Row],[Duree_Panne_Min]],60) &amp; " min " &amp; "0 s"</f>
        <v>1 h 25 min 0 s</v>
      </c>
    </row>
    <row r="48" spans="1:11" x14ac:dyDescent="0.35">
      <c r="A48" s="1" t="s">
        <v>1225</v>
      </c>
      <c r="B48" s="2">
        <v>45212.568055555559</v>
      </c>
      <c r="C48" s="1" t="s">
        <v>1245</v>
      </c>
      <c r="D48">
        <v>42</v>
      </c>
      <c r="E48" s="1" t="s">
        <v>738</v>
      </c>
      <c r="F48" s="1" t="str">
        <f>VLOOKUP(C48,REGISTRE!B:G,2,FALSE)</f>
        <v>Kasai-Central</v>
      </c>
      <c r="G48" s="1">
        <f>VLOOKUP(C48,REGISTRE!B:G,3,FALSE)</f>
        <v>-7.3379339999999997</v>
      </c>
      <c r="H48" s="1">
        <f>VLOOKUP(C48,REGISTRE!B:G,4,FALSE)</f>
        <v>28.404001999999998</v>
      </c>
      <c r="I48" s="1" t="str">
        <f>VLOOKUP(C48,REGISTRE!B:G,5,FALSE)</f>
        <v>3G</v>
      </c>
      <c r="J48" s="1" t="str">
        <f>VLOOKUP(C48,REGISTRE!B:G,6,FALSE)</f>
        <v>Nokia</v>
      </c>
      <c r="K48" s="1" t="str">
        <f>INT(LOGS_Rx5[[#This Row],[Duree_Panne_Min]]/60) &amp; " h " &amp; MOD(LOGS_Rx5[[#This Row],[Duree_Panne_Min]],60) &amp; " min " &amp; "0 s"</f>
        <v>0 h 42 min 0 s</v>
      </c>
    </row>
    <row r="49" spans="1:11" x14ac:dyDescent="0.35">
      <c r="A49" s="1" t="s">
        <v>1002</v>
      </c>
      <c r="B49" s="2">
        <v>45205.191666666673</v>
      </c>
      <c r="C49" s="1" t="s">
        <v>1013</v>
      </c>
      <c r="D49">
        <v>34</v>
      </c>
      <c r="E49" s="1" t="s">
        <v>735</v>
      </c>
      <c r="F49" s="1" t="str">
        <f>VLOOKUP(C49,REGISTRE!B:G,2,FALSE)</f>
        <v>Sankuru</v>
      </c>
      <c r="G49" s="1">
        <f>VLOOKUP(C49,REGISTRE!B:G,3,FALSE)</f>
        <v>-4.7886769999999999</v>
      </c>
      <c r="H49" s="1">
        <f>VLOOKUP(C49,REGISTRE!B:G,4,FALSE)</f>
        <v>23.600221999999999</v>
      </c>
      <c r="I49" s="1" t="str">
        <f>VLOOKUP(C49,REGISTRE!B:G,5,FALSE)</f>
        <v>3G</v>
      </c>
      <c r="J49" s="1" t="str">
        <f>VLOOKUP(C49,REGISTRE!B:G,6,FALSE)</f>
        <v>ZTE</v>
      </c>
      <c r="K49" s="1" t="str">
        <f>INT(LOGS_Rx5[[#This Row],[Duree_Panne_Min]]/60) &amp; " h " &amp; MOD(LOGS_Rx5[[#This Row],[Duree_Panne_Min]],60) &amp; " min " &amp; "0 s"</f>
        <v>0 h 34 min 0 s</v>
      </c>
    </row>
    <row r="50" spans="1:11" x14ac:dyDescent="0.35">
      <c r="A50" s="1" t="s">
        <v>942</v>
      </c>
      <c r="B50" s="2">
        <v>45222.663194444453</v>
      </c>
      <c r="C50" s="1" t="s">
        <v>959</v>
      </c>
      <c r="D50">
        <v>6</v>
      </c>
      <c r="E50" s="1" t="s">
        <v>740</v>
      </c>
      <c r="F50" s="1" t="str">
        <f>VLOOKUP(C50,REGISTRE!B:G,2,FALSE)</f>
        <v>Kongo-Central</v>
      </c>
      <c r="G50" s="1">
        <f>VLOOKUP(C50,REGISTRE!B:G,3,FALSE)</f>
        <v>2.975352</v>
      </c>
      <c r="H50" s="1">
        <f>VLOOKUP(C50,REGISTRE!B:G,4,FALSE)</f>
        <v>22.535886000000001</v>
      </c>
      <c r="I50" s="1" t="str">
        <f>VLOOKUP(C50,REGISTRE!B:G,5,FALSE)</f>
        <v>4G</v>
      </c>
      <c r="J50" s="1" t="str">
        <f>VLOOKUP(C50,REGISTRE!B:G,6,FALSE)</f>
        <v>Huawei</v>
      </c>
      <c r="K50" s="1" t="str">
        <f>INT(LOGS_Rx5[[#This Row],[Duree_Panne_Min]]/60) &amp; " h " &amp; MOD(LOGS_Rx5[[#This Row],[Duree_Panne_Min]],60) &amp; " min " &amp; "0 s"</f>
        <v>0 h 6 min 0 s</v>
      </c>
    </row>
    <row r="51" spans="1:11" x14ac:dyDescent="0.35">
      <c r="A51" s="1" t="s">
        <v>1091</v>
      </c>
      <c r="B51" s="2">
        <v>45204.237500000003</v>
      </c>
      <c r="C51" s="1" t="s">
        <v>959</v>
      </c>
      <c r="D51">
        <v>21</v>
      </c>
      <c r="E51" s="1" t="s">
        <v>738</v>
      </c>
      <c r="F51" s="1" t="str">
        <f>VLOOKUP(C51,REGISTRE!B:G,2,FALSE)</f>
        <v>Kongo-Central</v>
      </c>
      <c r="G51" s="1">
        <f>VLOOKUP(C51,REGISTRE!B:G,3,FALSE)</f>
        <v>2.975352</v>
      </c>
      <c r="H51" s="1">
        <f>VLOOKUP(C51,REGISTRE!B:G,4,FALSE)</f>
        <v>22.535886000000001</v>
      </c>
      <c r="I51" s="1" t="str">
        <f>VLOOKUP(C51,REGISTRE!B:G,5,FALSE)</f>
        <v>4G</v>
      </c>
      <c r="J51" s="1" t="str">
        <f>VLOOKUP(C51,REGISTRE!B:G,6,FALSE)</f>
        <v>Huawei</v>
      </c>
      <c r="K51" s="1" t="str">
        <f>INT(LOGS_Rx5[[#This Row],[Duree_Panne_Min]]/60) &amp; " h " &amp; MOD(LOGS_Rx5[[#This Row],[Duree_Panne_Min]],60) &amp; " min " &amp; "0 s"</f>
        <v>0 h 21 min 0 s</v>
      </c>
    </row>
    <row r="52" spans="1:11" x14ac:dyDescent="0.35">
      <c r="A52" s="1" t="s">
        <v>1294</v>
      </c>
      <c r="B52" s="2">
        <v>45204.55</v>
      </c>
      <c r="C52" s="1" t="s">
        <v>959</v>
      </c>
      <c r="D52">
        <v>113</v>
      </c>
      <c r="E52" s="1" t="s">
        <v>738</v>
      </c>
      <c r="F52" s="1" t="str">
        <f>VLOOKUP(C52,REGISTRE!B:G,2,FALSE)</f>
        <v>Kongo-Central</v>
      </c>
      <c r="G52" s="1">
        <f>VLOOKUP(C52,REGISTRE!B:G,3,FALSE)</f>
        <v>2.975352</v>
      </c>
      <c r="H52" s="1">
        <f>VLOOKUP(C52,REGISTRE!B:G,4,FALSE)</f>
        <v>22.535886000000001</v>
      </c>
      <c r="I52" s="1" t="str">
        <f>VLOOKUP(C52,REGISTRE!B:G,5,FALSE)</f>
        <v>4G</v>
      </c>
      <c r="J52" s="1" t="str">
        <f>VLOOKUP(C52,REGISTRE!B:G,6,FALSE)</f>
        <v>Huawei</v>
      </c>
      <c r="K52" s="1" t="str">
        <f>INT(LOGS_Rx5[[#This Row],[Duree_Panne_Min]]/60) &amp; " h " &amp; MOD(LOGS_Rx5[[#This Row],[Duree_Panne_Min]],60) &amp; " min " &amp; "0 s"</f>
        <v>1 h 53 min 0 s</v>
      </c>
    </row>
    <row r="53" spans="1:11" x14ac:dyDescent="0.35">
      <c r="A53" s="1" t="s">
        <v>1368</v>
      </c>
      <c r="B53" s="2">
        <v>45226.530555555553</v>
      </c>
      <c r="C53" s="1" t="s">
        <v>1372</v>
      </c>
      <c r="D53">
        <v>101</v>
      </c>
      <c r="E53" s="1" t="s">
        <v>740</v>
      </c>
      <c r="F53" s="1" t="str">
        <f>VLOOKUP(C53,REGISTRE!B:G,2,FALSE)</f>
        <v>Maniema</v>
      </c>
      <c r="G53" s="1">
        <f>VLOOKUP(C53,REGISTRE!B:G,3,FALSE)</f>
        <v>-10.650321</v>
      </c>
      <c r="H53" s="1">
        <f>VLOOKUP(C53,REGISTRE!B:G,4,FALSE)</f>
        <v>15.917044000000001</v>
      </c>
      <c r="I53" s="1" t="str">
        <f>VLOOKUP(C53,REGISTRE!B:G,5,FALSE)</f>
        <v>4G</v>
      </c>
      <c r="J53" s="1" t="str">
        <f>VLOOKUP(C53,REGISTRE!B:G,6,FALSE)</f>
        <v>Nokia</v>
      </c>
      <c r="K53" s="1" t="str">
        <f>INT(LOGS_Rx5[[#This Row],[Duree_Panne_Min]]/60) &amp; " h " &amp; MOD(LOGS_Rx5[[#This Row],[Duree_Panne_Min]],60) &amp; " min " &amp; "0 s"</f>
        <v>1 h 41 min 0 s</v>
      </c>
    </row>
    <row r="54" spans="1:11" x14ac:dyDescent="0.35">
      <c r="A54" s="1" t="s">
        <v>864</v>
      </c>
      <c r="B54" s="2">
        <v>45203.22152777778</v>
      </c>
      <c r="C54" s="1" t="s">
        <v>888</v>
      </c>
      <c r="D54">
        <v>101</v>
      </c>
      <c r="E54" s="1" t="s">
        <v>735</v>
      </c>
      <c r="F54" s="1" t="str">
        <f>VLOOKUP(C54,REGISTRE!B:G,2,FALSE)</f>
        <v>Tshopo</v>
      </c>
      <c r="G54" s="1">
        <f>VLOOKUP(C54,REGISTRE!B:G,3,FALSE)</f>
        <v>3.0603760000000002</v>
      </c>
      <c r="H54" s="1">
        <f>VLOOKUP(C54,REGISTRE!B:G,4,FALSE)</f>
        <v>19.708034000000001</v>
      </c>
      <c r="I54" s="1" t="str">
        <f>VLOOKUP(C54,REGISTRE!B:G,5,FALSE)</f>
        <v>3G</v>
      </c>
      <c r="J54" s="1" t="str">
        <f>VLOOKUP(C54,REGISTRE!B:G,6,FALSE)</f>
        <v>ZTE</v>
      </c>
      <c r="K54" s="1" t="str">
        <f>INT(LOGS_Rx5[[#This Row],[Duree_Panne_Min]]/60) &amp; " h " &amp; MOD(LOGS_Rx5[[#This Row],[Duree_Panne_Min]],60) &amp; " min " &amp; "0 s"</f>
        <v>1 h 41 min 0 s</v>
      </c>
    </row>
    <row r="55" spans="1:11" x14ac:dyDescent="0.35">
      <c r="A55" s="1" t="s">
        <v>1267</v>
      </c>
      <c r="B55" s="2">
        <v>45226.969444444447</v>
      </c>
      <c r="C55" s="1" t="s">
        <v>888</v>
      </c>
      <c r="D55">
        <v>68</v>
      </c>
      <c r="E55" s="1" t="s">
        <v>735</v>
      </c>
      <c r="F55" s="1" t="str">
        <f>VLOOKUP(C55,REGISTRE!B:G,2,FALSE)</f>
        <v>Tshopo</v>
      </c>
      <c r="G55" s="1">
        <f>VLOOKUP(C55,REGISTRE!B:G,3,FALSE)</f>
        <v>3.0603760000000002</v>
      </c>
      <c r="H55" s="1">
        <f>VLOOKUP(C55,REGISTRE!B:G,4,FALSE)</f>
        <v>19.708034000000001</v>
      </c>
      <c r="I55" s="1" t="str">
        <f>VLOOKUP(C55,REGISTRE!B:G,5,FALSE)</f>
        <v>3G</v>
      </c>
      <c r="J55" s="1" t="str">
        <f>VLOOKUP(C55,REGISTRE!B:G,6,FALSE)</f>
        <v>ZTE</v>
      </c>
      <c r="K55" s="1" t="str">
        <f>INT(LOGS_Rx5[[#This Row],[Duree_Panne_Min]]/60) &amp; " h " &amp; MOD(LOGS_Rx5[[#This Row],[Duree_Panne_Min]],60) &amp; " min " &amp; "0 s"</f>
        <v>1 h 8 min 0 s</v>
      </c>
    </row>
    <row r="56" spans="1:11" x14ac:dyDescent="0.35">
      <c r="A56" s="1" t="s">
        <v>1171</v>
      </c>
      <c r="B56" s="2">
        <v>45215.288194444453</v>
      </c>
      <c r="C56" s="1" t="s">
        <v>1184</v>
      </c>
      <c r="D56">
        <v>109</v>
      </c>
      <c r="E56" s="1" t="s">
        <v>735</v>
      </c>
      <c r="F56" s="1" t="str">
        <f>VLOOKUP(C56,REGISTRE!B:G,2,FALSE)</f>
        <v>Kongo-Central</v>
      </c>
      <c r="G56" s="1">
        <f>VLOOKUP(C56,REGISTRE!B:G,3,FALSE)</f>
        <v>-11.157245</v>
      </c>
      <c r="H56" s="1">
        <f>VLOOKUP(C56,REGISTRE!B:G,4,FALSE)</f>
        <v>21.262627999999999</v>
      </c>
      <c r="I56" s="1" t="str">
        <f>VLOOKUP(C56,REGISTRE!B:G,5,FALSE)</f>
        <v>5G</v>
      </c>
      <c r="J56" s="1" t="str">
        <f>VLOOKUP(C56,REGISTRE!B:G,6,FALSE)</f>
        <v>ZTE</v>
      </c>
      <c r="K56" s="1" t="str">
        <f>INT(LOGS_Rx5[[#This Row],[Duree_Panne_Min]]/60) &amp; " h " &amp; MOD(LOGS_Rx5[[#This Row],[Duree_Panne_Min]],60) &amp; " min " &amp; "0 s"</f>
        <v>1 h 49 min 0 s</v>
      </c>
    </row>
    <row r="57" spans="1:11" x14ac:dyDescent="0.35">
      <c r="A57" s="1" t="s">
        <v>1414</v>
      </c>
      <c r="B57" s="2">
        <v>45223.794444444437</v>
      </c>
      <c r="C57" s="1" t="s">
        <v>1417</v>
      </c>
      <c r="D57">
        <v>97</v>
      </c>
      <c r="E57" s="1" t="s">
        <v>735</v>
      </c>
      <c r="F57" s="1" t="str">
        <f>VLOOKUP(C57,REGISTRE!B:G,2,FALSE)</f>
        <v>Haut-Uele</v>
      </c>
      <c r="G57" s="1">
        <f>VLOOKUP(C57,REGISTRE!B:G,3,FALSE)</f>
        <v>1.0134879999999999</v>
      </c>
      <c r="H57" s="1">
        <f>VLOOKUP(C57,REGISTRE!B:G,4,FALSE)</f>
        <v>20.363515</v>
      </c>
      <c r="I57" s="1" t="str">
        <f>VLOOKUP(C57,REGISTRE!B:G,5,FALSE)</f>
        <v>4G</v>
      </c>
      <c r="J57" s="1" t="str">
        <f>VLOOKUP(C57,REGISTRE!B:G,6,FALSE)</f>
        <v>Nokia</v>
      </c>
      <c r="K57" s="1" t="str">
        <f>INT(LOGS_Rx5[[#This Row],[Duree_Panne_Min]]/60) &amp; " h " &amp; MOD(LOGS_Rx5[[#This Row],[Duree_Panne_Min]],60) &amp; " min " &amp; "0 s"</f>
        <v>1 h 37 min 0 s</v>
      </c>
    </row>
    <row r="58" spans="1:11" x14ac:dyDescent="0.35">
      <c r="A58" s="1" t="s">
        <v>1120</v>
      </c>
      <c r="B58" s="2">
        <v>45210.703472222223</v>
      </c>
      <c r="C58" s="1" t="s">
        <v>1126</v>
      </c>
      <c r="D58">
        <v>20</v>
      </c>
      <c r="E58" s="1" t="s">
        <v>735</v>
      </c>
      <c r="F58" s="1" t="str">
        <f>VLOOKUP(C58,REGISTRE!B:G,2,FALSE)</f>
        <v>Equateur</v>
      </c>
      <c r="G58" s="1">
        <f>VLOOKUP(C58,REGISTRE!B:G,3,FALSE)</f>
        <v>-0.79459900000000006</v>
      </c>
      <c r="H58" s="1">
        <f>VLOOKUP(C58,REGISTRE!B:G,4,FALSE)</f>
        <v>26.775570999999999</v>
      </c>
      <c r="I58" s="1" t="str">
        <f>VLOOKUP(C58,REGISTRE!B:G,5,FALSE)</f>
        <v>5G</v>
      </c>
      <c r="J58" s="1" t="str">
        <f>VLOOKUP(C58,REGISTRE!B:G,6,FALSE)</f>
        <v>Huawei</v>
      </c>
      <c r="K58" s="1" t="str">
        <f>INT(LOGS_Rx5[[#This Row],[Duree_Panne_Min]]/60) &amp; " h " &amp; MOD(LOGS_Rx5[[#This Row],[Duree_Panne_Min]],60) &amp; " min " &amp; "0 s"</f>
        <v>0 h 20 min 0 s</v>
      </c>
    </row>
    <row r="59" spans="1:11" x14ac:dyDescent="0.35">
      <c r="A59" s="1" t="s">
        <v>1120</v>
      </c>
      <c r="B59" s="2">
        <v>45213.763194444437</v>
      </c>
      <c r="C59" s="1" t="s">
        <v>1126</v>
      </c>
      <c r="D59">
        <v>119</v>
      </c>
      <c r="E59" s="1" t="s">
        <v>740</v>
      </c>
      <c r="F59" s="1" t="str">
        <f>VLOOKUP(C59,REGISTRE!B:G,2,FALSE)</f>
        <v>Equateur</v>
      </c>
      <c r="G59" s="1">
        <f>VLOOKUP(C59,REGISTRE!B:G,3,FALSE)</f>
        <v>-0.79459900000000006</v>
      </c>
      <c r="H59" s="1">
        <f>VLOOKUP(C59,REGISTRE!B:G,4,FALSE)</f>
        <v>26.775570999999999</v>
      </c>
      <c r="I59" s="1" t="str">
        <f>VLOOKUP(C59,REGISTRE!B:G,5,FALSE)</f>
        <v>5G</v>
      </c>
      <c r="J59" s="1" t="str">
        <f>VLOOKUP(C59,REGISTRE!B:G,6,FALSE)</f>
        <v>Huawei</v>
      </c>
      <c r="K59" s="1" t="str">
        <f>INT(LOGS_Rx5[[#This Row],[Duree_Panne_Min]]/60) &amp; " h " &amp; MOD(LOGS_Rx5[[#This Row],[Duree_Panne_Min]],60) &amp; " min " &amp; "0 s"</f>
        <v>1 h 59 min 0 s</v>
      </c>
    </row>
    <row r="60" spans="1:11" x14ac:dyDescent="0.35">
      <c r="A60" s="1" t="s">
        <v>1414</v>
      </c>
      <c r="B60" s="2">
        <v>45230.839583333327</v>
      </c>
      <c r="C60" s="1" t="s">
        <v>1126</v>
      </c>
      <c r="D60">
        <v>83</v>
      </c>
      <c r="E60" s="1" t="s">
        <v>740</v>
      </c>
      <c r="F60" s="1" t="str">
        <f>VLOOKUP(C60,REGISTRE!B:G,2,FALSE)</f>
        <v>Equateur</v>
      </c>
      <c r="G60" s="1">
        <f>VLOOKUP(C60,REGISTRE!B:G,3,FALSE)</f>
        <v>-0.79459900000000006</v>
      </c>
      <c r="H60" s="1">
        <f>VLOOKUP(C60,REGISTRE!B:G,4,FALSE)</f>
        <v>26.775570999999999</v>
      </c>
      <c r="I60" s="1" t="str">
        <f>VLOOKUP(C60,REGISTRE!B:G,5,FALSE)</f>
        <v>5G</v>
      </c>
      <c r="J60" s="1" t="str">
        <f>VLOOKUP(C60,REGISTRE!B:G,6,FALSE)</f>
        <v>Huawei</v>
      </c>
      <c r="K60" s="1" t="str">
        <f>INT(LOGS_Rx5[[#This Row],[Duree_Panne_Min]]/60) &amp; " h " &amp; MOD(LOGS_Rx5[[#This Row],[Duree_Panne_Min]],60) &amp; " min " &amp; "0 s"</f>
        <v>1 h 23 min 0 s</v>
      </c>
    </row>
    <row r="61" spans="1:11" x14ac:dyDescent="0.35">
      <c r="A61" s="1" t="s">
        <v>1028</v>
      </c>
      <c r="B61" s="2">
        <v>45220.893750000003</v>
      </c>
      <c r="C61" s="1" t="s">
        <v>1057</v>
      </c>
      <c r="D61">
        <v>101</v>
      </c>
      <c r="E61" s="1" t="s">
        <v>740</v>
      </c>
      <c r="F61" s="1" t="str">
        <f>VLOOKUP(C61,REGISTRE!B:G,2,FALSE)</f>
        <v>Bas-Uele</v>
      </c>
      <c r="G61" s="1">
        <f>VLOOKUP(C61,REGISTRE!B:G,3,FALSE)</f>
        <v>-2.2876210000000001</v>
      </c>
      <c r="H61" s="1">
        <f>VLOOKUP(C61,REGISTRE!B:G,4,FALSE)</f>
        <v>27.582545</v>
      </c>
      <c r="I61" s="1" t="str">
        <f>VLOOKUP(C61,REGISTRE!B:G,5,FALSE)</f>
        <v>4G</v>
      </c>
      <c r="J61" s="1" t="str">
        <f>VLOOKUP(C61,REGISTRE!B:G,6,FALSE)</f>
        <v>Huawei</v>
      </c>
      <c r="K61" s="1" t="str">
        <f>INT(LOGS_Rx5[[#This Row],[Duree_Panne_Min]]/60) &amp; " h " &amp; MOD(LOGS_Rx5[[#This Row],[Duree_Panne_Min]],60) &amp; " min " &amp; "0 s"</f>
        <v>1 h 41 min 0 s</v>
      </c>
    </row>
    <row r="62" spans="1:11" x14ac:dyDescent="0.35">
      <c r="A62" s="1" t="s">
        <v>1368</v>
      </c>
      <c r="B62" s="2">
        <v>45203.041666666657</v>
      </c>
      <c r="C62" s="1" t="s">
        <v>1057</v>
      </c>
      <c r="D62">
        <v>69</v>
      </c>
      <c r="E62" s="1" t="s">
        <v>740</v>
      </c>
      <c r="F62" s="1" t="str">
        <f>VLOOKUP(C62,REGISTRE!B:G,2,FALSE)</f>
        <v>Bas-Uele</v>
      </c>
      <c r="G62" s="1">
        <f>VLOOKUP(C62,REGISTRE!B:G,3,FALSE)</f>
        <v>-2.2876210000000001</v>
      </c>
      <c r="H62" s="1">
        <f>VLOOKUP(C62,REGISTRE!B:G,4,FALSE)</f>
        <v>27.582545</v>
      </c>
      <c r="I62" s="1" t="str">
        <f>VLOOKUP(C62,REGISTRE!B:G,5,FALSE)</f>
        <v>4G</v>
      </c>
      <c r="J62" s="1" t="str">
        <f>VLOOKUP(C62,REGISTRE!B:G,6,FALSE)</f>
        <v>Huawei</v>
      </c>
      <c r="K62" s="1" t="str">
        <f>INT(LOGS_Rx5[[#This Row],[Duree_Panne_Min]]/60) &amp; " h " &amp; MOD(LOGS_Rx5[[#This Row],[Duree_Panne_Min]],60) &amp; " min " &amp; "0 s"</f>
        <v>1 h 9 min 0 s</v>
      </c>
    </row>
    <row r="63" spans="1:11" x14ac:dyDescent="0.35">
      <c r="A63" s="1" t="s">
        <v>1171</v>
      </c>
      <c r="B63" s="2">
        <v>45225.781944444447</v>
      </c>
      <c r="C63" s="1" t="s">
        <v>1183</v>
      </c>
      <c r="D63">
        <v>113</v>
      </c>
      <c r="E63" s="1" t="s">
        <v>738</v>
      </c>
      <c r="F63" s="1" t="str">
        <f>VLOOKUP(C63,REGISTRE!B:G,2,FALSE)</f>
        <v>Tanganyika</v>
      </c>
      <c r="G63" s="1">
        <f>VLOOKUP(C63,REGISTRE!B:G,3,FALSE)</f>
        <v>-7.9425049999999997</v>
      </c>
      <c r="H63" s="1">
        <f>VLOOKUP(C63,REGISTRE!B:G,4,FALSE)</f>
        <v>24.111059000000001</v>
      </c>
      <c r="I63" s="1" t="str">
        <f>VLOOKUP(C63,REGISTRE!B:G,5,FALSE)</f>
        <v>3G</v>
      </c>
      <c r="J63" s="1" t="str">
        <f>VLOOKUP(C63,REGISTRE!B:G,6,FALSE)</f>
        <v>ZTE</v>
      </c>
      <c r="K63" s="1" t="str">
        <f>INT(LOGS_Rx5[[#This Row],[Duree_Panne_Min]]/60) &amp; " h " &amp; MOD(LOGS_Rx5[[#This Row],[Duree_Panne_Min]],60) &amp; " min " &amp; "0 s"</f>
        <v>1 h 53 min 0 s</v>
      </c>
    </row>
    <row r="64" spans="1:11" x14ac:dyDescent="0.35">
      <c r="A64" s="1" t="s">
        <v>1199</v>
      </c>
      <c r="B64" s="2">
        <v>45212.417361111111</v>
      </c>
      <c r="C64" s="1" t="s">
        <v>1204</v>
      </c>
      <c r="D64">
        <v>55</v>
      </c>
      <c r="E64" s="1" t="s">
        <v>738</v>
      </c>
      <c r="F64" s="1" t="str">
        <f>VLOOKUP(C64,REGISTRE!B:G,2,FALSE)</f>
        <v>Maniema</v>
      </c>
      <c r="G64" s="1">
        <f>VLOOKUP(C64,REGISTRE!B:G,3,FALSE)</f>
        <v>1.938083</v>
      </c>
      <c r="H64" s="1">
        <f>VLOOKUP(C64,REGISTRE!B:G,4,FALSE)</f>
        <v>28.25281</v>
      </c>
      <c r="I64" s="1" t="str">
        <f>VLOOKUP(C64,REGISTRE!B:G,5,FALSE)</f>
        <v>4G</v>
      </c>
      <c r="J64" s="1" t="str">
        <f>VLOOKUP(C64,REGISTRE!B:G,6,FALSE)</f>
        <v>Nokia</v>
      </c>
      <c r="K64" s="1" t="str">
        <f>INT(LOGS_Rx5[[#This Row],[Duree_Panne_Min]]/60) &amp; " h " &amp; MOD(LOGS_Rx5[[#This Row],[Duree_Panne_Min]],60) &amp; " min " &amp; "0 s"</f>
        <v>0 h 55 min 0 s</v>
      </c>
    </row>
    <row r="65" spans="1:11" x14ac:dyDescent="0.35">
      <c r="A65" s="1" t="s">
        <v>1225</v>
      </c>
      <c r="B65" s="2">
        <v>45203.910416666673</v>
      </c>
      <c r="C65" s="1" t="s">
        <v>1204</v>
      </c>
      <c r="D65">
        <v>62</v>
      </c>
      <c r="E65" s="1" t="s">
        <v>735</v>
      </c>
      <c r="F65" s="1" t="str">
        <f>VLOOKUP(C65,REGISTRE!B:G,2,FALSE)</f>
        <v>Maniema</v>
      </c>
      <c r="G65" s="1">
        <f>VLOOKUP(C65,REGISTRE!B:G,3,FALSE)</f>
        <v>1.938083</v>
      </c>
      <c r="H65" s="1">
        <f>VLOOKUP(C65,REGISTRE!B:G,4,FALSE)</f>
        <v>28.25281</v>
      </c>
      <c r="I65" s="1" t="str">
        <f>VLOOKUP(C65,REGISTRE!B:G,5,FALSE)</f>
        <v>4G</v>
      </c>
      <c r="J65" s="1" t="str">
        <f>VLOOKUP(C65,REGISTRE!B:G,6,FALSE)</f>
        <v>Nokia</v>
      </c>
      <c r="K65" s="1" t="str">
        <f>INT(LOGS_Rx5[[#This Row],[Duree_Panne_Min]]/60) &amp; " h " &amp; MOD(LOGS_Rx5[[#This Row],[Duree_Panne_Min]],60) &amp; " min " &amp; "0 s"</f>
        <v>1 h 2 min 0 s</v>
      </c>
    </row>
    <row r="66" spans="1:11" x14ac:dyDescent="0.35">
      <c r="A66" s="1" t="s">
        <v>1351</v>
      </c>
      <c r="B66" s="2">
        <v>45216.435416666667</v>
      </c>
      <c r="C66" s="1" t="s">
        <v>1204</v>
      </c>
      <c r="D66">
        <v>88</v>
      </c>
      <c r="E66" s="1" t="s">
        <v>735</v>
      </c>
      <c r="F66" s="1" t="str">
        <f>VLOOKUP(C66,REGISTRE!B:G,2,FALSE)</f>
        <v>Maniema</v>
      </c>
      <c r="G66" s="1">
        <f>VLOOKUP(C66,REGISTRE!B:G,3,FALSE)</f>
        <v>1.938083</v>
      </c>
      <c r="H66" s="1">
        <f>VLOOKUP(C66,REGISTRE!B:G,4,FALSE)</f>
        <v>28.25281</v>
      </c>
      <c r="I66" s="1" t="str">
        <f>VLOOKUP(C66,REGISTRE!B:G,5,FALSE)</f>
        <v>4G</v>
      </c>
      <c r="J66" s="1" t="str">
        <f>VLOOKUP(C66,REGISTRE!B:G,6,FALSE)</f>
        <v>Nokia</v>
      </c>
      <c r="K66" s="1" t="str">
        <f>INT(LOGS_Rx5[[#This Row],[Duree_Panne_Min]]/60) &amp; " h " &amp; MOD(LOGS_Rx5[[#This Row],[Duree_Panne_Min]],60) &amp; " min " &amp; "0 s"</f>
        <v>1 h 28 min 0 s</v>
      </c>
    </row>
    <row r="67" spans="1:11" x14ac:dyDescent="0.35">
      <c r="A67" s="1" t="s">
        <v>1351</v>
      </c>
      <c r="B67" s="2">
        <v>45230.395138888889</v>
      </c>
      <c r="C67" s="1" t="s">
        <v>1367</v>
      </c>
      <c r="D67">
        <v>89</v>
      </c>
      <c r="E67" s="1" t="s">
        <v>740</v>
      </c>
      <c r="F67" s="1" t="str">
        <f>VLOOKUP(C67,REGISTRE!B:G,2,FALSE)</f>
        <v>Bas-Uele</v>
      </c>
      <c r="G67" s="1">
        <f>VLOOKUP(C67,REGISTRE!B:G,3,FALSE)</f>
        <v>-7.3952039999999997</v>
      </c>
      <c r="H67" s="1">
        <f>VLOOKUP(C67,REGISTRE!B:G,4,FALSE)</f>
        <v>21.651043999999999</v>
      </c>
      <c r="I67" s="1" t="str">
        <f>VLOOKUP(C67,REGISTRE!B:G,5,FALSE)</f>
        <v>4G</v>
      </c>
      <c r="J67" s="1" t="str">
        <f>VLOOKUP(C67,REGISTRE!B:G,6,FALSE)</f>
        <v>Huawei</v>
      </c>
      <c r="K67" s="1" t="str">
        <f>INT(LOGS_Rx5[[#This Row],[Duree_Panne_Min]]/60) &amp; " h " &amp; MOD(LOGS_Rx5[[#This Row],[Duree_Panne_Min]],60) &amp; " min " &amp; "0 s"</f>
        <v>1 h 29 min 0 s</v>
      </c>
    </row>
    <row r="68" spans="1:11" x14ac:dyDescent="0.35">
      <c r="A68" s="1" t="s">
        <v>1144</v>
      </c>
      <c r="B68" s="2">
        <v>45207.011111111111</v>
      </c>
      <c r="C68" s="1" t="s">
        <v>1148</v>
      </c>
      <c r="D68">
        <v>32</v>
      </c>
      <c r="E68" s="1" t="s">
        <v>735</v>
      </c>
      <c r="F68" s="1" t="str">
        <f>VLOOKUP(C68,REGISTRE!B:G,2,FALSE)</f>
        <v>Kasai-Central</v>
      </c>
      <c r="G68" s="1">
        <f>VLOOKUP(C68,REGISTRE!B:G,3,FALSE)</f>
        <v>1.897178</v>
      </c>
      <c r="H68" s="1">
        <f>VLOOKUP(C68,REGISTRE!B:G,4,FALSE)</f>
        <v>23.902604</v>
      </c>
      <c r="I68" s="1" t="str">
        <f>VLOOKUP(C68,REGISTRE!B:G,5,FALSE)</f>
        <v>3G</v>
      </c>
      <c r="J68" s="1" t="str">
        <f>VLOOKUP(C68,REGISTRE!B:G,6,FALSE)</f>
        <v>Nokia</v>
      </c>
      <c r="K68" s="1" t="str">
        <f>INT(LOGS_Rx5[[#This Row],[Duree_Panne_Min]]/60) &amp; " h " &amp; MOD(LOGS_Rx5[[#This Row],[Duree_Panne_Min]],60) &amp; " min " &amp; "0 s"</f>
        <v>0 h 32 min 0 s</v>
      </c>
    </row>
    <row r="69" spans="1:11" x14ac:dyDescent="0.35">
      <c r="A69" s="1" t="s">
        <v>1389</v>
      </c>
      <c r="B69" s="2">
        <v>45204.625</v>
      </c>
      <c r="C69" s="1" t="s">
        <v>1391</v>
      </c>
      <c r="D69">
        <v>94</v>
      </c>
      <c r="E69" s="1" t="s">
        <v>740</v>
      </c>
      <c r="F69" s="1" t="str">
        <f>VLOOKUP(C69,REGISTRE!B:G,2,FALSE)</f>
        <v>Bas-Uele</v>
      </c>
      <c r="G69" s="1">
        <f>VLOOKUP(C69,REGISTRE!B:G,3,FALSE)</f>
        <v>-1.6893210000000001</v>
      </c>
      <c r="H69" s="1">
        <f>VLOOKUP(C69,REGISTRE!B:G,4,FALSE)</f>
        <v>30.446543999999999</v>
      </c>
      <c r="I69" s="1" t="str">
        <f>VLOOKUP(C69,REGISTRE!B:G,5,FALSE)</f>
        <v>4G</v>
      </c>
      <c r="J69" s="1" t="str">
        <f>VLOOKUP(C69,REGISTRE!B:G,6,FALSE)</f>
        <v>Huawei</v>
      </c>
      <c r="K69" s="1" t="str">
        <f>INT(LOGS_Rx5[[#This Row],[Duree_Panne_Min]]/60) &amp; " h " &amp; MOD(LOGS_Rx5[[#This Row],[Duree_Panne_Min]],60) &amp; " min " &amp; "0 s"</f>
        <v>1 h 34 min 0 s</v>
      </c>
    </row>
    <row r="70" spans="1:11" x14ac:dyDescent="0.35">
      <c r="A70" s="1" t="s">
        <v>782</v>
      </c>
      <c r="B70" s="2">
        <v>45214.457638888889</v>
      </c>
      <c r="C70" s="1" t="s">
        <v>823</v>
      </c>
      <c r="D70">
        <v>48</v>
      </c>
      <c r="E70" s="1" t="s">
        <v>740</v>
      </c>
      <c r="F70" s="1" t="str">
        <f>VLOOKUP(C70,REGISTRE!B:G,2,FALSE)</f>
        <v>Sud-Ubangi</v>
      </c>
      <c r="G70" s="1">
        <f>VLOOKUP(C70,REGISTRE!B:G,3,FALSE)</f>
        <v>-9.3652239999999995</v>
      </c>
      <c r="H70" s="1">
        <f>VLOOKUP(C70,REGISTRE!B:G,4,FALSE)</f>
        <v>22.593423999999999</v>
      </c>
      <c r="I70" s="1" t="str">
        <f>VLOOKUP(C70,REGISTRE!B:G,5,FALSE)</f>
        <v>5G</v>
      </c>
      <c r="J70" s="1" t="str">
        <f>VLOOKUP(C70,REGISTRE!B:G,6,FALSE)</f>
        <v>Nokia</v>
      </c>
      <c r="K70" s="1" t="str">
        <f>INT(LOGS_Rx5[[#This Row],[Duree_Panne_Min]]/60) &amp; " h " &amp; MOD(LOGS_Rx5[[#This Row],[Duree_Panne_Min]],60) &amp; " min " &amp; "0 s"</f>
        <v>0 h 48 min 0 s</v>
      </c>
    </row>
    <row r="71" spans="1:11" x14ac:dyDescent="0.35">
      <c r="A71" s="1" t="s">
        <v>1144</v>
      </c>
      <c r="B71" s="2">
        <v>45220.488888888889</v>
      </c>
      <c r="C71" s="1" t="s">
        <v>823</v>
      </c>
      <c r="D71">
        <v>49</v>
      </c>
      <c r="E71" s="1" t="s">
        <v>740</v>
      </c>
      <c r="F71" s="1" t="str">
        <f>VLOOKUP(C71,REGISTRE!B:G,2,FALSE)</f>
        <v>Sud-Ubangi</v>
      </c>
      <c r="G71" s="1">
        <f>VLOOKUP(C71,REGISTRE!B:G,3,FALSE)</f>
        <v>-9.3652239999999995</v>
      </c>
      <c r="H71" s="1">
        <f>VLOOKUP(C71,REGISTRE!B:G,4,FALSE)</f>
        <v>22.593423999999999</v>
      </c>
      <c r="I71" s="1" t="str">
        <f>VLOOKUP(C71,REGISTRE!B:G,5,FALSE)</f>
        <v>5G</v>
      </c>
      <c r="J71" s="1" t="str">
        <f>VLOOKUP(C71,REGISTRE!B:G,6,FALSE)</f>
        <v>Nokia</v>
      </c>
      <c r="K71" s="1" t="str">
        <f>INT(LOGS_Rx5[[#This Row],[Duree_Panne_Min]]/60) &amp; " h " &amp; MOD(LOGS_Rx5[[#This Row],[Duree_Panne_Min]],60) &amp; " min " &amp; "0 s"</f>
        <v>0 h 49 min 0 s</v>
      </c>
    </row>
    <row r="72" spans="1:11" x14ac:dyDescent="0.35">
      <c r="A72" s="1" t="s">
        <v>1414</v>
      </c>
      <c r="B72" s="2">
        <v>45212.875694444447</v>
      </c>
      <c r="C72" s="1" t="s">
        <v>1423</v>
      </c>
      <c r="D72">
        <v>23</v>
      </c>
      <c r="E72" s="1" t="s">
        <v>735</v>
      </c>
      <c r="F72" s="1" t="str">
        <f>VLOOKUP(C72,REGISTRE!B:G,2,FALSE)</f>
        <v>Kwilu</v>
      </c>
      <c r="G72" s="1">
        <f>VLOOKUP(C72,REGISTRE!B:G,3,FALSE)</f>
        <v>1.2691650000000001</v>
      </c>
      <c r="H72" s="1">
        <f>VLOOKUP(C72,REGISTRE!B:G,4,FALSE)</f>
        <v>18.789956</v>
      </c>
      <c r="I72" s="1" t="str">
        <f>VLOOKUP(C72,REGISTRE!B:G,5,FALSE)</f>
        <v>3G</v>
      </c>
      <c r="J72" s="1" t="str">
        <f>VLOOKUP(C72,REGISTRE!B:G,6,FALSE)</f>
        <v>Nokia</v>
      </c>
      <c r="K72" s="1" t="str">
        <f>INT(LOGS_Rx5[[#This Row],[Duree_Panne_Min]]/60) &amp; " h " &amp; MOD(LOGS_Rx5[[#This Row],[Duree_Panne_Min]],60) &amp; " min " &amp; "0 s"</f>
        <v>0 h 23 min 0 s</v>
      </c>
    </row>
    <row r="73" spans="1:11" x14ac:dyDescent="0.35">
      <c r="A73" s="1" t="s">
        <v>782</v>
      </c>
      <c r="B73" s="2">
        <v>45206.539583333331</v>
      </c>
      <c r="C73" s="1" t="s">
        <v>799</v>
      </c>
      <c r="D73">
        <v>43</v>
      </c>
      <c r="E73" s="1" t="s">
        <v>735</v>
      </c>
      <c r="F73" s="1" t="str">
        <f>VLOOKUP(C73,REGISTRE!B:G,2,FALSE)</f>
        <v>Kwango</v>
      </c>
      <c r="G73" s="1">
        <f>VLOOKUP(C73,REGISTRE!B:G,3,FALSE)</f>
        <v>-10.963041</v>
      </c>
      <c r="H73" s="1">
        <f>VLOOKUP(C73,REGISTRE!B:G,4,FALSE)</f>
        <v>12.269857</v>
      </c>
      <c r="I73" s="1" t="str">
        <f>VLOOKUP(C73,REGISTRE!B:G,5,FALSE)</f>
        <v>4G</v>
      </c>
      <c r="J73" s="1" t="str">
        <f>VLOOKUP(C73,REGISTRE!B:G,6,FALSE)</f>
        <v>Huawei</v>
      </c>
      <c r="K73" s="1" t="str">
        <f>INT(LOGS_Rx5[[#This Row],[Duree_Panne_Min]]/60) &amp; " h " &amp; MOD(LOGS_Rx5[[#This Row],[Duree_Panne_Min]],60) &amp; " min " &amp; "0 s"</f>
        <v>0 h 43 min 0 s</v>
      </c>
    </row>
    <row r="74" spans="1:11" x14ac:dyDescent="0.35">
      <c r="A74" s="1" t="s">
        <v>1267</v>
      </c>
      <c r="B74" s="2">
        <v>45228.621527777781</v>
      </c>
      <c r="C74" s="1" t="s">
        <v>799</v>
      </c>
      <c r="D74">
        <v>98</v>
      </c>
      <c r="E74" s="1" t="s">
        <v>740</v>
      </c>
      <c r="F74" s="1" t="str">
        <f>VLOOKUP(C74,REGISTRE!B:G,2,FALSE)</f>
        <v>Kwango</v>
      </c>
      <c r="G74" s="1">
        <f>VLOOKUP(C74,REGISTRE!B:G,3,FALSE)</f>
        <v>-10.963041</v>
      </c>
      <c r="H74" s="1">
        <f>VLOOKUP(C74,REGISTRE!B:G,4,FALSE)</f>
        <v>12.269857</v>
      </c>
      <c r="I74" s="1" t="str">
        <f>VLOOKUP(C74,REGISTRE!B:G,5,FALSE)</f>
        <v>4G</v>
      </c>
      <c r="J74" s="1" t="str">
        <f>VLOOKUP(C74,REGISTRE!B:G,6,FALSE)</f>
        <v>Huawei</v>
      </c>
      <c r="K74" s="1" t="str">
        <f>INT(LOGS_Rx5[[#This Row],[Duree_Panne_Min]]/60) &amp; " h " &amp; MOD(LOGS_Rx5[[#This Row],[Duree_Panne_Min]],60) &amp; " min " &amp; "0 s"</f>
        <v>1 h 38 min 0 s</v>
      </c>
    </row>
    <row r="75" spans="1:11" x14ac:dyDescent="0.35">
      <c r="A75" s="1" t="s">
        <v>1389</v>
      </c>
      <c r="B75" s="2">
        <v>45212.901388888888</v>
      </c>
      <c r="C75" s="1" t="s">
        <v>799</v>
      </c>
      <c r="D75">
        <v>58</v>
      </c>
      <c r="E75" s="1" t="s">
        <v>735</v>
      </c>
      <c r="F75" s="1" t="str">
        <f>VLOOKUP(C75,REGISTRE!B:G,2,FALSE)</f>
        <v>Kwango</v>
      </c>
      <c r="G75" s="1">
        <f>VLOOKUP(C75,REGISTRE!B:G,3,FALSE)</f>
        <v>-10.963041</v>
      </c>
      <c r="H75" s="1">
        <f>VLOOKUP(C75,REGISTRE!B:G,4,FALSE)</f>
        <v>12.269857</v>
      </c>
      <c r="I75" s="1" t="str">
        <f>VLOOKUP(C75,REGISTRE!B:G,5,FALSE)</f>
        <v>4G</v>
      </c>
      <c r="J75" s="1" t="str">
        <f>VLOOKUP(C75,REGISTRE!B:G,6,FALSE)</f>
        <v>Huawei</v>
      </c>
      <c r="K75" s="1" t="str">
        <f>INT(LOGS_Rx5[[#This Row],[Duree_Panne_Min]]/60) &amp; " h " &amp; MOD(LOGS_Rx5[[#This Row],[Duree_Panne_Min]],60) &amp; " min " &amp; "0 s"</f>
        <v>0 h 58 min 0 s</v>
      </c>
    </row>
    <row r="76" spans="1:11" x14ac:dyDescent="0.35">
      <c r="A76" s="1" t="s">
        <v>942</v>
      </c>
      <c r="B76" s="2">
        <v>45228.001388888893</v>
      </c>
      <c r="C76" s="1" t="s">
        <v>967</v>
      </c>
      <c r="D76">
        <v>100</v>
      </c>
      <c r="E76" s="1" t="s">
        <v>738</v>
      </c>
      <c r="F76" s="1" t="str">
        <f>VLOOKUP(C76,REGISTRE!B:G,2,FALSE)</f>
        <v>Sud-Kivu</v>
      </c>
      <c r="G76" s="1">
        <f>VLOOKUP(C76,REGISTRE!B:G,3,FALSE)</f>
        <v>-9.3900009999999998</v>
      </c>
      <c r="H76" s="1">
        <f>VLOOKUP(C76,REGISTRE!B:G,4,FALSE)</f>
        <v>30.001517</v>
      </c>
      <c r="I76" s="1" t="str">
        <f>VLOOKUP(C76,REGISTRE!B:G,5,FALSE)</f>
        <v>3G</v>
      </c>
      <c r="J76" s="1" t="str">
        <f>VLOOKUP(C76,REGISTRE!B:G,6,FALSE)</f>
        <v>Nokia</v>
      </c>
      <c r="K76" s="1" t="str">
        <f>INT(LOGS_Rx5[[#This Row],[Duree_Panne_Min]]/60) &amp; " h " &amp; MOD(LOGS_Rx5[[#This Row],[Duree_Panne_Min]],60) &amp; " min " &amp; "0 s"</f>
        <v>1 h 40 min 0 s</v>
      </c>
    </row>
    <row r="77" spans="1:11" x14ac:dyDescent="0.35">
      <c r="A77" s="1" t="s">
        <v>1247</v>
      </c>
      <c r="B77" s="2">
        <v>45210.49722222222</v>
      </c>
      <c r="C77" s="1" t="s">
        <v>967</v>
      </c>
      <c r="D77">
        <v>75</v>
      </c>
      <c r="E77" s="1" t="s">
        <v>740</v>
      </c>
      <c r="F77" s="1" t="str">
        <f>VLOOKUP(C77,REGISTRE!B:G,2,FALSE)</f>
        <v>Sud-Kivu</v>
      </c>
      <c r="G77" s="1">
        <f>VLOOKUP(C77,REGISTRE!B:G,3,FALSE)</f>
        <v>-9.3900009999999998</v>
      </c>
      <c r="H77" s="1">
        <f>VLOOKUP(C77,REGISTRE!B:G,4,FALSE)</f>
        <v>30.001517</v>
      </c>
      <c r="I77" s="1" t="str">
        <f>VLOOKUP(C77,REGISTRE!B:G,5,FALSE)</f>
        <v>3G</v>
      </c>
      <c r="J77" s="1" t="str">
        <f>VLOOKUP(C77,REGISTRE!B:G,6,FALSE)</f>
        <v>Nokia</v>
      </c>
      <c r="K77" s="1" t="str">
        <f>INT(LOGS_Rx5[[#This Row],[Duree_Panne_Min]]/60) &amp; " h " &amp; MOD(LOGS_Rx5[[#This Row],[Duree_Panne_Min]],60) &amp; " min " &amp; "0 s"</f>
        <v>1 h 15 min 0 s</v>
      </c>
    </row>
    <row r="78" spans="1:11" x14ac:dyDescent="0.35">
      <c r="A78" s="1" t="s">
        <v>1028</v>
      </c>
      <c r="B78" s="2">
        <v>45202.779166666667</v>
      </c>
      <c r="C78" s="1" t="s">
        <v>1047</v>
      </c>
      <c r="D78">
        <v>61</v>
      </c>
      <c r="E78" s="1" t="s">
        <v>740</v>
      </c>
      <c r="F78" s="1" t="str">
        <f>VLOOKUP(C78,REGISTRE!B:G,2,FALSE)</f>
        <v>Tanganyika</v>
      </c>
      <c r="G78" s="1">
        <f>VLOOKUP(C78,REGISTRE!B:G,3,FALSE)</f>
        <v>-12.229338</v>
      </c>
      <c r="H78" s="1">
        <f>VLOOKUP(C78,REGISTRE!B:G,4,FALSE)</f>
        <v>29.587834999999998</v>
      </c>
      <c r="I78" s="1" t="str">
        <f>VLOOKUP(C78,REGISTRE!B:G,5,FALSE)</f>
        <v>4G</v>
      </c>
      <c r="J78" s="1" t="str">
        <f>VLOOKUP(C78,REGISTRE!B:G,6,FALSE)</f>
        <v>Nokia</v>
      </c>
      <c r="K78" s="1" t="str">
        <f>INT(LOGS_Rx5[[#This Row],[Duree_Panne_Min]]/60) &amp; " h " &amp; MOD(LOGS_Rx5[[#This Row],[Duree_Panne_Min]],60) &amp; " min " &amp; "0 s"</f>
        <v>1 h 1 min 0 s</v>
      </c>
    </row>
    <row r="79" spans="1:11" x14ac:dyDescent="0.35">
      <c r="A79" s="1" t="s">
        <v>1199</v>
      </c>
      <c r="B79" s="2">
        <v>45213.351388888892</v>
      </c>
      <c r="C79" s="1" t="s">
        <v>1223</v>
      </c>
      <c r="D79">
        <v>86</v>
      </c>
      <c r="E79" s="1" t="s">
        <v>740</v>
      </c>
      <c r="F79" s="1" t="str">
        <f>VLOOKUP(C79,REGISTRE!B:G,2,FALSE)</f>
        <v>Maniema</v>
      </c>
      <c r="G79" s="1">
        <f>VLOOKUP(C79,REGISTRE!B:G,3,FALSE)</f>
        <v>4.8228650000000002</v>
      </c>
      <c r="H79" s="1">
        <f>VLOOKUP(C79,REGISTRE!B:G,4,FALSE)</f>
        <v>30.555627000000001</v>
      </c>
      <c r="I79" s="1" t="str">
        <f>VLOOKUP(C79,REGISTRE!B:G,5,FALSE)</f>
        <v>4G</v>
      </c>
      <c r="J79" s="1" t="str">
        <f>VLOOKUP(C79,REGISTRE!B:G,6,FALSE)</f>
        <v>Huawei</v>
      </c>
      <c r="K79" s="1" t="str">
        <f>INT(LOGS_Rx5[[#This Row],[Duree_Panne_Min]]/60) &amp; " h " &amp; MOD(LOGS_Rx5[[#This Row],[Duree_Panne_Min]],60) &amp; " min " &amp; "0 s"</f>
        <v>1 h 26 min 0 s</v>
      </c>
    </row>
    <row r="80" spans="1:11" x14ac:dyDescent="0.35">
      <c r="A80" s="1" t="s">
        <v>1063</v>
      </c>
      <c r="B80" s="2">
        <v>45205.169444444437</v>
      </c>
      <c r="C80" s="1" t="s">
        <v>1084</v>
      </c>
      <c r="D80">
        <v>18</v>
      </c>
      <c r="E80" s="1" t="s">
        <v>738</v>
      </c>
      <c r="F80" s="1" t="str">
        <f>VLOOKUP(C80,REGISTRE!B:G,2,FALSE)</f>
        <v>Kasaï</v>
      </c>
      <c r="G80" s="1">
        <f>VLOOKUP(C80,REGISTRE!B:G,3,FALSE)</f>
        <v>4.8689660000000003</v>
      </c>
      <c r="H80" s="1">
        <f>VLOOKUP(C80,REGISTRE!B:G,4,FALSE)</f>
        <v>25.112373000000002</v>
      </c>
      <c r="I80" s="1" t="str">
        <f>VLOOKUP(C80,REGISTRE!B:G,5,FALSE)</f>
        <v>3G</v>
      </c>
      <c r="J80" s="1" t="str">
        <f>VLOOKUP(C80,REGISTRE!B:G,6,FALSE)</f>
        <v>Huawei</v>
      </c>
      <c r="K80" s="1" t="str">
        <f>INT(LOGS_Rx5[[#This Row],[Duree_Panne_Min]]/60) &amp; " h " &amp; MOD(LOGS_Rx5[[#This Row],[Duree_Panne_Min]],60) &amp; " min " &amp; "0 s"</f>
        <v>0 h 18 min 0 s</v>
      </c>
    </row>
    <row r="81" spans="1:11" x14ac:dyDescent="0.35">
      <c r="A81" s="1" t="s">
        <v>782</v>
      </c>
      <c r="B81" s="2">
        <v>45203.760416666657</v>
      </c>
      <c r="C81" s="1" t="s">
        <v>814</v>
      </c>
      <c r="D81">
        <v>18</v>
      </c>
      <c r="E81" s="1" t="s">
        <v>740</v>
      </c>
      <c r="F81" s="1" t="str">
        <f>VLOOKUP(C81,REGISTRE!B:G,2,FALSE)</f>
        <v>Nord-Ubangi</v>
      </c>
      <c r="G81" s="1">
        <f>VLOOKUP(C81,REGISTRE!B:G,3,FALSE)</f>
        <v>0.94539899999999999</v>
      </c>
      <c r="H81" s="1">
        <f>VLOOKUP(C81,REGISTRE!B:G,4,FALSE)</f>
        <v>14.401821999999999</v>
      </c>
      <c r="I81" s="1" t="str">
        <f>VLOOKUP(C81,REGISTRE!B:G,5,FALSE)</f>
        <v>5G</v>
      </c>
      <c r="J81" s="1" t="str">
        <f>VLOOKUP(C81,REGISTRE!B:G,6,FALSE)</f>
        <v>Nokia</v>
      </c>
      <c r="K81" s="1" t="str">
        <f>INT(LOGS_Rx5[[#This Row],[Duree_Panne_Min]]/60) &amp; " h " &amp; MOD(LOGS_Rx5[[#This Row],[Duree_Panne_Min]],60) &amp; " min " &amp; "0 s"</f>
        <v>0 h 18 min 0 s</v>
      </c>
    </row>
    <row r="82" spans="1:11" x14ac:dyDescent="0.35">
      <c r="A82" s="1" t="s">
        <v>1171</v>
      </c>
      <c r="B82" s="2">
        <v>45230.009027777778</v>
      </c>
      <c r="C82" s="1" t="s">
        <v>814</v>
      </c>
      <c r="D82">
        <v>11</v>
      </c>
      <c r="E82" s="1" t="s">
        <v>738</v>
      </c>
      <c r="F82" s="1" t="str">
        <f>VLOOKUP(C82,REGISTRE!B:G,2,FALSE)</f>
        <v>Nord-Ubangi</v>
      </c>
      <c r="G82" s="1">
        <f>VLOOKUP(C82,REGISTRE!B:G,3,FALSE)</f>
        <v>0.94539899999999999</v>
      </c>
      <c r="H82" s="1">
        <f>VLOOKUP(C82,REGISTRE!B:G,4,FALSE)</f>
        <v>14.401821999999999</v>
      </c>
      <c r="I82" s="1" t="str">
        <f>VLOOKUP(C82,REGISTRE!B:G,5,FALSE)</f>
        <v>5G</v>
      </c>
      <c r="J82" s="1" t="str">
        <f>VLOOKUP(C82,REGISTRE!B:G,6,FALSE)</f>
        <v>Nokia</v>
      </c>
      <c r="K82" s="1" t="str">
        <f>INT(LOGS_Rx5[[#This Row],[Duree_Panne_Min]]/60) &amp; " h " &amp; MOD(LOGS_Rx5[[#This Row],[Duree_Panne_Min]],60) &amp; " min " &amp; "0 s"</f>
        <v>0 h 11 min 0 s</v>
      </c>
    </row>
    <row r="83" spans="1:11" x14ac:dyDescent="0.35">
      <c r="A83" s="1" t="s">
        <v>1336</v>
      </c>
      <c r="B83" s="2">
        <v>45205.650694444441</v>
      </c>
      <c r="C83" s="1" t="s">
        <v>1348</v>
      </c>
      <c r="D83">
        <v>63</v>
      </c>
      <c r="E83" s="1" t="s">
        <v>735</v>
      </c>
      <c r="F83" s="1" t="str">
        <f>VLOOKUP(C83,REGISTRE!B:G,2,FALSE)</f>
        <v>Kongo-Central</v>
      </c>
      <c r="G83" s="1">
        <f>VLOOKUP(C83,REGISTRE!B:G,3,FALSE)</f>
        <v>-10.977309</v>
      </c>
      <c r="H83" s="1">
        <f>VLOOKUP(C83,REGISTRE!B:G,4,FALSE)</f>
        <v>12.408281000000001</v>
      </c>
      <c r="I83" s="1" t="str">
        <f>VLOOKUP(C83,REGISTRE!B:G,5,FALSE)</f>
        <v>5G</v>
      </c>
      <c r="J83" s="1" t="str">
        <f>VLOOKUP(C83,REGISTRE!B:G,6,FALSE)</f>
        <v>ZTE</v>
      </c>
      <c r="K83" s="1" t="str">
        <f>INT(LOGS_Rx5[[#This Row],[Duree_Panne_Min]]/60) &amp; " h " &amp; MOD(LOGS_Rx5[[#This Row],[Duree_Panne_Min]],60) &amp; " min " &amp; "0 s"</f>
        <v>1 h 3 min 0 s</v>
      </c>
    </row>
    <row r="84" spans="1:11" x14ac:dyDescent="0.35">
      <c r="A84" s="1" t="s">
        <v>1144</v>
      </c>
      <c r="B84" s="2">
        <v>45216.275000000001</v>
      </c>
      <c r="C84" s="1" t="s">
        <v>1162</v>
      </c>
      <c r="D84">
        <v>119</v>
      </c>
      <c r="E84" s="1" t="s">
        <v>740</v>
      </c>
      <c r="F84" s="1" t="str">
        <f>VLOOKUP(C84,REGISTRE!B:G,2,FALSE)</f>
        <v>Sud-Kivu</v>
      </c>
      <c r="G84" s="1">
        <f>VLOOKUP(C84,REGISTRE!B:G,3,FALSE)</f>
        <v>2.4414509999999998</v>
      </c>
      <c r="H84" s="1">
        <f>VLOOKUP(C84,REGISTRE!B:G,4,FALSE)</f>
        <v>30.167489</v>
      </c>
      <c r="I84" s="1" t="str">
        <f>VLOOKUP(C84,REGISTRE!B:G,5,FALSE)</f>
        <v>5G</v>
      </c>
      <c r="J84" s="1" t="str">
        <f>VLOOKUP(C84,REGISTRE!B:G,6,FALSE)</f>
        <v>Nokia</v>
      </c>
      <c r="K84" s="1" t="str">
        <f>INT(LOGS_Rx5[[#This Row],[Duree_Panne_Min]]/60) &amp; " h " &amp; MOD(LOGS_Rx5[[#This Row],[Duree_Panne_Min]],60) &amp; " min " &amp; "0 s"</f>
        <v>1 h 59 min 0 s</v>
      </c>
    </row>
    <row r="85" spans="1:11" x14ac:dyDescent="0.35">
      <c r="A85" s="1" t="s">
        <v>1389</v>
      </c>
      <c r="B85" s="2">
        <v>45227.447916666657</v>
      </c>
      <c r="C85" s="1" t="s">
        <v>1162</v>
      </c>
      <c r="D85">
        <v>84</v>
      </c>
      <c r="E85" s="1" t="s">
        <v>738</v>
      </c>
      <c r="F85" s="1" t="str">
        <f>VLOOKUP(C85,REGISTRE!B:G,2,FALSE)</f>
        <v>Sud-Kivu</v>
      </c>
      <c r="G85" s="1">
        <f>VLOOKUP(C85,REGISTRE!B:G,3,FALSE)</f>
        <v>2.4414509999999998</v>
      </c>
      <c r="H85" s="1">
        <f>VLOOKUP(C85,REGISTRE!B:G,4,FALSE)</f>
        <v>30.167489</v>
      </c>
      <c r="I85" s="1" t="str">
        <f>VLOOKUP(C85,REGISTRE!B:G,5,FALSE)</f>
        <v>5G</v>
      </c>
      <c r="J85" s="1" t="str">
        <f>VLOOKUP(C85,REGISTRE!B:G,6,FALSE)</f>
        <v>Nokia</v>
      </c>
      <c r="K85" s="1" t="str">
        <f>INT(LOGS_Rx5[[#This Row],[Duree_Panne_Min]]/60) &amp; " h " &amp; MOD(LOGS_Rx5[[#This Row],[Duree_Panne_Min]],60) &amp; " min " &amp; "0 s"</f>
        <v>1 h 24 min 0 s</v>
      </c>
    </row>
    <row r="86" spans="1:11" x14ac:dyDescent="0.35">
      <c r="A86" s="1" t="s">
        <v>1120</v>
      </c>
      <c r="B86" s="2">
        <v>45216.865277777782</v>
      </c>
      <c r="C86" s="1" t="s">
        <v>1131</v>
      </c>
      <c r="D86">
        <v>10</v>
      </c>
      <c r="E86" s="1" t="s">
        <v>738</v>
      </c>
      <c r="F86" s="1" t="str">
        <f>VLOOKUP(C86,REGISTRE!B:G,2,FALSE)</f>
        <v>Kasai-Oriental</v>
      </c>
      <c r="G86" s="1">
        <f>VLOOKUP(C86,REGISTRE!B:G,3,FALSE)</f>
        <v>-1.648326</v>
      </c>
      <c r="H86" s="1">
        <f>VLOOKUP(C86,REGISTRE!B:G,4,FALSE)</f>
        <v>25.528901999999999</v>
      </c>
      <c r="I86" s="1" t="str">
        <f>VLOOKUP(C86,REGISTRE!B:G,5,FALSE)</f>
        <v>4G</v>
      </c>
      <c r="J86" s="1" t="str">
        <f>VLOOKUP(C86,REGISTRE!B:G,6,FALSE)</f>
        <v>Huawei</v>
      </c>
      <c r="K86" s="1" t="str">
        <f>INT(LOGS_Rx5[[#This Row],[Duree_Panne_Min]]/60) &amp; " h " &amp; MOD(LOGS_Rx5[[#This Row],[Duree_Panne_Min]],60) &amp; " min " &amp; "0 s"</f>
        <v>0 h 10 min 0 s</v>
      </c>
    </row>
    <row r="87" spans="1:11" x14ac:dyDescent="0.35">
      <c r="A87" s="1" t="s">
        <v>1063</v>
      </c>
      <c r="B87" s="2">
        <v>45226.84097222222</v>
      </c>
      <c r="C87" s="1" t="s">
        <v>1081</v>
      </c>
      <c r="D87">
        <v>74</v>
      </c>
      <c r="E87" s="1" t="s">
        <v>738</v>
      </c>
      <c r="F87" s="1" t="str">
        <f>VLOOKUP(C87,REGISTRE!B:G,2,FALSE)</f>
        <v>Kinshasa</v>
      </c>
      <c r="G87" s="1">
        <f>VLOOKUP(C87,REGISTRE!B:G,3,FALSE)</f>
        <v>-11.389362</v>
      </c>
      <c r="H87" s="1">
        <f>VLOOKUP(C87,REGISTRE!B:G,4,FALSE)</f>
        <v>22.240174</v>
      </c>
      <c r="I87" s="1" t="str">
        <f>VLOOKUP(C87,REGISTRE!B:G,5,FALSE)</f>
        <v>5G</v>
      </c>
      <c r="J87" s="1" t="str">
        <f>VLOOKUP(C87,REGISTRE!B:G,6,FALSE)</f>
        <v>ZTE</v>
      </c>
      <c r="K87" s="1" t="str">
        <f>INT(LOGS_Rx5[[#This Row],[Duree_Panne_Min]]/60) &amp; " h " &amp; MOD(LOGS_Rx5[[#This Row],[Duree_Panne_Min]],60) &amp; " min " &amp; "0 s"</f>
        <v>1 h 14 min 0 s</v>
      </c>
    </row>
    <row r="88" spans="1:11" x14ac:dyDescent="0.35">
      <c r="A88" s="1" t="s">
        <v>1091</v>
      </c>
      <c r="B88" s="2">
        <v>45218.088888888888</v>
      </c>
      <c r="C88" s="1" t="s">
        <v>1081</v>
      </c>
      <c r="D88">
        <v>12</v>
      </c>
      <c r="E88" s="1" t="s">
        <v>740</v>
      </c>
      <c r="F88" s="1" t="str">
        <f>VLOOKUP(C88,REGISTRE!B:G,2,FALSE)</f>
        <v>Kinshasa</v>
      </c>
      <c r="G88" s="1">
        <f>VLOOKUP(C88,REGISTRE!B:G,3,FALSE)</f>
        <v>-11.389362</v>
      </c>
      <c r="H88" s="1">
        <f>VLOOKUP(C88,REGISTRE!B:G,4,FALSE)</f>
        <v>22.240174</v>
      </c>
      <c r="I88" s="1" t="str">
        <f>VLOOKUP(C88,REGISTRE!B:G,5,FALSE)</f>
        <v>5G</v>
      </c>
      <c r="J88" s="1" t="str">
        <f>VLOOKUP(C88,REGISTRE!B:G,6,FALSE)</f>
        <v>ZTE</v>
      </c>
      <c r="K88" s="1" t="str">
        <f>INT(LOGS_Rx5[[#This Row],[Duree_Panne_Min]]/60) &amp; " h " &amp; MOD(LOGS_Rx5[[#This Row],[Duree_Panne_Min]],60) &amp; " min " &amp; "0 s"</f>
        <v>0 h 12 min 0 s</v>
      </c>
    </row>
    <row r="89" spans="1:11" x14ac:dyDescent="0.35">
      <c r="A89" s="1" t="s">
        <v>1091</v>
      </c>
      <c r="B89" s="2">
        <v>45209.215277777781</v>
      </c>
      <c r="C89" s="1" t="s">
        <v>1081</v>
      </c>
      <c r="D89">
        <v>23</v>
      </c>
      <c r="E89" s="1" t="s">
        <v>740</v>
      </c>
      <c r="F89" s="1" t="str">
        <f>VLOOKUP(C89,REGISTRE!B:G,2,FALSE)</f>
        <v>Kinshasa</v>
      </c>
      <c r="G89" s="1">
        <f>VLOOKUP(C89,REGISTRE!B:G,3,FALSE)</f>
        <v>-11.389362</v>
      </c>
      <c r="H89" s="1">
        <f>VLOOKUP(C89,REGISTRE!B:G,4,FALSE)</f>
        <v>22.240174</v>
      </c>
      <c r="I89" s="1" t="str">
        <f>VLOOKUP(C89,REGISTRE!B:G,5,FALSE)</f>
        <v>5G</v>
      </c>
      <c r="J89" s="1" t="str">
        <f>VLOOKUP(C89,REGISTRE!B:G,6,FALSE)</f>
        <v>ZTE</v>
      </c>
      <c r="K89" s="1" t="str">
        <f>INT(LOGS_Rx5[[#This Row],[Duree_Panne_Min]]/60) &amp; " h " &amp; MOD(LOGS_Rx5[[#This Row],[Duree_Panne_Min]],60) &amp; " min " &amp; "0 s"</f>
        <v>0 h 23 min 0 s</v>
      </c>
    </row>
    <row r="90" spans="1:11" x14ac:dyDescent="0.35">
      <c r="A90" s="1" t="s">
        <v>1389</v>
      </c>
      <c r="B90" s="2">
        <v>45219.438888888893</v>
      </c>
      <c r="C90" s="1" t="s">
        <v>1397</v>
      </c>
      <c r="D90">
        <v>105</v>
      </c>
      <c r="E90" s="1" t="s">
        <v>738</v>
      </c>
      <c r="F90" s="1" t="str">
        <f>VLOOKUP(C90,REGISTRE!B:G,2,FALSE)</f>
        <v>Sud-Ubangi</v>
      </c>
      <c r="G90" s="1">
        <f>VLOOKUP(C90,REGISTRE!B:G,3,FALSE)</f>
        <v>-0.54908599999999996</v>
      </c>
      <c r="H90" s="1">
        <f>VLOOKUP(C90,REGISTRE!B:G,4,FALSE)</f>
        <v>14.816867</v>
      </c>
      <c r="I90" s="1" t="str">
        <f>VLOOKUP(C90,REGISTRE!B:G,5,FALSE)</f>
        <v>5G</v>
      </c>
      <c r="J90" s="1" t="str">
        <f>VLOOKUP(C90,REGISTRE!B:G,6,FALSE)</f>
        <v>ZTE</v>
      </c>
      <c r="K90" s="1" t="str">
        <f>INT(LOGS_Rx5[[#This Row],[Duree_Panne_Min]]/60) &amp; " h " &amp; MOD(LOGS_Rx5[[#This Row],[Duree_Panne_Min]],60) &amp; " min " &amp; "0 s"</f>
        <v>1 h 45 min 0 s</v>
      </c>
    </row>
    <row r="91" spans="1:11" x14ac:dyDescent="0.35">
      <c r="A91" s="1" t="s">
        <v>733</v>
      </c>
      <c r="B91" s="2">
        <v>45206.919444444444</v>
      </c>
      <c r="C91" s="1" t="s">
        <v>760</v>
      </c>
      <c r="D91">
        <v>13</v>
      </c>
      <c r="E91" s="1" t="s">
        <v>738</v>
      </c>
      <c r="F91" s="1" t="str">
        <f>VLOOKUP(C91,REGISTRE!B:G,2,FALSE)</f>
        <v>Sud-Ubangi</v>
      </c>
      <c r="G91" s="1">
        <f>VLOOKUP(C91,REGISTRE!B:G,3,FALSE)</f>
        <v>-10.56448</v>
      </c>
      <c r="H91" s="1">
        <f>VLOOKUP(C91,REGISTRE!B:G,4,FALSE)</f>
        <v>19.792876</v>
      </c>
      <c r="I91" s="1" t="str">
        <f>VLOOKUP(C91,REGISTRE!B:G,5,FALSE)</f>
        <v>5G</v>
      </c>
      <c r="J91" s="1" t="str">
        <f>VLOOKUP(C91,REGISTRE!B:G,6,FALSE)</f>
        <v>Ericsson</v>
      </c>
      <c r="K91" s="1" t="str">
        <f>INT(LOGS_Rx5[[#This Row],[Duree_Panne_Min]]/60) &amp; " h " &amp; MOD(LOGS_Rx5[[#This Row],[Duree_Panne_Min]],60) &amp; " min " &amp; "0 s"</f>
        <v>0 h 13 min 0 s</v>
      </c>
    </row>
    <row r="92" spans="1:11" x14ac:dyDescent="0.35">
      <c r="A92" s="1" t="s">
        <v>782</v>
      </c>
      <c r="B92" s="2">
        <v>45229.595833333333</v>
      </c>
      <c r="C92" s="1" t="s">
        <v>760</v>
      </c>
      <c r="D92">
        <v>88</v>
      </c>
      <c r="E92" s="1" t="s">
        <v>740</v>
      </c>
      <c r="F92" s="1" t="str">
        <f>VLOOKUP(C92,REGISTRE!B:G,2,FALSE)</f>
        <v>Sud-Ubangi</v>
      </c>
      <c r="G92" s="1">
        <f>VLOOKUP(C92,REGISTRE!B:G,3,FALSE)</f>
        <v>-10.56448</v>
      </c>
      <c r="H92" s="1">
        <f>VLOOKUP(C92,REGISTRE!B:G,4,FALSE)</f>
        <v>19.792876</v>
      </c>
      <c r="I92" s="1" t="str">
        <f>VLOOKUP(C92,REGISTRE!B:G,5,FALSE)</f>
        <v>5G</v>
      </c>
      <c r="J92" s="1" t="str">
        <f>VLOOKUP(C92,REGISTRE!B:G,6,FALSE)</f>
        <v>Ericsson</v>
      </c>
      <c r="K92" s="1" t="str">
        <f>INT(LOGS_Rx5[[#This Row],[Duree_Panne_Min]]/60) &amp; " h " &amp; MOD(LOGS_Rx5[[#This Row],[Duree_Panne_Min]],60) &amp; " min " &amp; "0 s"</f>
        <v>1 h 28 min 0 s</v>
      </c>
    </row>
    <row r="93" spans="1:11" x14ac:dyDescent="0.35">
      <c r="A93" s="1" t="s">
        <v>1028</v>
      </c>
      <c r="B93" s="2">
        <v>45202.42083333333</v>
      </c>
      <c r="C93" s="1" t="s">
        <v>760</v>
      </c>
      <c r="D93">
        <v>84</v>
      </c>
      <c r="E93" s="1" t="s">
        <v>735</v>
      </c>
      <c r="F93" s="1" t="str">
        <f>VLOOKUP(C93,REGISTRE!B:G,2,FALSE)</f>
        <v>Sud-Ubangi</v>
      </c>
      <c r="G93" s="1">
        <f>VLOOKUP(C93,REGISTRE!B:G,3,FALSE)</f>
        <v>-10.56448</v>
      </c>
      <c r="H93" s="1">
        <f>VLOOKUP(C93,REGISTRE!B:G,4,FALSE)</f>
        <v>19.792876</v>
      </c>
      <c r="I93" s="1" t="str">
        <f>VLOOKUP(C93,REGISTRE!B:G,5,FALSE)</f>
        <v>5G</v>
      </c>
      <c r="J93" s="1" t="str">
        <f>VLOOKUP(C93,REGISTRE!B:G,6,FALSE)</f>
        <v>Ericsson</v>
      </c>
      <c r="K93" s="1" t="str">
        <f>INT(LOGS_Rx5[[#This Row],[Duree_Panne_Min]]/60) &amp; " h " &amp; MOD(LOGS_Rx5[[#This Row],[Duree_Panne_Min]],60) &amp; " min " &amp; "0 s"</f>
        <v>1 h 24 min 0 s</v>
      </c>
    </row>
    <row r="94" spans="1:11" x14ac:dyDescent="0.35">
      <c r="A94" s="1" t="s">
        <v>942</v>
      </c>
      <c r="B94" s="2">
        <v>45227.144444444442</v>
      </c>
      <c r="C94" s="1" t="s">
        <v>965</v>
      </c>
      <c r="D94">
        <v>11</v>
      </c>
      <c r="E94" s="1" t="s">
        <v>738</v>
      </c>
      <c r="F94" s="1" t="str">
        <f>VLOOKUP(C94,REGISTRE!B:G,2,FALSE)</f>
        <v>Tshopo</v>
      </c>
      <c r="G94" s="1">
        <f>VLOOKUP(C94,REGISTRE!B:G,3,FALSE)</f>
        <v>2.4425979999999998</v>
      </c>
      <c r="H94" s="1">
        <f>VLOOKUP(C94,REGISTRE!B:G,4,FALSE)</f>
        <v>24.924308</v>
      </c>
      <c r="I94" s="1" t="str">
        <f>VLOOKUP(C94,REGISTRE!B:G,5,FALSE)</f>
        <v>5G</v>
      </c>
      <c r="J94" s="1" t="str">
        <f>VLOOKUP(C94,REGISTRE!B:G,6,FALSE)</f>
        <v>Ericsson</v>
      </c>
      <c r="K94" s="1" t="str">
        <f>INT(LOGS_Rx5[[#This Row],[Duree_Panne_Min]]/60) &amp; " h " &amp; MOD(LOGS_Rx5[[#This Row],[Duree_Panne_Min]],60) &amp; " min " &amp; "0 s"</f>
        <v>0 h 11 min 0 s</v>
      </c>
    </row>
    <row r="95" spans="1:11" x14ac:dyDescent="0.35">
      <c r="A95" s="1" t="s">
        <v>1294</v>
      </c>
      <c r="B95" s="2">
        <v>45215.580555555563</v>
      </c>
      <c r="C95" s="1" t="s">
        <v>965</v>
      </c>
      <c r="D95">
        <v>102</v>
      </c>
      <c r="E95" s="1" t="s">
        <v>740</v>
      </c>
      <c r="F95" s="1" t="str">
        <f>VLOOKUP(C95,REGISTRE!B:G,2,FALSE)</f>
        <v>Tshopo</v>
      </c>
      <c r="G95" s="1">
        <f>VLOOKUP(C95,REGISTRE!B:G,3,FALSE)</f>
        <v>2.4425979999999998</v>
      </c>
      <c r="H95" s="1">
        <f>VLOOKUP(C95,REGISTRE!B:G,4,FALSE)</f>
        <v>24.924308</v>
      </c>
      <c r="I95" s="1" t="str">
        <f>VLOOKUP(C95,REGISTRE!B:G,5,FALSE)</f>
        <v>5G</v>
      </c>
      <c r="J95" s="1" t="str">
        <f>VLOOKUP(C95,REGISTRE!B:G,6,FALSE)</f>
        <v>Ericsson</v>
      </c>
      <c r="K95" s="1" t="str">
        <f>INT(LOGS_Rx5[[#This Row],[Duree_Panne_Min]]/60) &amp; " h " &amp; MOD(LOGS_Rx5[[#This Row],[Duree_Panne_Min]],60) &amp; " min " &amp; "0 s"</f>
        <v>1 h 42 min 0 s</v>
      </c>
    </row>
    <row r="96" spans="1:11" x14ac:dyDescent="0.35">
      <c r="A96" s="1" t="s">
        <v>733</v>
      </c>
      <c r="B96" s="2">
        <v>45213.311111111114</v>
      </c>
      <c r="C96" s="1" t="s">
        <v>747</v>
      </c>
      <c r="D96">
        <v>22</v>
      </c>
      <c r="E96" s="1" t="s">
        <v>738</v>
      </c>
      <c r="F96" s="1" t="str">
        <f>VLOOKUP(C96,REGISTRE!B:G,2,FALSE)</f>
        <v>Kwango</v>
      </c>
      <c r="G96" s="1">
        <f>VLOOKUP(C96,REGISTRE!B:G,3,FALSE)</f>
        <v>4.8319039999999998</v>
      </c>
      <c r="H96" s="1">
        <f>VLOOKUP(C96,REGISTRE!B:G,4,FALSE)</f>
        <v>20.733468999999999</v>
      </c>
      <c r="I96" s="1" t="str">
        <f>VLOOKUP(C96,REGISTRE!B:G,5,FALSE)</f>
        <v>5G</v>
      </c>
      <c r="J96" s="1" t="str">
        <f>VLOOKUP(C96,REGISTRE!B:G,6,FALSE)</f>
        <v>Ericsson</v>
      </c>
      <c r="K96" s="1" t="str">
        <f>INT(LOGS_Rx5[[#This Row],[Duree_Panne_Min]]/60) &amp; " h " &amp; MOD(LOGS_Rx5[[#This Row],[Duree_Panne_Min]],60) &amp; " min " &amp; "0 s"</f>
        <v>0 h 22 min 0 s</v>
      </c>
    </row>
    <row r="97" spans="1:11" x14ac:dyDescent="0.35">
      <c r="A97" s="1" t="s">
        <v>1144</v>
      </c>
      <c r="B97" s="2">
        <v>45212.311111111107</v>
      </c>
      <c r="C97" s="1" t="s">
        <v>747</v>
      </c>
      <c r="D97">
        <v>79</v>
      </c>
      <c r="E97" s="1" t="s">
        <v>735</v>
      </c>
      <c r="F97" s="1" t="str">
        <f>VLOOKUP(C97,REGISTRE!B:G,2,FALSE)</f>
        <v>Kwango</v>
      </c>
      <c r="G97" s="1">
        <f>VLOOKUP(C97,REGISTRE!B:G,3,FALSE)</f>
        <v>4.8319039999999998</v>
      </c>
      <c r="H97" s="1">
        <f>VLOOKUP(C97,REGISTRE!B:G,4,FALSE)</f>
        <v>20.733468999999999</v>
      </c>
      <c r="I97" s="1" t="str">
        <f>VLOOKUP(C97,REGISTRE!B:G,5,FALSE)</f>
        <v>5G</v>
      </c>
      <c r="J97" s="1" t="str">
        <f>VLOOKUP(C97,REGISTRE!B:G,6,FALSE)</f>
        <v>Ericsson</v>
      </c>
      <c r="K97" s="1" t="str">
        <f>INT(LOGS_Rx5[[#This Row],[Duree_Panne_Min]]/60) &amp; " h " &amp; MOD(LOGS_Rx5[[#This Row],[Duree_Panne_Min]],60) &amp; " min " &amp; "0 s"</f>
        <v>1 h 19 min 0 s</v>
      </c>
    </row>
    <row r="98" spans="1:11" x14ac:dyDescent="0.35">
      <c r="A98" s="1" t="s">
        <v>1171</v>
      </c>
      <c r="B98" s="2">
        <v>45227.091666666667</v>
      </c>
      <c r="C98" s="1" t="s">
        <v>1182</v>
      </c>
      <c r="D98">
        <v>112</v>
      </c>
      <c r="E98" s="1" t="s">
        <v>735</v>
      </c>
      <c r="F98" s="1" t="str">
        <f>VLOOKUP(C98,REGISTRE!B:G,2,FALSE)</f>
        <v>Kwilu</v>
      </c>
      <c r="G98" s="1">
        <f>VLOOKUP(C98,REGISTRE!B:G,3,FALSE)</f>
        <v>-10.161428000000001</v>
      </c>
      <c r="H98" s="1">
        <f>VLOOKUP(C98,REGISTRE!B:G,4,FALSE)</f>
        <v>19.362325999999999</v>
      </c>
      <c r="I98" s="1" t="str">
        <f>VLOOKUP(C98,REGISTRE!B:G,5,FALSE)</f>
        <v>3G</v>
      </c>
      <c r="J98" s="1" t="str">
        <f>VLOOKUP(C98,REGISTRE!B:G,6,FALSE)</f>
        <v>Nokia</v>
      </c>
      <c r="K98" s="1" t="str">
        <f>INT(LOGS_Rx5[[#This Row],[Duree_Panne_Min]]/60) &amp; " h " &amp; MOD(LOGS_Rx5[[#This Row],[Duree_Panne_Min]],60) &amp; " min " &amp; "0 s"</f>
        <v>1 h 52 min 0 s</v>
      </c>
    </row>
    <row r="99" spans="1:11" x14ac:dyDescent="0.35">
      <c r="A99" s="1" t="s">
        <v>1199</v>
      </c>
      <c r="B99" s="2">
        <v>45202.804166666669</v>
      </c>
      <c r="C99" s="1" t="s">
        <v>1208</v>
      </c>
      <c r="D99">
        <v>115</v>
      </c>
      <c r="E99" s="1" t="s">
        <v>738</v>
      </c>
      <c r="F99" s="1" t="str">
        <f>VLOOKUP(C99,REGISTRE!B:G,2,FALSE)</f>
        <v>Haut-Uele</v>
      </c>
      <c r="G99" s="1">
        <f>VLOOKUP(C99,REGISTRE!B:G,3,FALSE)</f>
        <v>1.2391989999999999</v>
      </c>
      <c r="H99" s="1">
        <f>VLOOKUP(C99,REGISTRE!B:G,4,FALSE)</f>
        <v>15.386718999999999</v>
      </c>
      <c r="I99" s="1" t="str">
        <f>VLOOKUP(C99,REGISTRE!B:G,5,FALSE)</f>
        <v>5G</v>
      </c>
      <c r="J99" s="1" t="str">
        <f>VLOOKUP(C99,REGISTRE!B:G,6,FALSE)</f>
        <v>ZTE</v>
      </c>
      <c r="K99" s="1" t="str">
        <f>INT(LOGS_Rx5[[#This Row],[Duree_Panne_Min]]/60) &amp; " h " &amp; MOD(LOGS_Rx5[[#This Row],[Duree_Panne_Min]],60) &amp; " min " &amp; "0 s"</f>
        <v>1 h 55 min 0 s</v>
      </c>
    </row>
    <row r="100" spans="1:11" x14ac:dyDescent="0.35">
      <c r="A100" s="1" t="s">
        <v>1144</v>
      </c>
      <c r="B100" s="2">
        <v>45210.686111111107</v>
      </c>
      <c r="C100" s="1" t="s">
        <v>1163</v>
      </c>
      <c r="D100">
        <v>62</v>
      </c>
      <c r="E100" s="1" t="s">
        <v>738</v>
      </c>
      <c r="F100" s="1" t="str">
        <f>VLOOKUP(C100,REGISTRE!B:G,2,FALSE)</f>
        <v>Nord-Ubangi</v>
      </c>
      <c r="G100" s="1">
        <f>VLOOKUP(C100,REGISTRE!B:G,3,FALSE)</f>
        <v>8.5490999999999998E-2</v>
      </c>
      <c r="H100" s="1">
        <f>VLOOKUP(C100,REGISTRE!B:G,4,FALSE)</f>
        <v>26.296129000000001</v>
      </c>
      <c r="I100" s="1" t="str">
        <f>VLOOKUP(C100,REGISTRE!B:G,5,FALSE)</f>
        <v>3G</v>
      </c>
      <c r="J100" s="1" t="str">
        <f>VLOOKUP(C100,REGISTRE!B:G,6,FALSE)</f>
        <v>ZTE</v>
      </c>
      <c r="K100" s="1" t="str">
        <f>INT(LOGS_Rx5[[#This Row],[Duree_Panne_Min]]/60) &amp; " h " &amp; MOD(LOGS_Rx5[[#This Row],[Duree_Panne_Min]],60) &amp; " min " &amp; "0 s"</f>
        <v>1 h 2 min 0 s</v>
      </c>
    </row>
    <row r="101" spans="1:11" x14ac:dyDescent="0.35">
      <c r="A101" s="1" t="s">
        <v>1247</v>
      </c>
      <c r="B101" s="2">
        <v>45210.908333333333</v>
      </c>
      <c r="C101" s="1" t="s">
        <v>1163</v>
      </c>
      <c r="D101">
        <v>57</v>
      </c>
      <c r="E101" s="1" t="s">
        <v>740</v>
      </c>
      <c r="F101" s="1" t="str">
        <f>VLOOKUP(C101,REGISTRE!B:G,2,FALSE)</f>
        <v>Nord-Ubangi</v>
      </c>
      <c r="G101" s="1">
        <f>VLOOKUP(C101,REGISTRE!B:G,3,FALSE)</f>
        <v>8.5490999999999998E-2</v>
      </c>
      <c r="H101" s="1">
        <f>VLOOKUP(C101,REGISTRE!B:G,4,FALSE)</f>
        <v>26.296129000000001</v>
      </c>
      <c r="I101" s="1" t="str">
        <f>VLOOKUP(C101,REGISTRE!B:G,5,FALSE)</f>
        <v>3G</v>
      </c>
      <c r="J101" s="1" t="str">
        <f>VLOOKUP(C101,REGISTRE!B:G,6,FALSE)</f>
        <v>ZTE</v>
      </c>
      <c r="K101" s="1" t="str">
        <f>INT(LOGS_Rx5[[#This Row],[Duree_Panne_Min]]/60) &amp; " h " &amp; MOD(LOGS_Rx5[[#This Row],[Duree_Panne_Min]],60) &amp; " min " &amp; "0 s"</f>
        <v>0 h 57 min 0 s</v>
      </c>
    </row>
    <row r="102" spans="1:11" x14ac:dyDescent="0.35">
      <c r="A102" s="1" t="s">
        <v>1091</v>
      </c>
      <c r="B102" s="2">
        <v>45216.078472222223</v>
      </c>
      <c r="C102" s="1" t="s">
        <v>1108</v>
      </c>
      <c r="D102">
        <v>48</v>
      </c>
      <c r="E102" s="1" t="s">
        <v>738</v>
      </c>
      <c r="F102" s="1" t="str">
        <f>VLOOKUP(C102,REGISTRE!B:G,2,FALSE)</f>
        <v>Sud-Ubangi</v>
      </c>
      <c r="G102" s="1">
        <f>VLOOKUP(C102,REGISTRE!B:G,3,FALSE)</f>
        <v>-8.0864899999999995</v>
      </c>
      <c r="H102" s="1">
        <f>VLOOKUP(C102,REGISTRE!B:G,4,FALSE)</f>
        <v>14.555277</v>
      </c>
      <c r="I102" s="1" t="str">
        <f>VLOOKUP(C102,REGISTRE!B:G,5,FALSE)</f>
        <v>3G</v>
      </c>
      <c r="J102" s="1" t="str">
        <f>VLOOKUP(C102,REGISTRE!B:G,6,FALSE)</f>
        <v>Ericsson</v>
      </c>
      <c r="K102" s="1" t="str">
        <f>INT(LOGS_Rx5[[#This Row],[Duree_Panne_Min]]/60) &amp; " h " &amp; MOD(LOGS_Rx5[[#This Row],[Duree_Panne_Min]],60) &amp; " min " &amp; "0 s"</f>
        <v>0 h 48 min 0 s</v>
      </c>
    </row>
    <row r="103" spans="1:11" x14ac:dyDescent="0.35">
      <c r="A103" s="1" t="s">
        <v>1028</v>
      </c>
      <c r="B103" s="2">
        <v>45209.365277777782</v>
      </c>
      <c r="C103" s="1" t="s">
        <v>1046</v>
      </c>
      <c r="D103">
        <v>120</v>
      </c>
      <c r="E103" s="1" t="s">
        <v>735</v>
      </c>
      <c r="F103" s="1" t="str">
        <f>VLOOKUP(C103,REGISTRE!B:G,2,FALSE)</f>
        <v>Sankuru</v>
      </c>
      <c r="G103" s="1">
        <f>VLOOKUP(C103,REGISTRE!B:G,3,FALSE)</f>
        <v>-1.4110389999999999</v>
      </c>
      <c r="H103" s="1">
        <f>VLOOKUP(C103,REGISTRE!B:G,4,FALSE)</f>
        <v>21.261644</v>
      </c>
      <c r="I103" s="1" t="str">
        <f>VLOOKUP(C103,REGISTRE!B:G,5,FALSE)</f>
        <v>4G</v>
      </c>
      <c r="J103" s="1" t="str">
        <f>VLOOKUP(C103,REGISTRE!B:G,6,FALSE)</f>
        <v>ZTE</v>
      </c>
      <c r="K103" s="1" t="str">
        <f>INT(LOGS_Rx5[[#This Row],[Duree_Panne_Min]]/60) &amp; " h " &amp; MOD(LOGS_Rx5[[#This Row],[Duree_Panne_Min]],60) &amp; " min " &amp; "0 s"</f>
        <v>2 h 0 min 0 s</v>
      </c>
    </row>
    <row r="104" spans="1:11" x14ac:dyDescent="0.35">
      <c r="A104" s="1" t="s">
        <v>1120</v>
      </c>
      <c r="B104" s="2">
        <v>45215.990277777782</v>
      </c>
      <c r="C104" s="1" t="s">
        <v>1046</v>
      </c>
      <c r="D104">
        <v>66</v>
      </c>
      <c r="E104" s="1" t="s">
        <v>740</v>
      </c>
      <c r="F104" s="1" t="str">
        <f>VLOOKUP(C104,REGISTRE!B:G,2,FALSE)</f>
        <v>Sankuru</v>
      </c>
      <c r="G104" s="1">
        <f>VLOOKUP(C104,REGISTRE!B:G,3,FALSE)</f>
        <v>-1.4110389999999999</v>
      </c>
      <c r="H104" s="1">
        <f>VLOOKUP(C104,REGISTRE!B:G,4,FALSE)</f>
        <v>21.261644</v>
      </c>
      <c r="I104" s="1" t="str">
        <f>VLOOKUP(C104,REGISTRE!B:G,5,FALSE)</f>
        <v>4G</v>
      </c>
      <c r="J104" s="1" t="str">
        <f>VLOOKUP(C104,REGISTRE!B:G,6,FALSE)</f>
        <v>ZTE</v>
      </c>
      <c r="K104" s="1" t="str">
        <f>INT(LOGS_Rx5[[#This Row],[Duree_Panne_Min]]/60) &amp; " h " &amp; MOD(LOGS_Rx5[[#This Row],[Duree_Panne_Min]],60) &amp; " min " &amp; "0 s"</f>
        <v>1 h 6 min 0 s</v>
      </c>
    </row>
    <row r="105" spans="1:11" x14ac:dyDescent="0.35">
      <c r="A105" s="1" t="s">
        <v>1199</v>
      </c>
      <c r="B105" s="2">
        <v>45211.724999999999</v>
      </c>
      <c r="C105" s="1" t="s">
        <v>1046</v>
      </c>
      <c r="D105">
        <v>84</v>
      </c>
      <c r="E105" s="1" t="s">
        <v>740</v>
      </c>
      <c r="F105" s="1" t="str">
        <f>VLOOKUP(C105,REGISTRE!B:G,2,FALSE)</f>
        <v>Sankuru</v>
      </c>
      <c r="G105" s="1">
        <f>VLOOKUP(C105,REGISTRE!B:G,3,FALSE)</f>
        <v>-1.4110389999999999</v>
      </c>
      <c r="H105" s="1">
        <f>VLOOKUP(C105,REGISTRE!B:G,4,FALSE)</f>
        <v>21.261644</v>
      </c>
      <c r="I105" s="1" t="str">
        <f>VLOOKUP(C105,REGISTRE!B:G,5,FALSE)</f>
        <v>4G</v>
      </c>
      <c r="J105" s="1" t="str">
        <f>VLOOKUP(C105,REGISTRE!B:G,6,FALSE)</f>
        <v>ZTE</v>
      </c>
      <c r="K105" s="1" t="str">
        <f>INT(LOGS_Rx5[[#This Row],[Duree_Panne_Min]]/60) &amp; " h " &amp; MOD(LOGS_Rx5[[#This Row],[Duree_Panne_Min]],60) &amp; " min " &amp; "0 s"</f>
        <v>1 h 24 min 0 s</v>
      </c>
    </row>
    <row r="106" spans="1:11" x14ac:dyDescent="0.35">
      <c r="A106" s="1" t="s">
        <v>942</v>
      </c>
      <c r="B106" s="2">
        <v>45205.929861111108</v>
      </c>
      <c r="C106" s="1" t="s">
        <v>966</v>
      </c>
      <c r="D106">
        <v>82</v>
      </c>
      <c r="E106" s="1" t="s">
        <v>740</v>
      </c>
      <c r="F106" s="1" t="str">
        <f>VLOOKUP(C106,REGISTRE!B:G,2,FALSE)</f>
        <v>Lualaba</v>
      </c>
      <c r="G106" s="1">
        <f>VLOOKUP(C106,REGISTRE!B:G,3,FALSE)</f>
        <v>4.0157999999999996</v>
      </c>
      <c r="H106" s="1">
        <f>VLOOKUP(C106,REGISTRE!B:G,4,FALSE)</f>
        <v>21.430246</v>
      </c>
      <c r="I106" s="1" t="str">
        <f>VLOOKUP(C106,REGISTRE!B:G,5,FALSE)</f>
        <v>5G</v>
      </c>
      <c r="J106" s="1" t="str">
        <f>VLOOKUP(C106,REGISTRE!B:G,6,FALSE)</f>
        <v>Nokia</v>
      </c>
      <c r="K106" s="1" t="str">
        <f>INT(LOGS_Rx5[[#This Row],[Duree_Panne_Min]]/60) &amp; " h " &amp; MOD(LOGS_Rx5[[#This Row],[Duree_Panne_Min]],60) &amp; " min " &amp; "0 s"</f>
        <v>1 h 22 min 0 s</v>
      </c>
    </row>
    <row r="107" spans="1:11" x14ac:dyDescent="0.35">
      <c r="A107" s="1" t="s">
        <v>905</v>
      </c>
      <c r="B107" s="2">
        <v>45207.368055555547</v>
      </c>
      <c r="C107" s="1" t="s">
        <v>928</v>
      </c>
      <c r="D107">
        <v>46</v>
      </c>
      <c r="E107" s="1" t="s">
        <v>735</v>
      </c>
      <c r="F107" s="1" t="str">
        <f>VLOOKUP(C107,REGISTRE!B:G,2,FALSE)</f>
        <v>Tanganyika</v>
      </c>
      <c r="G107" s="1">
        <f>VLOOKUP(C107,REGISTRE!B:G,3,FALSE)</f>
        <v>-10.481026999999999</v>
      </c>
      <c r="H107" s="1">
        <f>VLOOKUP(C107,REGISTRE!B:G,4,FALSE)</f>
        <v>18.160464000000001</v>
      </c>
      <c r="I107" s="1" t="str">
        <f>VLOOKUP(C107,REGISTRE!B:G,5,FALSE)</f>
        <v>5G</v>
      </c>
      <c r="J107" s="1" t="str">
        <f>VLOOKUP(C107,REGISTRE!B:G,6,FALSE)</f>
        <v>Huawei</v>
      </c>
      <c r="K107" s="1" t="str">
        <f>INT(LOGS_Rx5[[#This Row],[Duree_Panne_Min]]/60) &amp; " h " &amp; MOD(LOGS_Rx5[[#This Row],[Duree_Panne_Min]],60) &amp; " min " &amp; "0 s"</f>
        <v>0 h 46 min 0 s</v>
      </c>
    </row>
    <row r="108" spans="1:11" x14ac:dyDescent="0.35">
      <c r="A108" s="1" t="s">
        <v>1247</v>
      </c>
      <c r="B108" s="2">
        <v>45206.636805555558</v>
      </c>
      <c r="C108" s="1" t="s">
        <v>1252</v>
      </c>
      <c r="D108">
        <v>32</v>
      </c>
      <c r="E108" s="1" t="s">
        <v>740</v>
      </c>
      <c r="F108" s="1" t="str">
        <f>VLOOKUP(C108,REGISTRE!B:G,2,FALSE)</f>
        <v>Sud-Kivu</v>
      </c>
      <c r="G108" s="1">
        <f>VLOOKUP(C108,REGISTRE!B:G,3,FALSE)</f>
        <v>-11.514817000000001</v>
      </c>
      <c r="H108" s="1">
        <f>VLOOKUP(C108,REGISTRE!B:G,4,FALSE)</f>
        <v>24.891375</v>
      </c>
      <c r="I108" s="1" t="str">
        <f>VLOOKUP(C108,REGISTRE!B:G,5,FALSE)</f>
        <v>3G</v>
      </c>
      <c r="J108" s="1" t="str">
        <f>VLOOKUP(C108,REGISTRE!B:G,6,FALSE)</f>
        <v>Nokia</v>
      </c>
      <c r="K108" s="1" t="str">
        <f>INT(LOGS_Rx5[[#This Row],[Duree_Panne_Min]]/60) &amp; " h " &amp; MOD(LOGS_Rx5[[#This Row],[Duree_Panne_Min]],60) &amp; " min " &amp; "0 s"</f>
        <v>0 h 32 min 0 s</v>
      </c>
    </row>
    <row r="109" spans="1:11" x14ac:dyDescent="0.35">
      <c r="A109" s="1" t="s">
        <v>1351</v>
      </c>
      <c r="B109" s="2">
        <v>45218.589583333327</v>
      </c>
      <c r="C109" s="1" t="s">
        <v>1252</v>
      </c>
      <c r="D109">
        <v>21</v>
      </c>
      <c r="E109" s="1" t="s">
        <v>735</v>
      </c>
      <c r="F109" s="1" t="str">
        <f>VLOOKUP(C109,REGISTRE!B:G,2,FALSE)</f>
        <v>Sud-Kivu</v>
      </c>
      <c r="G109" s="1">
        <f>VLOOKUP(C109,REGISTRE!B:G,3,FALSE)</f>
        <v>-11.514817000000001</v>
      </c>
      <c r="H109" s="1">
        <f>VLOOKUP(C109,REGISTRE!B:G,4,FALSE)</f>
        <v>24.891375</v>
      </c>
      <c r="I109" s="1" t="str">
        <f>VLOOKUP(C109,REGISTRE!B:G,5,FALSE)</f>
        <v>3G</v>
      </c>
      <c r="J109" s="1" t="str">
        <f>VLOOKUP(C109,REGISTRE!B:G,6,FALSE)</f>
        <v>Nokia</v>
      </c>
      <c r="K109" s="1" t="str">
        <f>INT(LOGS_Rx5[[#This Row],[Duree_Panne_Min]]/60) &amp; " h " &amp; MOD(LOGS_Rx5[[#This Row],[Duree_Panne_Min]],60) &amp; " min " &amp; "0 s"</f>
        <v>0 h 21 min 0 s</v>
      </c>
    </row>
    <row r="110" spans="1:11" x14ac:dyDescent="0.35">
      <c r="A110" s="1" t="s">
        <v>1368</v>
      </c>
      <c r="B110" s="2">
        <v>45200.913888888892</v>
      </c>
      <c r="C110" s="1" t="s">
        <v>1380</v>
      </c>
      <c r="D110">
        <v>87</v>
      </c>
      <c r="E110" s="1" t="s">
        <v>735</v>
      </c>
      <c r="F110" s="1" t="str">
        <f>VLOOKUP(C110,REGISTRE!B:G,2,FALSE)</f>
        <v>Sankuru</v>
      </c>
      <c r="G110" s="1">
        <f>VLOOKUP(C110,REGISTRE!B:G,3,FALSE)</f>
        <v>3.175935</v>
      </c>
      <c r="H110" s="1">
        <f>VLOOKUP(C110,REGISTRE!B:G,4,FALSE)</f>
        <v>16.862832000000001</v>
      </c>
      <c r="I110" s="1" t="str">
        <f>VLOOKUP(C110,REGISTRE!B:G,5,FALSE)</f>
        <v>5G</v>
      </c>
      <c r="J110" s="1" t="str">
        <f>VLOOKUP(C110,REGISTRE!B:G,6,FALSE)</f>
        <v>Ericsson</v>
      </c>
      <c r="K110" s="1" t="str">
        <f>INT(LOGS_Rx5[[#This Row],[Duree_Panne_Min]]/60) &amp; " h " &amp; MOD(LOGS_Rx5[[#This Row],[Duree_Panne_Min]],60) &amp; " min " &amp; "0 s"</f>
        <v>1 h 27 min 0 s</v>
      </c>
    </row>
    <row r="111" spans="1:11" x14ac:dyDescent="0.35">
      <c r="A111" s="1" t="s">
        <v>1225</v>
      </c>
      <c r="B111" s="2">
        <v>45203.71597222222</v>
      </c>
      <c r="C111" s="1" t="s">
        <v>1240</v>
      </c>
      <c r="D111">
        <v>68</v>
      </c>
      <c r="E111" s="1" t="s">
        <v>738</v>
      </c>
      <c r="F111" s="1" t="str">
        <f>VLOOKUP(C111,REGISTRE!B:G,2,FALSE)</f>
        <v>Nord-Kivu</v>
      </c>
      <c r="G111" s="1">
        <f>VLOOKUP(C111,REGISTRE!B:G,3,FALSE)</f>
        <v>-7.9866700000000002</v>
      </c>
      <c r="H111" s="1">
        <f>VLOOKUP(C111,REGISTRE!B:G,4,FALSE)</f>
        <v>17.757847000000002</v>
      </c>
      <c r="I111" s="1" t="str">
        <f>VLOOKUP(C111,REGISTRE!B:G,5,FALSE)</f>
        <v>5G</v>
      </c>
      <c r="J111" s="1" t="str">
        <f>VLOOKUP(C111,REGISTRE!B:G,6,FALSE)</f>
        <v>Huawei</v>
      </c>
      <c r="K111" s="1" t="str">
        <f>INT(LOGS_Rx5[[#This Row],[Duree_Panne_Min]]/60) &amp; " h " &amp; MOD(LOGS_Rx5[[#This Row],[Duree_Panne_Min]],60) &amp; " min " &amp; "0 s"</f>
        <v>1 h 8 min 0 s</v>
      </c>
    </row>
    <row r="112" spans="1:11" x14ac:dyDescent="0.35">
      <c r="A112" s="1" t="s">
        <v>1294</v>
      </c>
      <c r="B112" s="2">
        <v>45222.479166666657</v>
      </c>
      <c r="C112" s="1" t="s">
        <v>1311</v>
      </c>
      <c r="D112">
        <v>112</v>
      </c>
      <c r="E112" s="1" t="s">
        <v>738</v>
      </c>
      <c r="F112" s="1" t="str">
        <f>VLOOKUP(C112,REGISTRE!B:G,2,FALSE)</f>
        <v>Haut-Uele</v>
      </c>
      <c r="G112" s="1">
        <f>VLOOKUP(C112,REGISTRE!B:G,3,FALSE)</f>
        <v>-8.8118569999999998</v>
      </c>
      <c r="H112" s="1">
        <f>VLOOKUP(C112,REGISTRE!B:G,4,FALSE)</f>
        <v>14.465711000000001</v>
      </c>
      <c r="I112" s="1" t="str">
        <f>VLOOKUP(C112,REGISTRE!B:G,5,FALSE)</f>
        <v>5G</v>
      </c>
      <c r="J112" s="1" t="str">
        <f>VLOOKUP(C112,REGISTRE!B:G,6,FALSE)</f>
        <v>Nokia</v>
      </c>
      <c r="K112" s="1" t="str">
        <f>INT(LOGS_Rx5[[#This Row],[Duree_Panne_Min]]/60) &amp; " h " &amp; MOD(LOGS_Rx5[[#This Row],[Duree_Panne_Min]],60) &amp; " min " &amp; "0 s"</f>
        <v>1 h 52 min 0 s</v>
      </c>
    </row>
    <row r="113" spans="1:11" x14ac:dyDescent="0.35">
      <c r="A113" s="1" t="s">
        <v>1389</v>
      </c>
      <c r="B113" s="2">
        <v>45211.587500000001</v>
      </c>
      <c r="C113" s="1" t="s">
        <v>1410</v>
      </c>
      <c r="D113">
        <v>27</v>
      </c>
      <c r="E113" s="1" t="s">
        <v>740</v>
      </c>
      <c r="F113" s="1" t="str">
        <f>VLOOKUP(C113,REGISTRE!B:G,2,FALSE)</f>
        <v>Equateur</v>
      </c>
      <c r="G113" s="1">
        <f>VLOOKUP(C113,REGISTRE!B:G,3,FALSE)</f>
        <v>-7.8215969999999997</v>
      </c>
      <c r="H113" s="1">
        <f>VLOOKUP(C113,REGISTRE!B:G,4,FALSE)</f>
        <v>26.797349000000001</v>
      </c>
      <c r="I113" s="1" t="str">
        <f>VLOOKUP(C113,REGISTRE!B:G,5,FALSE)</f>
        <v>3G</v>
      </c>
      <c r="J113" s="1" t="str">
        <f>VLOOKUP(C113,REGISTRE!B:G,6,FALSE)</f>
        <v>Ericsson</v>
      </c>
      <c r="K113" s="1" t="str">
        <f>INT(LOGS_Rx5[[#This Row],[Duree_Panne_Min]]/60) &amp; " h " &amp; MOD(LOGS_Rx5[[#This Row],[Duree_Panne_Min]],60) &amp; " min " &amp; "0 s"</f>
        <v>0 h 27 min 0 s</v>
      </c>
    </row>
    <row r="114" spans="1:11" x14ac:dyDescent="0.35">
      <c r="A114" s="1" t="s">
        <v>1144</v>
      </c>
      <c r="B114" s="2">
        <v>45203.59652777778</v>
      </c>
      <c r="C114" s="1" t="s">
        <v>1152</v>
      </c>
      <c r="D114">
        <v>13</v>
      </c>
      <c r="E114" s="1" t="s">
        <v>738</v>
      </c>
      <c r="F114" s="1" t="str">
        <f>VLOOKUP(C114,REGISTRE!B:G,2,FALSE)</f>
        <v>Tshuapa</v>
      </c>
      <c r="G114" s="1">
        <f>VLOOKUP(C114,REGISTRE!B:G,3,FALSE)</f>
        <v>-1.9540519999999999</v>
      </c>
      <c r="H114" s="1">
        <f>VLOOKUP(C114,REGISTRE!B:G,4,FALSE)</f>
        <v>12.667945</v>
      </c>
      <c r="I114" s="1" t="str">
        <f>VLOOKUP(C114,REGISTRE!B:G,5,FALSE)</f>
        <v>4G</v>
      </c>
      <c r="J114" s="1" t="str">
        <f>VLOOKUP(C114,REGISTRE!B:G,6,FALSE)</f>
        <v>Huawei</v>
      </c>
      <c r="K114" s="1" t="str">
        <f>INT(LOGS_Rx5[[#This Row],[Duree_Panne_Min]]/60) &amp; " h " &amp; MOD(LOGS_Rx5[[#This Row],[Duree_Panne_Min]],60) &amp; " min " &amp; "0 s"</f>
        <v>0 h 13 min 0 s</v>
      </c>
    </row>
    <row r="115" spans="1:11" x14ac:dyDescent="0.35">
      <c r="A115" s="1" t="s">
        <v>1368</v>
      </c>
      <c r="B115" s="2">
        <v>45230.913194444453</v>
      </c>
      <c r="C115" s="1" t="s">
        <v>1152</v>
      </c>
      <c r="D115">
        <v>62</v>
      </c>
      <c r="E115" s="1" t="s">
        <v>735</v>
      </c>
      <c r="F115" s="1" t="str">
        <f>VLOOKUP(C115,REGISTRE!B:G,2,FALSE)</f>
        <v>Tshuapa</v>
      </c>
      <c r="G115" s="1">
        <f>VLOOKUP(C115,REGISTRE!B:G,3,FALSE)</f>
        <v>-1.9540519999999999</v>
      </c>
      <c r="H115" s="1">
        <f>VLOOKUP(C115,REGISTRE!B:G,4,FALSE)</f>
        <v>12.667945</v>
      </c>
      <c r="I115" s="1" t="str">
        <f>VLOOKUP(C115,REGISTRE!B:G,5,FALSE)</f>
        <v>4G</v>
      </c>
      <c r="J115" s="1" t="str">
        <f>VLOOKUP(C115,REGISTRE!B:G,6,FALSE)</f>
        <v>Huawei</v>
      </c>
      <c r="K115" s="1" t="str">
        <f>INT(LOGS_Rx5[[#This Row],[Duree_Panne_Min]]/60) &amp; " h " &amp; MOD(LOGS_Rx5[[#This Row],[Duree_Panne_Min]],60) &amp; " min " &amp; "0 s"</f>
        <v>1 h 2 min 0 s</v>
      </c>
    </row>
    <row r="116" spans="1:11" x14ac:dyDescent="0.35">
      <c r="A116" s="1" t="s">
        <v>1120</v>
      </c>
      <c r="B116" s="2">
        <v>45228.672222222223</v>
      </c>
      <c r="C116" s="1" t="s">
        <v>1123</v>
      </c>
      <c r="D116">
        <v>106</v>
      </c>
      <c r="E116" s="1" t="s">
        <v>735</v>
      </c>
      <c r="F116" s="1" t="str">
        <f>VLOOKUP(C116,REGISTRE!B:G,2,FALSE)</f>
        <v>Lualaba</v>
      </c>
      <c r="G116" s="1">
        <f>VLOOKUP(C116,REGISTRE!B:G,3,FALSE)</f>
        <v>2.0392079999999999</v>
      </c>
      <c r="H116" s="1">
        <f>VLOOKUP(C116,REGISTRE!B:G,4,FALSE)</f>
        <v>19.090841999999999</v>
      </c>
      <c r="I116" s="1" t="str">
        <f>VLOOKUP(C116,REGISTRE!B:G,5,FALSE)</f>
        <v>4G</v>
      </c>
      <c r="J116" s="1" t="str">
        <f>VLOOKUP(C116,REGISTRE!B:G,6,FALSE)</f>
        <v>Nokia</v>
      </c>
      <c r="K116" s="1" t="str">
        <f>INT(LOGS_Rx5[[#This Row],[Duree_Panne_Min]]/60) &amp; " h " &amp; MOD(LOGS_Rx5[[#This Row],[Duree_Panne_Min]],60) &amp; " min " &amp; "0 s"</f>
        <v>1 h 46 min 0 s</v>
      </c>
    </row>
    <row r="117" spans="1:11" x14ac:dyDescent="0.35">
      <c r="A117" s="1" t="s">
        <v>1171</v>
      </c>
      <c r="B117" s="2">
        <v>45204.26458333333</v>
      </c>
      <c r="C117" s="1" t="s">
        <v>1123</v>
      </c>
      <c r="D117">
        <v>90</v>
      </c>
      <c r="E117" s="1" t="s">
        <v>740</v>
      </c>
      <c r="F117" s="1" t="str">
        <f>VLOOKUP(C117,REGISTRE!B:G,2,FALSE)</f>
        <v>Lualaba</v>
      </c>
      <c r="G117" s="1">
        <f>VLOOKUP(C117,REGISTRE!B:G,3,FALSE)</f>
        <v>2.0392079999999999</v>
      </c>
      <c r="H117" s="1">
        <f>VLOOKUP(C117,REGISTRE!B:G,4,FALSE)</f>
        <v>19.090841999999999</v>
      </c>
      <c r="I117" s="1" t="str">
        <f>VLOOKUP(C117,REGISTRE!B:G,5,FALSE)</f>
        <v>4G</v>
      </c>
      <c r="J117" s="1" t="str">
        <f>VLOOKUP(C117,REGISTRE!B:G,6,FALSE)</f>
        <v>Nokia</v>
      </c>
      <c r="K117" s="1" t="str">
        <f>INT(LOGS_Rx5[[#This Row],[Duree_Panne_Min]]/60) &amp; " h " &amp; MOD(LOGS_Rx5[[#This Row],[Duree_Panne_Min]],60) &amp; " min " &amp; "0 s"</f>
        <v>1 h 30 min 0 s</v>
      </c>
    </row>
    <row r="118" spans="1:11" x14ac:dyDescent="0.35">
      <c r="A118" s="1" t="s">
        <v>1144</v>
      </c>
      <c r="B118" s="2">
        <v>45214.697916666657</v>
      </c>
      <c r="C118" s="1" t="s">
        <v>1160</v>
      </c>
      <c r="D118">
        <v>98</v>
      </c>
      <c r="E118" s="1" t="s">
        <v>740</v>
      </c>
      <c r="F118" s="1" t="str">
        <f>VLOOKUP(C118,REGISTRE!B:G,2,FALSE)</f>
        <v>Mai-Ndombe</v>
      </c>
      <c r="G118" s="1">
        <f>VLOOKUP(C118,REGISTRE!B:G,3,FALSE)</f>
        <v>-12.192204</v>
      </c>
      <c r="H118" s="1">
        <f>VLOOKUP(C118,REGISTRE!B:G,4,FALSE)</f>
        <v>28.468682000000001</v>
      </c>
      <c r="I118" s="1" t="str">
        <f>VLOOKUP(C118,REGISTRE!B:G,5,FALSE)</f>
        <v>3G</v>
      </c>
      <c r="J118" s="1" t="str">
        <f>VLOOKUP(C118,REGISTRE!B:G,6,FALSE)</f>
        <v>ZTE</v>
      </c>
      <c r="K118" s="1" t="str">
        <f>INT(LOGS_Rx5[[#This Row],[Duree_Panne_Min]]/60) &amp; " h " &amp; MOD(LOGS_Rx5[[#This Row],[Duree_Panne_Min]],60) &amp; " min " &amp; "0 s"</f>
        <v>1 h 38 min 0 s</v>
      </c>
    </row>
    <row r="119" spans="1:11" x14ac:dyDescent="0.35">
      <c r="A119" s="1" t="s">
        <v>1120</v>
      </c>
      <c r="B119" s="2">
        <v>45230.40902777778</v>
      </c>
      <c r="C119" s="1" t="s">
        <v>1141</v>
      </c>
      <c r="D119">
        <v>80</v>
      </c>
      <c r="E119" s="1" t="s">
        <v>738</v>
      </c>
      <c r="F119" s="1" t="str">
        <f>VLOOKUP(C119,REGISTRE!B:G,2,FALSE)</f>
        <v>Kwilu</v>
      </c>
      <c r="G119" s="1">
        <f>VLOOKUP(C119,REGISTRE!B:G,3,FALSE)</f>
        <v>0.62055499999999997</v>
      </c>
      <c r="H119" s="1">
        <f>VLOOKUP(C119,REGISTRE!B:G,4,FALSE)</f>
        <v>21.222035000000002</v>
      </c>
      <c r="I119" s="1" t="str">
        <f>VLOOKUP(C119,REGISTRE!B:G,5,FALSE)</f>
        <v>5G</v>
      </c>
      <c r="J119" s="1" t="str">
        <f>VLOOKUP(C119,REGISTRE!B:G,6,FALSE)</f>
        <v>Nokia</v>
      </c>
      <c r="K119" s="1" t="str">
        <f>INT(LOGS_Rx5[[#This Row],[Duree_Panne_Min]]/60) &amp; " h " &amp; MOD(LOGS_Rx5[[#This Row],[Duree_Panne_Min]],60) &amp; " min " &amp; "0 s"</f>
        <v>1 h 20 min 0 s</v>
      </c>
    </row>
    <row r="120" spans="1:11" x14ac:dyDescent="0.35">
      <c r="A120" s="1" t="s">
        <v>1267</v>
      </c>
      <c r="B120" s="2">
        <v>45228.15902777778</v>
      </c>
      <c r="C120" s="1" t="s">
        <v>1141</v>
      </c>
      <c r="D120">
        <v>30</v>
      </c>
      <c r="E120" s="1" t="s">
        <v>735</v>
      </c>
      <c r="F120" s="1" t="str">
        <f>VLOOKUP(C120,REGISTRE!B:G,2,FALSE)</f>
        <v>Kwilu</v>
      </c>
      <c r="G120" s="1">
        <f>VLOOKUP(C120,REGISTRE!B:G,3,FALSE)</f>
        <v>0.62055499999999997</v>
      </c>
      <c r="H120" s="1">
        <f>VLOOKUP(C120,REGISTRE!B:G,4,FALSE)</f>
        <v>21.222035000000002</v>
      </c>
      <c r="I120" s="1" t="str">
        <f>VLOOKUP(C120,REGISTRE!B:G,5,FALSE)</f>
        <v>5G</v>
      </c>
      <c r="J120" s="1" t="str">
        <f>VLOOKUP(C120,REGISTRE!B:G,6,FALSE)</f>
        <v>Nokia</v>
      </c>
      <c r="K120" s="1" t="str">
        <f>INT(LOGS_Rx5[[#This Row],[Duree_Panne_Min]]/60) &amp; " h " &amp; MOD(LOGS_Rx5[[#This Row],[Duree_Panne_Min]],60) &amp; " min " &amp; "0 s"</f>
        <v>0 h 30 min 0 s</v>
      </c>
    </row>
    <row r="121" spans="1:11" x14ac:dyDescent="0.35">
      <c r="A121" s="1" t="s">
        <v>1120</v>
      </c>
      <c r="B121" s="2">
        <v>45205.527083333327</v>
      </c>
      <c r="C121" s="1" t="s">
        <v>1125</v>
      </c>
      <c r="D121">
        <v>40</v>
      </c>
      <c r="E121" s="1" t="s">
        <v>740</v>
      </c>
      <c r="F121" s="1" t="str">
        <f>VLOOKUP(C121,REGISTRE!B:G,2,FALSE)</f>
        <v>Nord-Kivu</v>
      </c>
      <c r="G121" s="1">
        <f>VLOOKUP(C121,REGISTRE!B:G,3,FALSE)</f>
        <v>-5.42171</v>
      </c>
      <c r="H121" s="1">
        <f>VLOOKUP(C121,REGISTRE!B:G,4,FALSE)</f>
        <v>24.202960999999998</v>
      </c>
      <c r="I121" s="1" t="str">
        <f>VLOOKUP(C121,REGISTRE!B:G,5,FALSE)</f>
        <v>5G</v>
      </c>
      <c r="J121" s="1" t="str">
        <f>VLOOKUP(C121,REGISTRE!B:G,6,FALSE)</f>
        <v>Ericsson</v>
      </c>
      <c r="K121" s="1" t="str">
        <f>INT(LOGS_Rx5[[#This Row],[Duree_Panne_Min]]/60) &amp; " h " &amp; MOD(LOGS_Rx5[[#This Row],[Duree_Panne_Min]],60) &amp; " min " &amp; "0 s"</f>
        <v>0 h 40 min 0 s</v>
      </c>
    </row>
    <row r="122" spans="1:11" x14ac:dyDescent="0.35">
      <c r="A122" s="1" t="s">
        <v>1294</v>
      </c>
      <c r="B122" s="2">
        <v>45220.743055555547</v>
      </c>
      <c r="C122" s="1" t="s">
        <v>1125</v>
      </c>
      <c r="D122">
        <v>54</v>
      </c>
      <c r="E122" s="1" t="s">
        <v>738</v>
      </c>
      <c r="F122" s="1" t="str">
        <f>VLOOKUP(C122,REGISTRE!B:G,2,FALSE)</f>
        <v>Nord-Kivu</v>
      </c>
      <c r="G122" s="1">
        <f>VLOOKUP(C122,REGISTRE!B:G,3,FALSE)</f>
        <v>-5.42171</v>
      </c>
      <c r="H122" s="1">
        <f>VLOOKUP(C122,REGISTRE!B:G,4,FALSE)</f>
        <v>24.202960999999998</v>
      </c>
      <c r="I122" s="1" t="str">
        <f>VLOOKUP(C122,REGISTRE!B:G,5,FALSE)</f>
        <v>5G</v>
      </c>
      <c r="J122" s="1" t="str">
        <f>VLOOKUP(C122,REGISTRE!B:G,6,FALSE)</f>
        <v>Ericsson</v>
      </c>
      <c r="K122" s="1" t="str">
        <f>INT(LOGS_Rx5[[#This Row],[Duree_Panne_Min]]/60) &amp; " h " &amp; MOD(LOGS_Rx5[[#This Row],[Duree_Panne_Min]],60) &amp; " min " &amp; "0 s"</f>
        <v>0 h 54 min 0 s</v>
      </c>
    </row>
    <row r="123" spans="1:11" x14ac:dyDescent="0.35">
      <c r="A123" s="1" t="s">
        <v>1414</v>
      </c>
      <c r="B123" s="2">
        <v>45212.720833333333</v>
      </c>
      <c r="C123" s="1" t="s">
        <v>1424</v>
      </c>
      <c r="D123">
        <v>33</v>
      </c>
      <c r="E123" s="1" t="s">
        <v>740</v>
      </c>
      <c r="F123" s="1" t="str">
        <f>VLOOKUP(C123,REGISTRE!B:G,2,FALSE)</f>
        <v>Tshuapa</v>
      </c>
      <c r="G123" s="1">
        <f>VLOOKUP(C123,REGISTRE!B:G,3,FALSE)</f>
        <v>-5.7957599999999996</v>
      </c>
      <c r="H123" s="1">
        <f>VLOOKUP(C123,REGISTRE!B:G,4,FALSE)</f>
        <v>14.078258</v>
      </c>
      <c r="I123" s="1" t="str">
        <f>VLOOKUP(C123,REGISTRE!B:G,5,FALSE)</f>
        <v>5G</v>
      </c>
      <c r="J123" s="1" t="str">
        <f>VLOOKUP(C123,REGISTRE!B:G,6,FALSE)</f>
        <v>Ericsson</v>
      </c>
      <c r="K123" s="1" t="str">
        <f>INT(LOGS_Rx5[[#This Row],[Duree_Panne_Min]]/60) &amp; " h " &amp; MOD(LOGS_Rx5[[#This Row],[Duree_Panne_Min]],60) &amp; " min " &amp; "0 s"</f>
        <v>0 h 33 min 0 s</v>
      </c>
    </row>
    <row r="124" spans="1:11" x14ac:dyDescent="0.35">
      <c r="A124" s="1" t="s">
        <v>826</v>
      </c>
      <c r="B124" s="2">
        <v>45219.420138888891</v>
      </c>
      <c r="C124" s="1" t="s">
        <v>858</v>
      </c>
      <c r="D124">
        <v>63</v>
      </c>
      <c r="E124" s="1" t="s">
        <v>740</v>
      </c>
      <c r="F124" s="1" t="str">
        <f>VLOOKUP(C124,REGISTRE!B:G,2,FALSE)</f>
        <v>Lomami</v>
      </c>
      <c r="G124" s="1">
        <f>VLOOKUP(C124,REGISTRE!B:G,3,FALSE)</f>
        <v>-9.9875139999999991</v>
      </c>
      <c r="H124" s="1">
        <f>VLOOKUP(C124,REGISTRE!B:G,4,FALSE)</f>
        <v>12.013676999999999</v>
      </c>
      <c r="I124" s="1" t="str">
        <f>VLOOKUP(C124,REGISTRE!B:G,5,FALSE)</f>
        <v>3G</v>
      </c>
      <c r="J124" s="1" t="str">
        <f>VLOOKUP(C124,REGISTRE!B:G,6,FALSE)</f>
        <v>ZTE</v>
      </c>
      <c r="K124" s="1" t="str">
        <f>INT(LOGS_Rx5[[#This Row],[Duree_Panne_Min]]/60) &amp; " h " &amp; MOD(LOGS_Rx5[[#This Row],[Duree_Panne_Min]],60) &amp; " min " &amp; "0 s"</f>
        <v>1 h 3 min 0 s</v>
      </c>
    </row>
    <row r="125" spans="1:11" x14ac:dyDescent="0.35">
      <c r="A125" s="1" t="s">
        <v>864</v>
      </c>
      <c r="B125" s="2">
        <v>45228.511805555558</v>
      </c>
      <c r="C125" s="1" t="s">
        <v>876</v>
      </c>
      <c r="D125">
        <v>64</v>
      </c>
      <c r="E125" s="1" t="s">
        <v>738</v>
      </c>
      <c r="F125" s="1" t="str">
        <f>VLOOKUP(C125,REGISTRE!B:G,2,FALSE)</f>
        <v>Haut-Uele</v>
      </c>
      <c r="G125" s="1">
        <f>VLOOKUP(C125,REGISTRE!B:G,3,FALSE)</f>
        <v>-4.4351269999999996</v>
      </c>
      <c r="H125" s="1">
        <f>VLOOKUP(C125,REGISTRE!B:G,4,FALSE)</f>
        <v>24.825467</v>
      </c>
      <c r="I125" s="1" t="str">
        <f>VLOOKUP(C125,REGISTRE!B:G,5,FALSE)</f>
        <v>4G</v>
      </c>
      <c r="J125" s="1" t="str">
        <f>VLOOKUP(C125,REGISTRE!B:G,6,FALSE)</f>
        <v>Huawei</v>
      </c>
      <c r="K125" s="1" t="str">
        <f>INT(LOGS_Rx5[[#This Row],[Duree_Panne_Min]]/60) &amp; " h " &amp; MOD(LOGS_Rx5[[#This Row],[Duree_Panne_Min]],60) &amp; " min " &amp; "0 s"</f>
        <v>1 h 4 min 0 s</v>
      </c>
    </row>
    <row r="126" spans="1:11" x14ac:dyDescent="0.35">
      <c r="A126" s="1" t="s">
        <v>1199</v>
      </c>
      <c r="B126" s="2">
        <v>45230.323611111111</v>
      </c>
      <c r="C126" s="1" t="s">
        <v>876</v>
      </c>
      <c r="D126">
        <v>105</v>
      </c>
      <c r="E126" s="1" t="s">
        <v>735</v>
      </c>
      <c r="F126" s="1" t="str">
        <f>VLOOKUP(C126,REGISTRE!B:G,2,FALSE)</f>
        <v>Haut-Uele</v>
      </c>
      <c r="G126" s="1">
        <f>VLOOKUP(C126,REGISTRE!B:G,3,FALSE)</f>
        <v>-4.4351269999999996</v>
      </c>
      <c r="H126" s="1">
        <f>VLOOKUP(C126,REGISTRE!B:G,4,FALSE)</f>
        <v>24.825467</v>
      </c>
      <c r="I126" s="1" t="str">
        <f>VLOOKUP(C126,REGISTRE!B:G,5,FALSE)</f>
        <v>4G</v>
      </c>
      <c r="J126" s="1" t="str">
        <f>VLOOKUP(C126,REGISTRE!B:G,6,FALSE)</f>
        <v>Huawei</v>
      </c>
      <c r="K126" s="1" t="str">
        <f>INT(LOGS_Rx5[[#This Row],[Duree_Panne_Min]]/60) &amp; " h " &amp; MOD(LOGS_Rx5[[#This Row],[Duree_Panne_Min]],60) &amp; " min " &amp; "0 s"</f>
        <v>1 h 45 min 0 s</v>
      </c>
    </row>
    <row r="127" spans="1:11" x14ac:dyDescent="0.35">
      <c r="A127" s="1" t="s">
        <v>864</v>
      </c>
      <c r="B127" s="2">
        <v>45202.780555555553</v>
      </c>
      <c r="C127" s="1" t="s">
        <v>893</v>
      </c>
      <c r="D127">
        <v>53</v>
      </c>
      <c r="E127" s="1" t="s">
        <v>740</v>
      </c>
      <c r="F127" s="1" t="str">
        <f>VLOOKUP(C127,REGISTRE!B:G,2,FALSE)</f>
        <v>Maniema</v>
      </c>
      <c r="G127" s="1">
        <f>VLOOKUP(C127,REGISTRE!B:G,3,FALSE)</f>
        <v>-2.3743210000000001</v>
      </c>
      <c r="H127" s="1">
        <f>VLOOKUP(C127,REGISTRE!B:G,4,FALSE)</f>
        <v>22.399491000000001</v>
      </c>
      <c r="I127" s="1" t="str">
        <f>VLOOKUP(C127,REGISTRE!B:G,5,FALSE)</f>
        <v>5G</v>
      </c>
      <c r="J127" s="1" t="str">
        <f>VLOOKUP(C127,REGISTRE!B:G,6,FALSE)</f>
        <v>Ericsson</v>
      </c>
      <c r="K127" s="1" t="str">
        <f>INT(LOGS_Rx5[[#This Row],[Duree_Panne_Min]]/60) &amp; " h " &amp; MOD(LOGS_Rx5[[#This Row],[Duree_Panne_Min]],60) &amp; " min " &amp; "0 s"</f>
        <v>0 h 53 min 0 s</v>
      </c>
    </row>
    <row r="128" spans="1:11" x14ac:dyDescent="0.35">
      <c r="A128" s="1" t="s">
        <v>1002</v>
      </c>
      <c r="B128" s="2">
        <v>45216.26666666667</v>
      </c>
      <c r="C128" s="1" t="s">
        <v>893</v>
      </c>
      <c r="D128">
        <v>90</v>
      </c>
      <c r="E128" s="1" t="s">
        <v>740</v>
      </c>
      <c r="F128" s="1" t="str">
        <f>VLOOKUP(C128,REGISTRE!B:G,2,FALSE)</f>
        <v>Maniema</v>
      </c>
      <c r="G128" s="1">
        <f>VLOOKUP(C128,REGISTRE!B:G,3,FALSE)</f>
        <v>-2.3743210000000001</v>
      </c>
      <c r="H128" s="1">
        <f>VLOOKUP(C128,REGISTRE!B:G,4,FALSE)</f>
        <v>22.399491000000001</v>
      </c>
      <c r="I128" s="1" t="str">
        <f>VLOOKUP(C128,REGISTRE!B:G,5,FALSE)</f>
        <v>5G</v>
      </c>
      <c r="J128" s="1" t="str">
        <f>VLOOKUP(C128,REGISTRE!B:G,6,FALSE)</f>
        <v>Ericsson</v>
      </c>
      <c r="K128" s="1" t="str">
        <f>INT(LOGS_Rx5[[#This Row],[Duree_Panne_Min]]/60) &amp; " h " &amp; MOD(LOGS_Rx5[[#This Row],[Duree_Panne_Min]],60) &amp; " min " &amp; "0 s"</f>
        <v>1 h 30 min 0 s</v>
      </c>
    </row>
    <row r="129" spans="1:11" x14ac:dyDescent="0.35">
      <c r="A129" s="1" t="s">
        <v>1171</v>
      </c>
      <c r="B129" s="2">
        <v>45217.775694444441</v>
      </c>
      <c r="C129" s="1" t="s">
        <v>893</v>
      </c>
      <c r="D129">
        <v>84</v>
      </c>
      <c r="E129" s="1" t="s">
        <v>735</v>
      </c>
      <c r="F129" s="1" t="str">
        <f>VLOOKUP(C129,REGISTRE!B:G,2,FALSE)</f>
        <v>Maniema</v>
      </c>
      <c r="G129" s="1">
        <f>VLOOKUP(C129,REGISTRE!B:G,3,FALSE)</f>
        <v>-2.3743210000000001</v>
      </c>
      <c r="H129" s="1">
        <f>VLOOKUP(C129,REGISTRE!B:G,4,FALSE)</f>
        <v>22.399491000000001</v>
      </c>
      <c r="I129" s="1" t="str">
        <f>VLOOKUP(C129,REGISTRE!B:G,5,FALSE)</f>
        <v>5G</v>
      </c>
      <c r="J129" s="1" t="str">
        <f>VLOOKUP(C129,REGISTRE!B:G,6,FALSE)</f>
        <v>Ericsson</v>
      </c>
      <c r="K129" s="1" t="str">
        <f>INT(LOGS_Rx5[[#This Row],[Duree_Panne_Min]]/60) &amp; " h " &amp; MOD(LOGS_Rx5[[#This Row],[Duree_Panne_Min]],60) &amp; " min " &amp; "0 s"</f>
        <v>1 h 24 min 0 s</v>
      </c>
    </row>
    <row r="130" spans="1:11" x14ac:dyDescent="0.35">
      <c r="A130" s="1" t="s">
        <v>1091</v>
      </c>
      <c r="B130" s="2">
        <v>45228.086111111108</v>
      </c>
      <c r="C130" s="1" t="s">
        <v>1100</v>
      </c>
      <c r="D130">
        <v>43</v>
      </c>
      <c r="E130" s="1" t="s">
        <v>740</v>
      </c>
      <c r="F130" s="1" t="str">
        <f>VLOOKUP(C130,REGISTRE!B:G,2,FALSE)</f>
        <v>Sankuru</v>
      </c>
      <c r="G130" s="1">
        <f>VLOOKUP(C130,REGISTRE!B:G,3,FALSE)</f>
        <v>-6.4883290000000002</v>
      </c>
      <c r="H130" s="1">
        <f>VLOOKUP(C130,REGISTRE!B:G,4,FALSE)</f>
        <v>25.103404000000001</v>
      </c>
      <c r="I130" s="1" t="str">
        <f>VLOOKUP(C130,REGISTRE!B:G,5,FALSE)</f>
        <v>5G</v>
      </c>
      <c r="J130" s="1" t="str">
        <f>VLOOKUP(C130,REGISTRE!B:G,6,FALSE)</f>
        <v>ZTE</v>
      </c>
      <c r="K130" s="1" t="str">
        <f>INT(LOGS_Rx5[[#This Row],[Duree_Panne_Min]]/60) &amp; " h " &amp; MOD(LOGS_Rx5[[#This Row],[Duree_Panne_Min]],60) &amp; " min " &amp; "0 s"</f>
        <v>0 h 43 min 0 s</v>
      </c>
    </row>
    <row r="131" spans="1:11" x14ac:dyDescent="0.35">
      <c r="A131" s="1" t="s">
        <v>1028</v>
      </c>
      <c r="B131" s="2">
        <v>45230.863888888889</v>
      </c>
      <c r="C131" s="1" t="s">
        <v>1049</v>
      </c>
      <c r="D131">
        <v>57</v>
      </c>
      <c r="E131" s="1" t="s">
        <v>735</v>
      </c>
      <c r="F131" s="1" t="str">
        <f>VLOOKUP(C131,REGISTRE!B:G,2,FALSE)</f>
        <v>Sud-Kivu</v>
      </c>
      <c r="G131" s="1">
        <f>VLOOKUP(C131,REGISTRE!B:G,3,FALSE)</f>
        <v>-4.1694589999999998</v>
      </c>
      <c r="H131" s="1">
        <f>VLOOKUP(C131,REGISTRE!B:G,4,FALSE)</f>
        <v>23.376487000000001</v>
      </c>
      <c r="I131" s="1" t="str">
        <f>VLOOKUP(C131,REGISTRE!B:G,5,FALSE)</f>
        <v>3G</v>
      </c>
      <c r="J131" s="1" t="str">
        <f>VLOOKUP(C131,REGISTRE!B:G,6,FALSE)</f>
        <v>Nokia</v>
      </c>
      <c r="K131" s="1" t="str">
        <f>INT(LOGS_Rx5[[#This Row],[Duree_Panne_Min]]/60) &amp; " h " &amp; MOD(LOGS_Rx5[[#This Row],[Duree_Panne_Min]],60) &amp; " min " &amp; "0 s"</f>
        <v>0 h 57 min 0 s</v>
      </c>
    </row>
    <row r="132" spans="1:11" x14ac:dyDescent="0.35">
      <c r="A132" s="1" t="s">
        <v>1414</v>
      </c>
      <c r="B132" s="2">
        <v>45217.02847222222</v>
      </c>
      <c r="C132" s="1" t="s">
        <v>1049</v>
      </c>
      <c r="D132">
        <v>120</v>
      </c>
      <c r="E132" s="1" t="s">
        <v>740</v>
      </c>
      <c r="F132" s="1" t="str">
        <f>VLOOKUP(C132,REGISTRE!B:G,2,FALSE)</f>
        <v>Sud-Kivu</v>
      </c>
      <c r="G132" s="1">
        <f>VLOOKUP(C132,REGISTRE!B:G,3,FALSE)</f>
        <v>-4.1694589999999998</v>
      </c>
      <c r="H132" s="1">
        <f>VLOOKUP(C132,REGISTRE!B:G,4,FALSE)</f>
        <v>23.376487000000001</v>
      </c>
      <c r="I132" s="1" t="str">
        <f>VLOOKUP(C132,REGISTRE!B:G,5,FALSE)</f>
        <v>3G</v>
      </c>
      <c r="J132" s="1" t="str">
        <f>VLOOKUP(C132,REGISTRE!B:G,6,FALSE)</f>
        <v>Nokia</v>
      </c>
      <c r="K132" s="1" t="str">
        <f>INT(LOGS_Rx5[[#This Row],[Duree_Panne_Min]]/60) &amp; " h " &amp; MOD(LOGS_Rx5[[#This Row],[Duree_Panne_Min]],60) &amp; " min " &amp; "0 s"</f>
        <v>2 h 0 min 0 s</v>
      </c>
    </row>
    <row r="133" spans="1:11" x14ac:dyDescent="0.35">
      <c r="A133" s="1" t="s">
        <v>782</v>
      </c>
      <c r="B133" s="2">
        <v>45214.960416666669</v>
      </c>
      <c r="C133" s="1" t="s">
        <v>787</v>
      </c>
      <c r="D133">
        <v>38</v>
      </c>
      <c r="E133" s="1" t="s">
        <v>735</v>
      </c>
      <c r="F133" s="1" t="str">
        <f>VLOOKUP(C133,REGISTRE!B:G,2,FALSE)</f>
        <v>Lualaba</v>
      </c>
      <c r="G133" s="1">
        <f>VLOOKUP(C133,REGISTRE!B:G,3,FALSE)</f>
        <v>-11.710407999999999</v>
      </c>
      <c r="H133" s="1">
        <f>VLOOKUP(C133,REGISTRE!B:G,4,FALSE)</f>
        <v>23.741330999999999</v>
      </c>
      <c r="I133" s="1" t="str">
        <f>VLOOKUP(C133,REGISTRE!B:G,5,FALSE)</f>
        <v>3G</v>
      </c>
      <c r="J133" s="1" t="str">
        <f>VLOOKUP(C133,REGISTRE!B:G,6,FALSE)</f>
        <v>Huawei</v>
      </c>
      <c r="K133" s="1" t="str">
        <f>INT(LOGS_Rx5[[#This Row],[Duree_Panne_Min]]/60) &amp; " h " &amp; MOD(LOGS_Rx5[[#This Row],[Duree_Panne_Min]],60) &amp; " min " &amp; "0 s"</f>
        <v>0 h 38 min 0 s</v>
      </c>
    </row>
    <row r="134" spans="1:11" x14ac:dyDescent="0.35">
      <c r="A134" s="1" t="s">
        <v>942</v>
      </c>
      <c r="B134" s="2">
        <v>45221.039583333331</v>
      </c>
      <c r="C134" s="1" t="s">
        <v>976</v>
      </c>
      <c r="D134">
        <v>33</v>
      </c>
      <c r="E134" s="1" t="s">
        <v>738</v>
      </c>
      <c r="F134" s="1" t="str">
        <f>VLOOKUP(C134,REGISTRE!B:G,2,FALSE)</f>
        <v>Kinshasa</v>
      </c>
      <c r="G134" s="1">
        <f>VLOOKUP(C134,REGISTRE!B:G,3,FALSE)</f>
        <v>0.48965500000000001</v>
      </c>
      <c r="H134" s="1">
        <f>VLOOKUP(C134,REGISTRE!B:G,4,FALSE)</f>
        <v>26.176860000000001</v>
      </c>
      <c r="I134" s="1" t="str">
        <f>VLOOKUP(C134,REGISTRE!B:G,5,FALSE)</f>
        <v>4G</v>
      </c>
      <c r="J134" s="1" t="str">
        <f>VLOOKUP(C134,REGISTRE!B:G,6,FALSE)</f>
        <v>Huawei</v>
      </c>
      <c r="K134" s="1" t="str">
        <f>INT(LOGS_Rx5[[#This Row],[Duree_Panne_Min]]/60) &amp; " h " &amp; MOD(LOGS_Rx5[[#This Row],[Duree_Panne_Min]],60) &amp; " min " &amp; "0 s"</f>
        <v>0 h 33 min 0 s</v>
      </c>
    </row>
    <row r="135" spans="1:11" x14ac:dyDescent="0.35">
      <c r="A135" s="1" t="s">
        <v>1267</v>
      </c>
      <c r="B135" s="2">
        <v>45200.466666666667</v>
      </c>
      <c r="C135" s="1" t="s">
        <v>1293</v>
      </c>
      <c r="D135">
        <v>31</v>
      </c>
      <c r="E135" s="1" t="s">
        <v>738</v>
      </c>
      <c r="F135" s="1" t="str">
        <f>VLOOKUP(C135,REGISTRE!B:G,2,FALSE)</f>
        <v>Lomami</v>
      </c>
      <c r="G135" s="1">
        <f>VLOOKUP(C135,REGISTRE!B:G,3,FALSE)</f>
        <v>-9.5619429999999994</v>
      </c>
      <c r="H135" s="1">
        <f>VLOOKUP(C135,REGISTRE!B:G,4,FALSE)</f>
        <v>21.445726000000001</v>
      </c>
      <c r="I135" s="1" t="str">
        <f>VLOOKUP(C135,REGISTRE!B:G,5,FALSE)</f>
        <v>4G</v>
      </c>
      <c r="J135" s="1" t="str">
        <f>VLOOKUP(C135,REGISTRE!B:G,6,FALSE)</f>
        <v>Nokia</v>
      </c>
      <c r="K135" s="1" t="str">
        <f>INT(LOGS_Rx5[[#This Row],[Duree_Panne_Min]]/60) &amp; " h " &amp; MOD(LOGS_Rx5[[#This Row],[Duree_Panne_Min]],60) &amp; " min " &amp; "0 s"</f>
        <v>0 h 31 min 0 s</v>
      </c>
    </row>
    <row r="136" spans="1:11" x14ac:dyDescent="0.35">
      <c r="A136" s="1" t="s">
        <v>1336</v>
      </c>
      <c r="B136" s="2">
        <v>45201.293055555558</v>
      </c>
      <c r="C136" s="1" t="s">
        <v>1293</v>
      </c>
      <c r="D136">
        <v>95</v>
      </c>
      <c r="E136" s="1" t="s">
        <v>740</v>
      </c>
      <c r="F136" s="1" t="str">
        <f>VLOOKUP(C136,REGISTRE!B:G,2,FALSE)</f>
        <v>Lomami</v>
      </c>
      <c r="G136" s="1">
        <f>VLOOKUP(C136,REGISTRE!B:G,3,FALSE)</f>
        <v>-9.5619429999999994</v>
      </c>
      <c r="H136" s="1">
        <f>VLOOKUP(C136,REGISTRE!B:G,4,FALSE)</f>
        <v>21.445726000000001</v>
      </c>
      <c r="I136" s="1" t="str">
        <f>VLOOKUP(C136,REGISTRE!B:G,5,FALSE)</f>
        <v>4G</v>
      </c>
      <c r="J136" s="1" t="str">
        <f>VLOOKUP(C136,REGISTRE!B:G,6,FALSE)</f>
        <v>Nokia</v>
      </c>
      <c r="K136" s="1" t="str">
        <f>INT(LOGS_Rx5[[#This Row],[Duree_Panne_Min]]/60) &amp; " h " &amp; MOD(LOGS_Rx5[[#This Row],[Duree_Panne_Min]],60) &amp; " min " &amp; "0 s"</f>
        <v>1 h 35 min 0 s</v>
      </c>
    </row>
    <row r="137" spans="1:11" x14ac:dyDescent="0.35">
      <c r="A137" s="1" t="s">
        <v>733</v>
      </c>
      <c r="B137" s="2">
        <v>45202.259722222225</v>
      </c>
      <c r="C137" s="1" t="s">
        <v>743</v>
      </c>
      <c r="D137">
        <v>79</v>
      </c>
      <c r="E137" s="1" t="s">
        <v>735</v>
      </c>
      <c r="F137" s="1" t="str">
        <f>VLOOKUP(C137,REGISTRE!B:G,2,FALSE)</f>
        <v>Kasai-Central</v>
      </c>
      <c r="G137" s="1">
        <f>VLOOKUP(C137,REGISTRE!B:G,3,FALSE)</f>
        <v>-1.648264</v>
      </c>
      <c r="H137" s="1">
        <f>VLOOKUP(C137,REGISTRE!B:G,4,FALSE)</f>
        <v>28.866143999999998</v>
      </c>
      <c r="I137" s="1" t="str">
        <f>VLOOKUP(C137,REGISTRE!B:G,5,FALSE)</f>
        <v>5G</v>
      </c>
      <c r="J137" s="1" t="str">
        <f>VLOOKUP(C137,REGISTRE!B:G,6,FALSE)</f>
        <v>Ericsson</v>
      </c>
      <c r="K137" s="1" t="str">
        <f>INT(LOGS_Rx5[[#This Row],[Duree_Panne_Min]]/60) &amp; " h " &amp; MOD(LOGS_Rx5[[#This Row],[Duree_Panne_Min]],60) &amp; " min " &amp; "0 s"</f>
        <v>1 h 19 min 0 s</v>
      </c>
    </row>
    <row r="138" spans="1:11" x14ac:dyDescent="0.35">
      <c r="A138" s="1" t="s">
        <v>1225</v>
      </c>
      <c r="B138" s="2">
        <v>45221.180555555547</v>
      </c>
      <c r="C138" s="1" t="s">
        <v>743</v>
      </c>
      <c r="D138">
        <v>8</v>
      </c>
      <c r="E138" s="1" t="s">
        <v>735</v>
      </c>
      <c r="F138" s="1" t="str">
        <f>VLOOKUP(C138,REGISTRE!B:G,2,FALSE)</f>
        <v>Kasai-Central</v>
      </c>
      <c r="G138" s="1">
        <f>VLOOKUP(C138,REGISTRE!B:G,3,FALSE)</f>
        <v>-1.648264</v>
      </c>
      <c r="H138" s="1">
        <f>VLOOKUP(C138,REGISTRE!B:G,4,FALSE)</f>
        <v>28.866143999999998</v>
      </c>
      <c r="I138" s="1" t="str">
        <f>VLOOKUP(C138,REGISTRE!B:G,5,FALSE)</f>
        <v>5G</v>
      </c>
      <c r="J138" s="1" t="str">
        <f>VLOOKUP(C138,REGISTRE!B:G,6,FALSE)</f>
        <v>Ericsson</v>
      </c>
      <c r="K138" s="1" t="str">
        <f>INT(LOGS_Rx5[[#This Row],[Duree_Panne_Min]]/60) &amp; " h " &amp; MOD(LOGS_Rx5[[#This Row],[Duree_Panne_Min]],60) &amp; " min " &amp; "0 s"</f>
        <v>0 h 8 min 0 s</v>
      </c>
    </row>
    <row r="139" spans="1:11" x14ac:dyDescent="0.35">
      <c r="A139" s="1" t="s">
        <v>782</v>
      </c>
      <c r="B139" s="2">
        <v>45213.254166666673</v>
      </c>
      <c r="C139" s="1" t="s">
        <v>785</v>
      </c>
      <c r="D139">
        <v>73</v>
      </c>
      <c r="E139" s="1" t="s">
        <v>740</v>
      </c>
      <c r="F139" s="1" t="str">
        <f>VLOOKUP(C139,REGISTRE!B:G,2,FALSE)</f>
        <v>Tshuapa</v>
      </c>
      <c r="G139" s="1">
        <f>VLOOKUP(C139,REGISTRE!B:G,3,FALSE)</f>
        <v>-5.1030600000000002</v>
      </c>
      <c r="H139" s="1">
        <f>VLOOKUP(C139,REGISTRE!B:G,4,FALSE)</f>
        <v>22.849231</v>
      </c>
      <c r="I139" s="1" t="str">
        <f>VLOOKUP(C139,REGISTRE!B:G,5,FALSE)</f>
        <v>5G</v>
      </c>
      <c r="J139" s="1" t="str">
        <f>VLOOKUP(C139,REGISTRE!B:G,6,FALSE)</f>
        <v>ZTE</v>
      </c>
      <c r="K139" s="1" t="str">
        <f>INT(LOGS_Rx5[[#This Row],[Duree_Panne_Min]]/60) &amp; " h " &amp; MOD(LOGS_Rx5[[#This Row],[Duree_Panne_Min]],60) &amp; " min " &amp; "0 s"</f>
        <v>1 h 13 min 0 s</v>
      </c>
    </row>
    <row r="140" spans="1:11" x14ac:dyDescent="0.35">
      <c r="A140" s="1" t="s">
        <v>1389</v>
      </c>
      <c r="B140" s="2">
        <v>45226.17083333333</v>
      </c>
      <c r="C140" s="1" t="s">
        <v>785</v>
      </c>
      <c r="D140">
        <v>54</v>
      </c>
      <c r="E140" s="1" t="s">
        <v>735</v>
      </c>
      <c r="F140" s="1" t="str">
        <f>VLOOKUP(C140,REGISTRE!B:G,2,FALSE)</f>
        <v>Tshuapa</v>
      </c>
      <c r="G140" s="1">
        <f>VLOOKUP(C140,REGISTRE!B:G,3,FALSE)</f>
        <v>-5.1030600000000002</v>
      </c>
      <c r="H140" s="1">
        <f>VLOOKUP(C140,REGISTRE!B:G,4,FALSE)</f>
        <v>22.849231</v>
      </c>
      <c r="I140" s="1" t="str">
        <f>VLOOKUP(C140,REGISTRE!B:G,5,FALSE)</f>
        <v>5G</v>
      </c>
      <c r="J140" s="1" t="str">
        <f>VLOOKUP(C140,REGISTRE!B:G,6,FALSE)</f>
        <v>ZTE</v>
      </c>
      <c r="K140" s="1" t="str">
        <f>INT(LOGS_Rx5[[#This Row],[Duree_Panne_Min]]/60) &amp; " h " &amp; MOD(LOGS_Rx5[[#This Row],[Duree_Panne_Min]],60) &amp; " min " &amp; "0 s"</f>
        <v>0 h 54 min 0 s</v>
      </c>
    </row>
    <row r="141" spans="1:11" x14ac:dyDescent="0.35">
      <c r="A141" s="1" t="s">
        <v>1314</v>
      </c>
      <c r="B141" s="2">
        <v>45226.224999999999</v>
      </c>
      <c r="C141" s="1" t="s">
        <v>1315</v>
      </c>
      <c r="D141">
        <v>11</v>
      </c>
      <c r="E141" s="1" t="s">
        <v>738</v>
      </c>
      <c r="F141" s="1" t="str">
        <f>VLOOKUP(C141,REGISTRE!B:G,2,FALSE)</f>
        <v>Sankuru</v>
      </c>
      <c r="G141" s="1">
        <f>VLOOKUP(C141,REGISTRE!B:G,3,FALSE)</f>
        <v>-0.157111</v>
      </c>
      <c r="H141" s="1">
        <f>VLOOKUP(C141,REGISTRE!B:G,4,FALSE)</f>
        <v>25.415125</v>
      </c>
      <c r="I141" s="1" t="str">
        <f>VLOOKUP(C141,REGISTRE!B:G,5,FALSE)</f>
        <v>4G</v>
      </c>
      <c r="J141" s="1" t="str">
        <f>VLOOKUP(C141,REGISTRE!B:G,6,FALSE)</f>
        <v>Ericsson</v>
      </c>
      <c r="K141" s="1" t="str">
        <f>INT(LOGS_Rx5[[#This Row],[Duree_Panne_Min]]/60) &amp; " h " &amp; MOD(LOGS_Rx5[[#This Row],[Duree_Panne_Min]],60) &amp; " min " &amp; "0 s"</f>
        <v>0 h 11 min 0 s</v>
      </c>
    </row>
    <row r="142" spans="1:11" x14ac:dyDescent="0.35">
      <c r="A142" s="1" t="s">
        <v>1351</v>
      </c>
      <c r="B142" s="2">
        <v>45230.64166666667</v>
      </c>
      <c r="C142" s="1" t="s">
        <v>1364</v>
      </c>
      <c r="D142">
        <v>106</v>
      </c>
      <c r="E142" s="1" t="s">
        <v>735</v>
      </c>
      <c r="F142" s="1" t="str">
        <f>VLOOKUP(C142,REGISTRE!B:G,2,FALSE)</f>
        <v>Nord-Ubangi</v>
      </c>
      <c r="G142" s="1">
        <f>VLOOKUP(C142,REGISTRE!B:G,3,FALSE)</f>
        <v>-6.8149179999999996</v>
      </c>
      <c r="H142" s="1">
        <f>VLOOKUP(C142,REGISTRE!B:G,4,FALSE)</f>
        <v>23.258102000000001</v>
      </c>
      <c r="I142" s="1" t="str">
        <f>VLOOKUP(C142,REGISTRE!B:G,5,FALSE)</f>
        <v>5G</v>
      </c>
      <c r="J142" s="1" t="str">
        <f>VLOOKUP(C142,REGISTRE!B:G,6,FALSE)</f>
        <v>Huawei</v>
      </c>
      <c r="K142" s="1" t="str">
        <f>INT(LOGS_Rx5[[#This Row],[Duree_Panne_Min]]/60) &amp; " h " &amp; MOD(LOGS_Rx5[[#This Row],[Duree_Panne_Min]],60) &amp; " min " &amp; "0 s"</f>
        <v>1 h 46 min 0 s</v>
      </c>
    </row>
    <row r="143" spans="1:11" x14ac:dyDescent="0.35">
      <c r="A143" s="1" t="s">
        <v>826</v>
      </c>
      <c r="B143" s="2">
        <v>45226.321527777778</v>
      </c>
      <c r="C143" s="1" t="s">
        <v>859</v>
      </c>
      <c r="D143">
        <v>22</v>
      </c>
      <c r="E143" s="1" t="s">
        <v>740</v>
      </c>
      <c r="F143" s="1" t="str">
        <f>VLOOKUP(C143,REGISTRE!B:G,2,FALSE)</f>
        <v>Nord-Kivu</v>
      </c>
      <c r="G143" s="1">
        <f>VLOOKUP(C143,REGISTRE!B:G,3,FALSE)</f>
        <v>-10.25074</v>
      </c>
      <c r="H143" s="1">
        <f>VLOOKUP(C143,REGISTRE!B:G,4,FALSE)</f>
        <v>26.099086</v>
      </c>
      <c r="I143" s="1" t="str">
        <f>VLOOKUP(C143,REGISTRE!B:G,5,FALSE)</f>
        <v>4G</v>
      </c>
      <c r="J143" s="1" t="str">
        <f>VLOOKUP(C143,REGISTRE!B:G,6,FALSE)</f>
        <v>Huawei</v>
      </c>
      <c r="K143" s="1" t="str">
        <f>INT(LOGS_Rx5[[#This Row],[Duree_Panne_Min]]/60) &amp; " h " &amp; MOD(LOGS_Rx5[[#This Row],[Duree_Panne_Min]],60) &amp; " min " &amp; "0 s"</f>
        <v>0 h 22 min 0 s</v>
      </c>
    </row>
    <row r="144" spans="1:11" x14ac:dyDescent="0.35">
      <c r="A144" s="1" t="s">
        <v>981</v>
      </c>
      <c r="B144" s="2">
        <v>45201.511805555558</v>
      </c>
      <c r="C144" s="1" t="s">
        <v>859</v>
      </c>
      <c r="D144">
        <v>62</v>
      </c>
      <c r="E144" s="1" t="s">
        <v>738</v>
      </c>
      <c r="F144" s="1" t="str">
        <f>VLOOKUP(C144,REGISTRE!B:G,2,FALSE)</f>
        <v>Nord-Kivu</v>
      </c>
      <c r="G144" s="1">
        <f>VLOOKUP(C144,REGISTRE!B:G,3,FALSE)</f>
        <v>-10.25074</v>
      </c>
      <c r="H144" s="1">
        <f>VLOOKUP(C144,REGISTRE!B:G,4,FALSE)</f>
        <v>26.099086</v>
      </c>
      <c r="I144" s="1" t="str">
        <f>VLOOKUP(C144,REGISTRE!B:G,5,FALSE)</f>
        <v>4G</v>
      </c>
      <c r="J144" s="1" t="str">
        <f>VLOOKUP(C144,REGISTRE!B:G,6,FALSE)</f>
        <v>Huawei</v>
      </c>
      <c r="K144" s="1" t="str">
        <f>INT(LOGS_Rx5[[#This Row],[Duree_Panne_Min]]/60) &amp; " h " &amp; MOD(LOGS_Rx5[[#This Row],[Duree_Panne_Min]],60) &amp; " min " &amp; "0 s"</f>
        <v>1 h 2 min 0 s</v>
      </c>
    </row>
    <row r="145" spans="1:11" x14ac:dyDescent="0.35">
      <c r="A145" s="1" t="s">
        <v>1063</v>
      </c>
      <c r="B145" s="2">
        <v>45213.237500000003</v>
      </c>
      <c r="C145" s="1" t="s">
        <v>859</v>
      </c>
      <c r="D145">
        <v>68</v>
      </c>
      <c r="E145" s="1" t="s">
        <v>740</v>
      </c>
      <c r="F145" s="1" t="str">
        <f>VLOOKUP(C145,REGISTRE!B:G,2,FALSE)</f>
        <v>Nord-Kivu</v>
      </c>
      <c r="G145" s="1">
        <f>VLOOKUP(C145,REGISTRE!B:G,3,FALSE)</f>
        <v>-10.25074</v>
      </c>
      <c r="H145" s="1">
        <f>VLOOKUP(C145,REGISTRE!B:G,4,FALSE)</f>
        <v>26.099086</v>
      </c>
      <c r="I145" s="1" t="str">
        <f>VLOOKUP(C145,REGISTRE!B:G,5,FALSE)</f>
        <v>4G</v>
      </c>
      <c r="J145" s="1" t="str">
        <f>VLOOKUP(C145,REGISTRE!B:G,6,FALSE)</f>
        <v>Huawei</v>
      </c>
      <c r="K145" s="1" t="str">
        <f>INT(LOGS_Rx5[[#This Row],[Duree_Panne_Min]]/60) &amp; " h " &amp; MOD(LOGS_Rx5[[#This Row],[Duree_Panne_Min]],60) &amp; " min " &amp; "0 s"</f>
        <v>1 h 8 min 0 s</v>
      </c>
    </row>
    <row r="146" spans="1:11" x14ac:dyDescent="0.35">
      <c r="A146" s="1" t="s">
        <v>1171</v>
      </c>
      <c r="B146" s="2">
        <v>45227.92291666667</v>
      </c>
      <c r="C146" s="1" t="s">
        <v>859</v>
      </c>
      <c r="D146">
        <v>26</v>
      </c>
      <c r="E146" s="1" t="s">
        <v>740</v>
      </c>
      <c r="F146" s="1" t="str">
        <f>VLOOKUP(C146,REGISTRE!B:G,2,FALSE)</f>
        <v>Nord-Kivu</v>
      </c>
      <c r="G146" s="1">
        <f>VLOOKUP(C146,REGISTRE!B:G,3,FALSE)</f>
        <v>-10.25074</v>
      </c>
      <c r="H146" s="1">
        <f>VLOOKUP(C146,REGISTRE!B:G,4,FALSE)</f>
        <v>26.099086</v>
      </c>
      <c r="I146" s="1" t="str">
        <f>VLOOKUP(C146,REGISTRE!B:G,5,FALSE)</f>
        <v>4G</v>
      </c>
      <c r="J146" s="1" t="str">
        <f>VLOOKUP(C146,REGISTRE!B:G,6,FALSE)</f>
        <v>Huawei</v>
      </c>
      <c r="K146" s="1" t="str">
        <f>INT(LOGS_Rx5[[#This Row],[Duree_Panne_Min]]/60) &amp; " h " &amp; MOD(LOGS_Rx5[[#This Row],[Duree_Panne_Min]],60) &amp; " min " &amp; "0 s"</f>
        <v>0 h 26 min 0 s</v>
      </c>
    </row>
    <row r="147" spans="1:11" x14ac:dyDescent="0.35">
      <c r="A147" s="1" t="s">
        <v>1225</v>
      </c>
      <c r="B147" s="2">
        <v>45207.599305555559</v>
      </c>
      <c r="C147" s="1" t="s">
        <v>859</v>
      </c>
      <c r="D147">
        <v>59</v>
      </c>
      <c r="E147" s="1" t="s">
        <v>735</v>
      </c>
      <c r="F147" s="1" t="str">
        <f>VLOOKUP(C147,REGISTRE!B:G,2,FALSE)</f>
        <v>Nord-Kivu</v>
      </c>
      <c r="G147" s="1">
        <f>VLOOKUP(C147,REGISTRE!B:G,3,FALSE)</f>
        <v>-10.25074</v>
      </c>
      <c r="H147" s="1">
        <f>VLOOKUP(C147,REGISTRE!B:G,4,FALSE)</f>
        <v>26.099086</v>
      </c>
      <c r="I147" s="1" t="str">
        <f>VLOOKUP(C147,REGISTRE!B:G,5,FALSE)</f>
        <v>4G</v>
      </c>
      <c r="J147" s="1" t="str">
        <f>VLOOKUP(C147,REGISTRE!B:G,6,FALSE)</f>
        <v>Huawei</v>
      </c>
      <c r="K147" s="1" t="str">
        <f>INT(LOGS_Rx5[[#This Row],[Duree_Panne_Min]]/60) &amp; " h " &amp; MOD(LOGS_Rx5[[#This Row],[Duree_Panne_Min]],60) &amp; " min " &amp; "0 s"</f>
        <v>0 h 59 min 0 s</v>
      </c>
    </row>
    <row r="148" spans="1:11" x14ac:dyDescent="0.35">
      <c r="A148" s="1" t="s">
        <v>864</v>
      </c>
      <c r="B148" s="2">
        <v>45200.525694444441</v>
      </c>
      <c r="C148" s="1" t="s">
        <v>869</v>
      </c>
      <c r="D148">
        <v>88</v>
      </c>
      <c r="E148" s="1" t="s">
        <v>740</v>
      </c>
      <c r="F148" s="1" t="str">
        <f>VLOOKUP(C148,REGISTRE!B:G,2,FALSE)</f>
        <v>Kinshasa</v>
      </c>
      <c r="G148" s="1">
        <f>VLOOKUP(C148,REGISTRE!B:G,3,FALSE)</f>
        <v>-1.6097570000000001</v>
      </c>
      <c r="H148" s="1">
        <f>VLOOKUP(C148,REGISTRE!B:G,4,FALSE)</f>
        <v>30.661662</v>
      </c>
      <c r="I148" s="1" t="str">
        <f>VLOOKUP(C148,REGISTRE!B:G,5,FALSE)</f>
        <v>4G</v>
      </c>
      <c r="J148" s="1" t="str">
        <f>VLOOKUP(C148,REGISTRE!B:G,6,FALSE)</f>
        <v>Ericsson</v>
      </c>
      <c r="K148" s="1" t="str">
        <f>INT(LOGS_Rx5[[#This Row],[Duree_Panne_Min]]/60) &amp; " h " &amp; MOD(LOGS_Rx5[[#This Row],[Duree_Panne_Min]],60) &amp; " min " &amp; "0 s"</f>
        <v>1 h 28 min 0 s</v>
      </c>
    </row>
    <row r="149" spans="1:11" x14ac:dyDescent="0.35">
      <c r="A149" s="1" t="s">
        <v>1144</v>
      </c>
      <c r="B149" s="2">
        <v>45217.173611111109</v>
      </c>
      <c r="C149" s="1" t="s">
        <v>869</v>
      </c>
      <c r="D149">
        <v>53</v>
      </c>
      <c r="E149" s="1" t="s">
        <v>738</v>
      </c>
      <c r="F149" s="1" t="str">
        <f>VLOOKUP(C149,REGISTRE!B:G,2,FALSE)</f>
        <v>Kinshasa</v>
      </c>
      <c r="G149" s="1">
        <f>VLOOKUP(C149,REGISTRE!B:G,3,FALSE)</f>
        <v>-1.6097570000000001</v>
      </c>
      <c r="H149" s="1">
        <f>VLOOKUP(C149,REGISTRE!B:G,4,FALSE)</f>
        <v>30.661662</v>
      </c>
      <c r="I149" s="1" t="str">
        <f>VLOOKUP(C149,REGISTRE!B:G,5,FALSE)</f>
        <v>4G</v>
      </c>
      <c r="J149" s="1" t="str">
        <f>VLOOKUP(C149,REGISTRE!B:G,6,FALSE)</f>
        <v>Ericsson</v>
      </c>
      <c r="K149" s="1" t="str">
        <f>INT(LOGS_Rx5[[#This Row],[Duree_Panne_Min]]/60) &amp; " h " &amp; MOD(LOGS_Rx5[[#This Row],[Duree_Panne_Min]],60) &amp; " min " &amp; "0 s"</f>
        <v>0 h 53 min 0 s</v>
      </c>
    </row>
    <row r="150" spans="1:11" x14ac:dyDescent="0.35">
      <c r="A150" s="1" t="s">
        <v>782</v>
      </c>
      <c r="B150" s="2">
        <v>45225.712500000001</v>
      </c>
      <c r="C150" s="1" t="s">
        <v>795</v>
      </c>
      <c r="D150">
        <v>25</v>
      </c>
      <c r="E150" s="1" t="s">
        <v>735</v>
      </c>
      <c r="F150" s="1" t="str">
        <f>VLOOKUP(C150,REGISTRE!B:G,2,FALSE)</f>
        <v>Haut-Katanga</v>
      </c>
      <c r="G150" s="1">
        <f>VLOOKUP(C150,REGISTRE!B:G,3,FALSE)</f>
        <v>-5.5445120000000001</v>
      </c>
      <c r="H150" s="1">
        <f>VLOOKUP(C150,REGISTRE!B:G,4,FALSE)</f>
        <v>27.547335</v>
      </c>
      <c r="I150" s="1" t="str">
        <f>VLOOKUP(C150,REGISTRE!B:G,5,FALSE)</f>
        <v>4G</v>
      </c>
      <c r="J150" s="1" t="str">
        <f>VLOOKUP(C150,REGISTRE!B:G,6,FALSE)</f>
        <v>Ericsson</v>
      </c>
      <c r="K150" s="1" t="str">
        <f>INT(LOGS_Rx5[[#This Row],[Duree_Panne_Min]]/60) &amp; " h " &amp; MOD(LOGS_Rx5[[#This Row],[Duree_Panne_Min]],60) &amp; " min " &amp; "0 s"</f>
        <v>0 h 25 min 0 s</v>
      </c>
    </row>
    <row r="151" spans="1:11" x14ac:dyDescent="0.35">
      <c r="A151" s="1" t="s">
        <v>826</v>
      </c>
      <c r="B151" s="2">
        <v>45220.436805555553</v>
      </c>
      <c r="C151" s="1" t="s">
        <v>795</v>
      </c>
      <c r="D151">
        <v>64</v>
      </c>
      <c r="E151" s="1" t="s">
        <v>738</v>
      </c>
      <c r="F151" s="1" t="str">
        <f>VLOOKUP(C151,REGISTRE!B:G,2,FALSE)</f>
        <v>Haut-Katanga</v>
      </c>
      <c r="G151" s="1">
        <f>VLOOKUP(C151,REGISTRE!B:G,3,FALSE)</f>
        <v>-5.5445120000000001</v>
      </c>
      <c r="H151" s="1">
        <f>VLOOKUP(C151,REGISTRE!B:G,4,FALSE)</f>
        <v>27.547335</v>
      </c>
      <c r="I151" s="1" t="str">
        <f>VLOOKUP(C151,REGISTRE!B:G,5,FALSE)</f>
        <v>4G</v>
      </c>
      <c r="J151" s="1" t="str">
        <f>VLOOKUP(C151,REGISTRE!B:G,6,FALSE)</f>
        <v>Ericsson</v>
      </c>
      <c r="K151" s="1" t="str">
        <f>INT(LOGS_Rx5[[#This Row],[Duree_Panne_Min]]/60) &amp; " h " &amp; MOD(LOGS_Rx5[[#This Row],[Duree_Panne_Min]],60) &amp; " min " &amp; "0 s"</f>
        <v>1 h 4 min 0 s</v>
      </c>
    </row>
    <row r="152" spans="1:11" x14ac:dyDescent="0.35">
      <c r="A152" s="1" t="s">
        <v>1336</v>
      </c>
      <c r="B152" s="2">
        <v>45209.938888888893</v>
      </c>
      <c r="C152" s="1" t="s">
        <v>795</v>
      </c>
      <c r="D152">
        <v>37</v>
      </c>
      <c r="E152" s="1" t="s">
        <v>738</v>
      </c>
      <c r="F152" s="1" t="str">
        <f>VLOOKUP(C152,REGISTRE!B:G,2,FALSE)</f>
        <v>Haut-Katanga</v>
      </c>
      <c r="G152" s="1">
        <f>VLOOKUP(C152,REGISTRE!B:G,3,FALSE)</f>
        <v>-5.5445120000000001</v>
      </c>
      <c r="H152" s="1">
        <f>VLOOKUP(C152,REGISTRE!B:G,4,FALSE)</f>
        <v>27.547335</v>
      </c>
      <c r="I152" s="1" t="str">
        <f>VLOOKUP(C152,REGISTRE!B:G,5,FALSE)</f>
        <v>4G</v>
      </c>
      <c r="J152" s="1" t="str">
        <f>VLOOKUP(C152,REGISTRE!B:G,6,FALSE)</f>
        <v>Ericsson</v>
      </c>
      <c r="K152" s="1" t="str">
        <f>INT(LOGS_Rx5[[#This Row],[Duree_Panne_Min]]/60) &amp; " h " &amp; MOD(LOGS_Rx5[[#This Row],[Duree_Panne_Min]],60) &amp; " min " &amp; "0 s"</f>
        <v>0 h 37 min 0 s</v>
      </c>
    </row>
    <row r="153" spans="1:11" x14ac:dyDescent="0.35">
      <c r="A153" s="1" t="s">
        <v>1336</v>
      </c>
      <c r="B153" s="2">
        <v>45206.286805555559</v>
      </c>
      <c r="C153" s="1" t="s">
        <v>795</v>
      </c>
      <c r="D153">
        <v>96</v>
      </c>
      <c r="E153" s="1" t="s">
        <v>738</v>
      </c>
      <c r="F153" s="1" t="str">
        <f>VLOOKUP(C153,REGISTRE!B:G,2,FALSE)</f>
        <v>Haut-Katanga</v>
      </c>
      <c r="G153" s="1">
        <f>VLOOKUP(C153,REGISTRE!B:G,3,FALSE)</f>
        <v>-5.5445120000000001</v>
      </c>
      <c r="H153" s="1">
        <f>VLOOKUP(C153,REGISTRE!B:G,4,FALSE)</f>
        <v>27.547335</v>
      </c>
      <c r="I153" s="1" t="str">
        <f>VLOOKUP(C153,REGISTRE!B:G,5,FALSE)</f>
        <v>4G</v>
      </c>
      <c r="J153" s="1" t="str">
        <f>VLOOKUP(C153,REGISTRE!B:G,6,FALSE)</f>
        <v>Ericsson</v>
      </c>
      <c r="K153" s="1" t="str">
        <f>INT(LOGS_Rx5[[#This Row],[Duree_Panne_Min]]/60) &amp; " h " &amp; MOD(LOGS_Rx5[[#This Row],[Duree_Panne_Min]],60) &amp; " min " &amp; "0 s"</f>
        <v>1 h 36 min 0 s</v>
      </c>
    </row>
    <row r="154" spans="1:11" x14ac:dyDescent="0.35">
      <c r="A154" s="1" t="s">
        <v>864</v>
      </c>
      <c r="B154" s="2">
        <v>45200.51458333333</v>
      </c>
      <c r="C154" s="1" t="s">
        <v>865</v>
      </c>
      <c r="D154">
        <v>24</v>
      </c>
      <c r="E154" s="1" t="s">
        <v>740</v>
      </c>
      <c r="F154" s="1" t="str">
        <f>VLOOKUP(C154,REGISTRE!B:G,2,FALSE)</f>
        <v>Tshuapa</v>
      </c>
      <c r="G154" s="1">
        <f>VLOOKUP(C154,REGISTRE!B:G,3,FALSE)</f>
        <v>-11.622688999999999</v>
      </c>
      <c r="H154" s="1">
        <f>VLOOKUP(C154,REGISTRE!B:G,4,FALSE)</f>
        <v>18.483874</v>
      </c>
      <c r="I154" s="1" t="str">
        <f>VLOOKUP(C154,REGISTRE!B:G,5,FALSE)</f>
        <v>5G</v>
      </c>
      <c r="J154" s="1" t="str">
        <f>VLOOKUP(C154,REGISTRE!B:G,6,FALSE)</f>
        <v>ZTE</v>
      </c>
      <c r="K154" s="1" t="str">
        <f>INT(LOGS_Rx5[[#This Row],[Duree_Panne_Min]]/60) &amp; " h " &amp; MOD(LOGS_Rx5[[#This Row],[Duree_Panne_Min]],60) &amp; " min " &amp; "0 s"</f>
        <v>0 h 24 min 0 s</v>
      </c>
    </row>
    <row r="155" spans="1:11" x14ac:dyDescent="0.35">
      <c r="A155" s="1" t="s">
        <v>1267</v>
      </c>
      <c r="B155" s="2">
        <v>45216.701388888891</v>
      </c>
      <c r="C155" s="1" t="s">
        <v>865</v>
      </c>
      <c r="D155">
        <v>80</v>
      </c>
      <c r="E155" s="1" t="s">
        <v>735</v>
      </c>
      <c r="F155" s="1" t="str">
        <f>VLOOKUP(C155,REGISTRE!B:G,2,FALSE)</f>
        <v>Tshuapa</v>
      </c>
      <c r="G155" s="1">
        <f>VLOOKUP(C155,REGISTRE!B:G,3,FALSE)</f>
        <v>-11.622688999999999</v>
      </c>
      <c r="H155" s="1">
        <f>VLOOKUP(C155,REGISTRE!B:G,4,FALSE)</f>
        <v>18.483874</v>
      </c>
      <c r="I155" s="1" t="str">
        <f>VLOOKUP(C155,REGISTRE!B:G,5,FALSE)</f>
        <v>5G</v>
      </c>
      <c r="J155" s="1" t="str">
        <f>VLOOKUP(C155,REGISTRE!B:G,6,FALSE)</f>
        <v>ZTE</v>
      </c>
      <c r="K155" s="1" t="str">
        <f>INT(LOGS_Rx5[[#This Row],[Duree_Panne_Min]]/60) &amp; " h " &amp; MOD(LOGS_Rx5[[#This Row],[Duree_Panne_Min]],60) &amp; " min " &amp; "0 s"</f>
        <v>1 h 20 min 0 s</v>
      </c>
    </row>
    <row r="156" spans="1:11" x14ac:dyDescent="0.35">
      <c r="A156" s="1" t="s">
        <v>1199</v>
      </c>
      <c r="B156" s="2">
        <v>45202.699305555558</v>
      </c>
      <c r="C156" s="1" t="s">
        <v>1202</v>
      </c>
      <c r="D156">
        <v>63</v>
      </c>
      <c r="E156" s="1" t="s">
        <v>738</v>
      </c>
      <c r="F156" s="1" t="str">
        <f>VLOOKUP(C156,REGISTRE!B:G,2,FALSE)</f>
        <v>Tshopo</v>
      </c>
      <c r="G156" s="1">
        <f>VLOOKUP(C156,REGISTRE!B:G,3,FALSE)</f>
        <v>1.400674</v>
      </c>
      <c r="H156" s="1">
        <f>VLOOKUP(C156,REGISTRE!B:G,4,FALSE)</f>
        <v>13.503126999999999</v>
      </c>
      <c r="I156" s="1" t="str">
        <f>VLOOKUP(C156,REGISTRE!B:G,5,FALSE)</f>
        <v>5G</v>
      </c>
      <c r="J156" s="1" t="str">
        <f>VLOOKUP(C156,REGISTRE!B:G,6,FALSE)</f>
        <v>ZTE</v>
      </c>
      <c r="K156" s="1" t="str">
        <f>INT(LOGS_Rx5[[#This Row],[Duree_Panne_Min]]/60) &amp; " h " &amp; MOD(LOGS_Rx5[[#This Row],[Duree_Panne_Min]],60) &amp; " min " &amp; "0 s"</f>
        <v>1 h 3 min 0 s</v>
      </c>
    </row>
    <row r="157" spans="1:11" x14ac:dyDescent="0.35">
      <c r="A157" s="1" t="s">
        <v>1028</v>
      </c>
      <c r="B157" s="2">
        <v>45202.412499999999</v>
      </c>
      <c r="C157" s="1" t="s">
        <v>1061</v>
      </c>
      <c r="D157">
        <v>35</v>
      </c>
      <c r="E157" s="1" t="s">
        <v>735</v>
      </c>
      <c r="F157" s="1" t="str">
        <f>VLOOKUP(C157,REGISTRE!B:G,2,FALSE)</f>
        <v>Bas-Uele</v>
      </c>
      <c r="G157" s="1">
        <f>VLOOKUP(C157,REGISTRE!B:G,3,FALSE)</f>
        <v>-6.4197189999999997</v>
      </c>
      <c r="H157" s="1">
        <f>VLOOKUP(C157,REGISTRE!B:G,4,FALSE)</f>
        <v>22.287264</v>
      </c>
      <c r="I157" s="1" t="str">
        <f>VLOOKUP(C157,REGISTRE!B:G,5,FALSE)</f>
        <v>3G</v>
      </c>
      <c r="J157" s="1" t="str">
        <f>VLOOKUP(C157,REGISTRE!B:G,6,FALSE)</f>
        <v>Ericsson</v>
      </c>
      <c r="K157" s="1" t="str">
        <f>INT(LOGS_Rx5[[#This Row],[Duree_Panne_Min]]/60) &amp; " h " &amp; MOD(LOGS_Rx5[[#This Row],[Duree_Panne_Min]],60) &amp; " min " &amp; "0 s"</f>
        <v>0 h 35 min 0 s</v>
      </c>
    </row>
    <row r="158" spans="1:11" x14ac:dyDescent="0.35">
      <c r="A158" s="1" t="s">
        <v>1247</v>
      </c>
      <c r="B158" s="2">
        <v>45216.970138888893</v>
      </c>
      <c r="C158" s="1" t="s">
        <v>1061</v>
      </c>
      <c r="D158">
        <v>13</v>
      </c>
      <c r="E158" s="1" t="s">
        <v>740</v>
      </c>
      <c r="F158" s="1" t="str">
        <f>VLOOKUP(C158,REGISTRE!B:G,2,FALSE)</f>
        <v>Bas-Uele</v>
      </c>
      <c r="G158" s="1">
        <f>VLOOKUP(C158,REGISTRE!B:G,3,FALSE)</f>
        <v>-6.4197189999999997</v>
      </c>
      <c r="H158" s="1">
        <f>VLOOKUP(C158,REGISTRE!B:G,4,FALSE)</f>
        <v>22.287264</v>
      </c>
      <c r="I158" s="1" t="str">
        <f>VLOOKUP(C158,REGISTRE!B:G,5,FALSE)</f>
        <v>3G</v>
      </c>
      <c r="J158" s="1" t="str">
        <f>VLOOKUP(C158,REGISTRE!B:G,6,FALSE)</f>
        <v>Ericsson</v>
      </c>
      <c r="K158" s="1" t="str">
        <f>INT(LOGS_Rx5[[#This Row],[Duree_Panne_Min]]/60) &amp; " h " &amp; MOD(LOGS_Rx5[[#This Row],[Duree_Panne_Min]],60) &amp; " min " &amp; "0 s"</f>
        <v>0 h 13 min 0 s</v>
      </c>
    </row>
    <row r="159" spans="1:11" x14ac:dyDescent="0.35">
      <c r="A159" s="1" t="s">
        <v>1414</v>
      </c>
      <c r="B159" s="2">
        <v>45209.913888888892</v>
      </c>
      <c r="C159" s="1" t="s">
        <v>1061</v>
      </c>
      <c r="D159">
        <v>111</v>
      </c>
      <c r="E159" s="1" t="s">
        <v>740</v>
      </c>
      <c r="F159" s="1" t="str">
        <f>VLOOKUP(C159,REGISTRE!B:G,2,FALSE)</f>
        <v>Bas-Uele</v>
      </c>
      <c r="G159" s="1">
        <f>VLOOKUP(C159,REGISTRE!B:G,3,FALSE)</f>
        <v>-6.4197189999999997</v>
      </c>
      <c r="H159" s="1">
        <f>VLOOKUP(C159,REGISTRE!B:G,4,FALSE)</f>
        <v>22.287264</v>
      </c>
      <c r="I159" s="1" t="str">
        <f>VLOOKUP(C159,REGISTRE!B:G,5,FALSE)</f>
        <v>3G</v>
      </c>
      <c r="J159" s="1" t="str">
        <f>VLOOKUP(C159,REGISTRE!B:G,6,FALSE)</f>
        <v>Ericsson</v>
      </c>
      <c r="K159" s="1" t="str">
        <f>INT(LOGS_Rx5[[#This Row],[Duree_Panne_Min]]/60) &amp; " h " &amp; MOD(LOGS_Rx5[[#This Row],[Duree_Panne_Min]],60) &amp; " min " &amp; "0 s"</f>
        <v>1 h 51 min 0 s</v>
      </c>
    </row>
    <row r="160" spans="1:11" x14ac:dyDescent="0.35">
      <c r="A160" s="1" t="s">
        <v>826</v>
      </c>
      <c r="B160" s="2">
        <v>45219.103472222218</v>
      </c>
      <c r="C160" s="1" t="s">
        <v>863</v>
      </c>
      <c r="D160">
        <v>72</v>
      </c>
      <c r="E160" s="1" t="s">
        <v>738</v>
      </c>
      <c r="F160" s="1" t="str">
        <f>VLOOKUP(C160,REGISTRE!B:G,2,FALSE)</f>
        <v>Lomami</v>
      </c>
      <c r="G160" s="1">
        <f>VLOOKUP(C160,REGISTRE!B:G,3,FALSE)</f>
        <v>-5.7035130000000001</v>
      </c>
      <c r="H160" s="1">
        <f>VLOOKUP(C160,REGISTRE!B:G,4,FALSE)</f>
        <v>14.331479</v>
      </c>
      <c r="I160" s="1" t="str">
        <f>VLOOKUP(C160,REGISTRE!B:G,5,FALSE)</f>
        <v>5G</v>
      </c>
      <c r="J160" s="1" t="str">
        <f>VLOOKUP(C160,REGISTRE!B:G,6,FALSE)</f>
        <v>Nokia</v>
      </c>
      <c r="K160" s="1" t="str">
        <f>INT(LOGS_Rx5[[#This Row],[Duree_Panne_Min]]/60) &amp; " h " &amp; MOD(LOGS_Rx5[[#This Row],[Duree_Panne_Min]],60) &amp; " min " &amp; "0 s"</f>
        <v>1 h 12 min 0 s</v>
      </c>
    </row>
    <row r="161" spans="1:11" x14ac:dyDescent="0.35">
      <c r="A161" s="1" t="s">
        <v>1120</v>
      </c>
      <c r="B161" s="2">
        <v>45230.228472222218</v>
      </c>
      <c r="C161" s="1" t="s">
        <v>863</v>
      </c>
      <c r="D161">
        <v>39</v>
      </c>
      <c r="E161" s="1" t="s">
        <v>740</v>
      </c>
      <c r="F161" s="1" t="str">
        <f>VLOOKUP(C161,REGISTRE!B:G,2,FALSE)</f>
        <v>Lomami</v>
      </c>
      <c r="G161" s="1">
        <f>VLOOKUP(C161,REGISTRE!B:G,3,FALSE)</f>
        <v>-5.7035130000000001</v>
      </c>
      <c r="H161" s="1">
        <f>VLOOKUP(C161,REGISTRE!B:G,4,FALSE)</f>
        <v>14.331479</v>
      </c>
      <c r="I161" s="1" t="str">
        <f>VLOOKUP(C161,REGISTRE!B:G,5,FALSE)</f>
        <v>5G</v>
      </c>
      <c r="J161" s="1" t="str">
        <f>VLOOKUP(C161,REGISTRE!B:G,6,FALSE)</f>
        <v>Nokia</v>
      </c>
      <c r="K161" s="1" t="str">
        <f>INT(LOGS_Rx5[[#This Row],[Duree_Panne_Min]]/60) &amp; " h " &amp; MOD(LOGS_Rx5[[#This Row],[Duree_Panne_Min]],60) &amp; " min " &amp; "0 s"</f>
        <v>0 h 39 min 0 s</v>
      </c>
    </row>
    <row r="162" spans="1:11" x14ac:dyDescent="0.35">
      <c r="A162" s="1" t="s">
        <v>1171</v>
      </c>
      <c r="B162" s="2">
        <v>45201.726388888892</v>
      </c>
      <c r="C162" s="1" t="s">
        <v>1177</v>
      </c>
      <c r="D162">
        <v>97</v>
      </c>
      <c r="E162" s="1" t="s">
        <v>738</v>
      </c>
      <c r="F162" s="1" t="str">
        <f>VLOOKUP(C162,REGISTRE!B:G,2,FALSE)</f>
        <v>Kasai-Oriental</v>
      </c>
      <c r="G162" s="1">
        <f>VLOOKUP(C162,REGISTRE!B:G,3,FALSE)</f>
        <v>-4.3639070000000002</v>
      </c>
      <c r="H162" s="1">
        <f>VLOOKUP(C162,REGISTRE!B:G,4,FALSE)</f>
        <v>16.283307000000001</v>
      </c>
      <c r="I162" s="1" t="str">
        <f>VLOOKUP(C162,REGISTRE!B:G,5,FALSE)</f>
        <v>5G</v>
      </c>
      <c r="J162" s="1" t="str">
        <f>VLOOKUP(C162,REGISTRE!B:G,6,FALSE)</f>
        <v>Huawei</v>
      </c>
      <c r="K162" s="1" t="str">
        <f>INT(LOGS_Rx5[[#This Row],[Duree_Panne_Min]]/60) &amp; " h " &amp; MOD(LOGS_Rx5[[#This Row],[Duree_Panne_Min]],60) &amp; " min " &amp; "0 s"</f>
        <v>1 h 37 min 0 s</v>
      </c>
    </row>
    <row r="163" spans="1:11" x14ac:dyDescent="0.35">
      <c r="A163" s="1" t="s">
        <v>905</v>
      </c>
      <c r="B163" s="2">
        <v>45208.169444444437</v>
      </c>
      <c r="C163" s="1" t="s">
        <v>933</v>
      </c>
      <c r="D163">
        <v>47</v>
      </c>
      <c r="E163" s="1" t="s">
        <v>735</v>
      </c>
      <c r="F163" s="1" t="str">
        <f>VLOOKUP(C163,REGISTRE!B:G,2,FALSE)</f>
        <v>Kasaï</v>
      </c>
      <c r="G163" s="1">
        <f>VLOOKUP(C163,REGISTRE!B:G,3,FALSE)</f>
        <v>-4.351254</v>
      </c>
      <c r="H163" s="1">
        <f>VLOOKUP(C163,REGISTRE!B:G,4,FALSE)</f>
        <v>30.097408999999999</v>
      </c>
      <c r="I163" s="1" t="str">
        <f>VLOOKUP(C163,REGISTRE!B:G,5,FALSE)</f>
        <v>5G</v>
      </c>
      <c r="J163" s="1" t="str">
        <f>VLOOKUP(C163,REGISTRE!B:G,6,FALSE)</f>
        <v>Nokia</v>
      </c>
      <c r="K163" s="1" t="str">
        <f>INT(LOGS_Rx5[[#This Row],[Duree_Panne_Min]]/60) &amp; " h " &amp; MOD(LOGS_Rx5[[#This Row],[Duree_Panne_Min]],60) &amp; " min " &amp; "0 s"</f>
        <v>0 h 47 min 0 s</v>
      </c>
    </row>
    <row r="164" spans="1:11" x14ac:dyDescent="0.35">
      <c r="A164" s="1" t="s">
        <v>1120</v>
      </c>
      <c r="B164" s="2">
        <v>45210.895833333343</v>
      </c>
      <c r="C164" s="1" t="s">
        <v>933</v>
      </c>
      <c r="D164">
        <v>110</v>
      </c>
      <c r="E164" s="1" t="s">
        <v>740</v>
      </c>
      <c r="F164" s="1" t="str">
        <f>VLOOKUP(C164,REGISTRE!B:G,2,FALSE)</f>
        <v>Kasaï</v>
      </c>
      <c r="G164" s="1">
        <f>VLOOKUP(C164,REGISTRE!B:G,3,FALSE)</f>
        <v>-4.351254</v>
      </c>
      <c r="H164" s="1">
        <f>VLOOKUP(C164,REGISTRE!B:G,4,FALSE)</f>
        <v>30.097408999999999</v>
      </c>
      <c r="I164" s="1" t="str">
        <f>VLOOKUP(C164,REGISTRE!B:G,5,FALSE)</f>
        <v>5G</v>
      </c>
      <c r="J164" s="1" t="str">
        <f>VLOOKUP(C164,REGISTRE!B:G,6,FALSE)</f>
        <v>Nokia</v>
      </c>
      <c r="K164" s="1" t="str">
        <f>INT(LOGS_Rx5[[#This Row],[Duree_Panne_Min]]/60) &amp; " h " &amp; MOD(LOGS_Rx5[[#This Row],[Duree_Panne_Min]],60) &amp; " min " &amp; "0 s"</f>
        <v>1 h 50 min 0 s</v>
      </c>
    </row>
    <row r="165" spans="1:11" x14ac:dyDescent="0.35">
      <c r="A165" s="1" t="s">
        <v>1091</v>
      </c>
      <c r="B165" s="2">
        <v>45207.133333333331</v>
      </c>
      <c r="C165" s="1" t="s">
        <v>1095</v>
      </c>
      <c r="D165">
        <v>66</v>
      </c>
      <c r="E165" s="1" t="s">
        <v>738</v>
      </c>
      <c r="F165" s="1" t="str">
        <f>VLOOKUP(C165,REGISTRE!B:G,2,FALSE)</f>
        <v>Kasai-Oriental</v>
      </c>
      <c r="G165" s="1">
        <f>VLOOKUP(C165,REGISTRE!B:G,3,FALSE)</f>
        <v>-5.4073029999999997</v>
      </c>
      <c r="H165" s="1">
        <f>VLOOKUP(C165,REGISTRE!B:G,4,FALSE)</f>
        <v>29.762294000000001</v>
      </c>
      <c r="I165" s="1" t="str">
        <f>VLOOKUP(C165,REGISTRE!B:G,5,FALSE)</f>
        <v>3G</v>
      </c>
      <c r="J165" s="1" t="str">
        <f>VLOOKUP(C165,REGISTRE!B:G,6,FALSE)</f>
        <v>Ericsson</v>
      </c>
      <c r="K165" s="1" t="str">
        <f>INT(LOGS_Rx5[[#This Row],[Duree_Panne_Min]]/60) &amp; " h " &amp; MOD(LOGS_Rx5[[#This Row],[Duree_Panne_Min]],60) &amp; " min " &amp; "0 s"</f>
        <v>1 h 6 min 0 s</v>
      </c>
    </row>
    <row r="166" spans="1:11" x14ac:dyDescent="0.35">
      <c r="A166" s="1" t="s">
        <v>1414</v>
      </c>
      <c r="B166" s="2">
        <v>45214.850694444453</v>
      </c>
      <c r="C166" s="1" t="s">
        <v>1095</v>
      </c>
      <c r="D166">
        <v>31</v>
      </c>
      <c r="E166" s="1" t="s">
        <v>740</v>
      </c>
      <c r="F166" s="1" t="str">
        <f>VLOOKUP(C166,REGISTRE!B:G,2,FALSE)</f>
        <v>Kasai-Oriental</v>
      </c>
      <c r="G166" s="1">
        <f>VLOOKUP(C166,REGISTRE!B:G,3,FALSE)</f>
        <v>-5.4073029999999997</v>
      </c>
      <c r="H166" s="1">
        <f>VLOOKUP(C166,REGISTRE!B:G,4,FALSE)</f>
        <v>29.762294000000001</v>
      </c>
      <c r="I166" s="1" t="str">
        <f>VLOOKUP(C166,REGISTRE!B:G,5,FALSE)</f>
        <v>3G</v>
      </c>
      <c r="J166" s="1" t="str">
        <f>VLOOKUP(C166,REGISTRE!B:G,6,FALSE)</f>
        <v>Ericsson</v>
      </c>
      <c r="K166" s="1" t="str">
        <f>INT(LOGS_Rx5[[#This Row],[Duree_Panne_Min]]/60) &amp; " h " &amp; MOD(LOGS_Rx5[[#This Row],[Duree_Panne_Min]],60) &amp; " min " &amp; "0 s"</f>
        <v>0 h 31 min 0 s</v>
      </c>
    </row>
    <row r="167" spans="1:11" x14ac:dyDescent="0.35">
      <c r="A167" s="1" t="s">
        <v>864</v>
      </c>
      <c r="B167" s="2">
        <v>45203.750694444447</v>
      </c>
      <c r="C167" s="1" t="s">
        <v>889</v>
      </c>
      <c r="D167">
        <v>64</v>
      </c>
      <c r="E167" s="1" t="s">
        <v>740</v>
      </c>
      <c r="F167" s="1" t="str">
        <f>VLOOKUP(C167,REGISTRE!B:G,2,FALSE)</f>
        <v>Maniema</v>
      </c>
      <c r="G167" s="1">
        <f>VLOOKUP(C167,REGISTRE!B:G,3,FALSE)</f>
        <v>-4.6818410000000004</v>
      </c>
      <c r="H167" s="1">
        <f>VLOOKUP(C167,REGISTRE!B:G,4,FALSE)</f>
        <v>17.541618</v>
      </c>
      <c r="I167" s="1" t="str">
        <f>VLOOKUP(C167,REGISTRE!B:G,5,FALSE)</f>
        <v>4G</v>
      </c>
      <c r="J167" s="1" t="str">
        <f>VLOOKUP(C167,REGISTRE!B:G,6,FALSE)</f>
        <v>Ericsson</v>
      </c>
      <c r="K167" s="1" t="str">
        <f>INT(LOGS_Rx5[[#This Row],[Duree_Panne_Min]]/60) &amp; " h " &amp; MOD(LOGS_Rx5[[#This Row],[Duree_Panne_Min]],60) &amp; " min " &amp; "0 s"</f>
        <v>1 h 4 min 0 s</v>
      </c>
    </row>
    <row r="168" spans="1:11" x14ac:dyDescent="0.35">
      <c r="A168" s="1" t="s">
        <v>981</v>
      </c>
      <c r="B168" s="2">
        <v>45224.201388888891</v>
      </c>
      <c r="C168" s="1" t="s">
        <v>889</v>
      </c>
      <c r="D168">
        <v>43</v>
      </c>
      <c r="E168" s="1" t="s">
        <v>740</v>
      </c>
      <c r="F168" s="1" t="str">
        <f>VLOOKUP(C168,REGISTRE!B:G,2,FALSE)</f>
        <v>Maniema</v>
      </c>
      <c r="G168" s="1">
        <f>VLOOKUP(C168,REGISTRE!B:G,3,FALSE)</f>
        <v>-4.6818410000000004</v>
      </c>
      <c r="H168" s="1">
        <f>VLOOKUP(C168,REGISTRE!B:G,4,FALSE)</f>
        <v>17.541618</v>
      </c>
      <c r="I168" s="1" t="str">
        <f>VLOOKUP(C168,REGISTRE!B:G,5,FALSE)</f>
        <v>4G</v>
      </c>
      <c r="J168" s="1" t="str">
        <f>VLOOKUP(C168,REGISTRE!B:G,6,FALSE)</f>
        <v>Ericsson</v>
      </c>
      <c r="K168" s="1" t="str">
        <f>INT(LOGS_Rx5[[#This Row],[Duree_Panne_Min]]/60) &amp; " h " &amp; MOD(LOGS_Rx5[[#This Row],[Duree_Panne_Min]],60) &amp; " min " &amp; "0 s"</f>
        <v>0 h 43 min 0 s</v>
      </c>
    </row>
    <row r="169" spans="1:11" x14ac:dyDescent="0.35">
      <c r="A169" s="1" t="s">
        <v>733</v>
      </c>
      <c r="B169" s="2">
        <v>45202.290277777778</v>
      </c>
      <c r="C169" s="1" t="s">
        <v>776</v>
      </c>
      <c r="D169">
        <v>103</v>
      </c>
      <c r="E169" s="1" t="s">
        <v>738</v>
      </c>
      <c r="F169" s="1" t="str">
        <f>VLOOKUP(C169,REGISTRE!B:G,2,FALSE)</f>
        <v>Equateur</v>
      </c>
      <c r="G169" s="1">
        <f>VLOOKUP(C169,REGISTRE!B:G,3,FALSE)</f>
        <v>4.9250049999999996</v>
      </c>
      <c r="H169" s="1">
        <f>VLOOKUP(C169,REGISTRE!B:G,4,FALSE)</f>
        <v>19.887931999999999</v>
      </c>
      <c r="I169" s="1" t="str">
        <f>VLOOKUP(C169,REGISTRE!B:G,5,FALSE)</f>
        <v>4G</v>
      </c>
      <c r="J169" s="1" t="str">
        <f>VLOOKUP(C169,REGISTRE!B:G,6,FALSE)</f>
        <v>Huawei</v>
      </c>
      <c r="K169" s="1" t="str">
        <f>INT(LOGS_Rx5[[#This Row],[Duree_Panne_Min]]/60) &amp; " h " &amp; MOD(LOGS_Rx5[[#This Row],[Duree_Panne_Min]],60) &amp; " min " &amp; "0 s"</f>
        <v>1 h 43 min 0 s</v>
      </c>
    </row>
    <row r="170" spans="1:11" x14ac:dyDescent="0.35">
      <c r="A170" s="1" t="s">
        <v>733</v>
      </c>
      <c r="B170" s="2">
        <v>45221.836111111108</v>
      </c>
      <c r="C170" s="1" t="s">
        <v>768</v>
      </c>
      <c r="D170">
        <v>6</v>
      </c>
      <c r="E170" s="1" t="s">
        <v>740</v>
      </c>
      <c r="F170" s="1" t="str">
        <f>VLOOKUP(C170,REGISTRE!B:G,2,FALSE)</f>
        <v>Kasaï</v>
      </c>
      <c r="G170" s="1">
        <f>VLOOKUP(C170,REGISTRE!B:G,3,FALSE)</f>
        <v>-4.9789079999999997</v>
      </c>
      <c r="H170" s="1">
        <f>VLOOKUP(C170,REGISTRE!B:G,4,FALSE)</f>
        <v>28.506295000000001</v>
      </c>
      <c r="I170" s="1" t="str">
        <f>VLOOKUP(C170,REGISTRE!B:G,5,FALSE)</f>
        <v>4G</v>
      </c>
      <c r="J170" s="1" t="str">
        <f>VLOOKUP(C170,REGISTRE!B:G,6,FALSE)</f>
        <v>Huawei</v>
      </c>
      <c r="K170" s="1" t="str">
        <f>INT(LOGS_Rx5[[#This Row],[Duree_Panne_Min]]/60) &amp; " h " &amp; MOD(LOGS_Rx5[[#This Row],[Duree_Panne_Min]],60) &amp; " min " &amp; "0 s"</f>
        <v>0 h 6 min 0 s</v>
      </c>
    </row>
    <row r="171" spans="1:11" x14ac:dyDescent="0.35">
      <c r="A171" s="1" t="s">
        <v>905</v>
      </c>
      <c r="B171" s="2">
        <v>45205.052777777782</v>
      </c>
      <c r="C171" s="1" t="s">
        <v>768</v>
      </c>
      <c r="D171">
        <v>102</v>
      </c>
      <c r="E171" s="1" t="s">
        <v>738</v>
      </c>
      <c r="F171" s="1" t="str">
        <f>VLOOKUP(C171,REGISTRE!B:G,2,FALSE)</f>
        <v>Kasaï</v>
      </c>
      <c r="G171" s="1">
        <f>VLOOKUP(C171,REGISTRE!B:G,3,FALSE)</f>
        <v>-4.9789079999999997</v>
      </c>
      <c r="H171" s="1">
        <f>VLOOKUP(C171,REGISTRE!B:G,4,FALSE)</f>
        <v>28.506295000000001</v>
      </c>
      <c r="I171" s="1" t="str">
        <f>VLOOKUP(C171,REGISTRE!B:G,5,FALSE)</f>
        <v>4G</v>
      </c>
      <c r="J171" s="1" t="str">
        <f>VLOOKUP(C171,REGISTRE!B:G,6,FALSE)</f>
        <v>Huawei</v>
      </c>
      <c r="K171" s="1" t="str">
        <f>INT(LOGS_Rx5[[#This Row],[Duree_Panne_Min]]/60) &amp; " h " &amp; MOD(LOGS_Rx5[[#This Row],[Duree_Panne_Min]],60) &amp; " min " &amp; "0 s"</f>
        <v>1 h 42 min 0 s</v>
      </c>
    </row>
    <row r="172" spans="1:11" x14ac:dyDescent="0.35">
      <c r="A172" s="1" t="s">
        <v>864</v>
      </c>
      <c r="B172" s="2">
        <v>45228.614583333343</v>
      </c>
      <c r="C172" s="1" t="s">
        <v>904</v>
      </c>
      <c r="D172">
        <v>48</v>
      </c>
      <c r="E172" s="1" t="s">
        <v>738</v>
      </c>
      <c r="F172" s="1" t="str">
        <f>VLOOKUP(C172,REGISTRE!B:G,2,FALSE)</f>
        <v>Bas-Uele</v>
      </c>
      <c r="G172" s="1">
        <f>VLOOKUP(C172,REGISTRE!B:G,3,FALSE)</f>
        <v>-3.6945459999999999</v>
      </c>
      <c r="H172" s="1">
        <f>VLOOKUP(C172,REGISTRE!B:G,4,FALSE)</f>
        <v>16.809108999999999</v>
      </c>
      <c r="I172" s="1" t="str">
        <f>VLOOKUP(C172,REGISTRE!B:G,5,FALSE)</f>
        <v>5G</v>
      </c>
      <c r="J172" s="1" t="str">
        <f>VLOOKUP(C172,REGISTRE!B:G,6,FALSE)</f>
        <v>ZTE</v>
      </c>
      <c r="K172" s="1" t="str">
        <f>INT(LOGS_Rx5[[#This Row],[Duree_Panne_Min]]/60) &amp; " h " &amp; MOD(LOGS_Rx5[[#This Row],[Duree_Panne_Min]],60) &amp; " min " &amp; "0 s"</f>
        <v>0 h 48 min 0 s</v>
      </c>
    </row>
    <row r="173" spans="1:11" x14ac:dyDescent="0.35">
      <c r="A173" s="1" t="s">
        <v>1120</v>
      </c>
      <c r="B173" s="2">
        <v>45222.763194444437</v>
      </c>
      <c r="C173" s="1" t="s">
        <v>904</v>
      </c>
      <c r="D173">
        <v>91</v>
      </c>
      <c r="E173" s="1" t="s">
        <v>740</v>
      </c>
      <c r="F173" s="1" t="str">
        <f>VLOOKUP(C173,REGISTRE!B:G,2,FALSE)</f>
        <v>Bas-Uele</v>
      </c>
      <c r="G173" s="1">
        <f>VLOOKUP(C173,REGISTRE!B:G,3,FALSE)</f>
        <v>-3.6945459999999999</v>
      </c>
      <c r="H173" s="1">
        <f>VLOOKUP(C173,REGISTRE!B:G,4,FALSE)</f>
        <v>16.809108999999999</v>
      </c>
      <c r="I173" s="1" t="str">
        <f>VLOOKUP(C173,REGISTRE!B:G,5,FALSE)</f>
        <v>5G</v>
      </c>
      <c r="J173" s="1" t="str">
        <f>VLOOKUP(C173,REGISTRE!B:G,6,FALSE)</f>
        <v>ZTE</v>
      </c>
      <c r="K173" s="1" t="str">
        <f>INT(LOGS_Rx5[[#This Row],[Duree_Panne_Min]]/60) &amp; " h " &amp; MOD(LOGS_Rx5[[#This Row],[Duree_Panne_Min]],60) &amp; " min " &amp; "0 s"</f>
        <v>1 h 31 min 0 s</v>
      </c>
    </row>
    <row r="174" spans="1:11" x14ac:dyDescent="0.35">
      <c r="A174" s="1" t="s">
        <v>1389</v>
      </c>
      <c r="B174" s="2">
        <v>45214.172222222223</v>
      </c>
      <c r="C174" s="1" t="s">
        <v>904</v>
      </c>
      <c r="D174">
        <v>6</v>
      </c>
      <c r="E174" s="1" t="s">
        <v>735</v>
      </c>
      <c r="F174" s="1" t="str">
        <f>VLOOKUP(C174,REGISTRE!B:G,2,FALSE)</f>
        <v>Bas-Uele</v>
      </c>
      <c r="G174" s="1">
        <f>VLOOKUP(C174,REGISTRE!B:G,3,FALSE)</f>
        <v>-3.6945459999999999</v>
      </c>
      <c r="H174" s="1">
        <f>VLOOKUP(C174,REGISTRE!B:G,4,FALSE)</f>
        <v>16.809108999999999</v>
      </c>
      <c r="I174" s="1" t="str">
        <f>VLOOKUP(C174,REGISTRE!B:G,5,FALSE)</f>
        <v>5G</v>
      </c>
      <c r="J174" s="1" t="str">
        <f>VLOOKUP(C174,REGISTRE!B:G,6,FALSE)</f>
        <v>ZTE</v>
      </c>
      <c r="K174" s="1" t="str">
        <f>INT(LOGS_Rx5[[#This Row],[Duree_Panne_Min]]/60) &amp; " h " &amp; MOD(LOGS_Rx5[[#This Row],[Duree_Panne_Min]],60) &amp; " min " &amp; "0 s"</f>
        <v>0 h 6 min 0 s</v>
      </c>
    </row>
    <row r="175" spans="1:11" x14ac:dyDescent="0.35">
      <c r="A175" s="1" t="s">
        <v>1414</v>
      </c>
      <c r="B175" s="2">
        <v>45219.095833333333</v>
      </c>
      <c r="C175" s="1" t="s">
        <v>904</v>
      </c>
      <c r="D175">
        <v>113</v>
      </c>
      <c r="E175" s="1" t="s">
        <v>740</v>
      </c>
      <c r="F175" s="1" t="str">
        <f>VLOOKUP(C175,REGISTRE!B:G,2,FALSE)</f>
        <v>Bas-Uele</v>
      </c>
      <c r="G175" s="1">
        <f>VLOOKUP(C175,REGISTRE!B:G,3,FALSE)</f>
        <v>-3.6945459999999999</v>
      </c>
      <c r="H175" s="1">
        <f>VLOOKUP(C175,REGISTRE!B:G,4,FALSE)</f>
        <v>16.809108999999999</v>
      </c>
      <c r="I175" s="1" t="str">
        <f>VLOOKUP(C175,REGISTRE!B:G,5,FALSE)</f>
        <v>5G</v>
      </c>
      <c r="J175" s="1" t="str">
        <f>VLOOKUP(C175,REGISTRE!B:G,6,FALSE)</f>
        <v>ZTE</v>
      </c>
      <c r="K175" s="1" t="str">
        <f>INT(LOGS_Rx5[[#This Row],[Duree_Panne_Min]]/60) &amp; " h " &amp; MOD(LOGS_Rx5[[#This Row],[Duree_Panne_Min]],60) &amp; " min " &amp; "0 s"</f>
        <v>1 h 53 min 0 s</v>
      </c>
    </row>
    <row r="176" spans="1:11" x14ac:dyDescent="0.35">
      <c r="A176" s="1" t="s">
        <v>1002</v>
      </c>
      <c r="B176" s="2">
        <v>45213.342361111107</v>
      </c>
      <c r="C176" s="1" t="s">
        <v>1024</v>
      </c>
      <c r="D176">
        <v>63</v>
      </c>
      <c r="E176" s="1" t="s">
        <v>738</v>
      </c>
      <c r="F176" s="1" t="str">
        <f>VLOOKUP(C176,REGISTRE!B:G,2,FALSE)</f>
        <v>Sud-Kivu</v>
      </c>
      <c r="G176" s="1">
        <f>VLOOKUP(C176,REGISTRE!B:G,3,FALSE)</f>
        <v>0.31740800000000002</v>
      </c>
      <c r="H176" s="1">
        <f>VLOOKUP(C176,REGISTRE!B:G,4,FALSE)</f>
        <v>27.197666999999999</v>
      </c>
      <c r="I176" s="1" t="str">
        <f>VLOOKUP(C176,REGISTRE!B:G,5,FALSE)</f>
        <v>5G</v>
      </c>
      <c r="J176" s="1" t="str">
        <f>VLOOKUP(C176,REGISTRE!B:G,6,FALSE)</f>
        <v>Nokia</v>
      </c>
      <c r="K176" s="1" t="str">
        <f>INT(LOGS_Rx5[[#This Row],[Duree_Panne_Min]]/60) &amp; " h " &amp; MOD(LOGS_Rx5[[#This Row],[Duree_Panne_Min]],60) &amp; " min " &amp; "0 s"</f>
        <v>1 h 3 min 0 s</v>
      </c>
    </row>
    <row r="177" spans="1:11" x14ac:dyDescent="0.35">
      <c r="A177" s="1" t="s">
        <v>864</v>
      </c>
      <c r="B177" s="2">
        <v>45220.416666666657</v>
      </c>
      <c r="C177" s="1" t="s">
        <v>900</v>
      </c>
      <c r="D177">
        <v>32</v>
      </c>
      <c r="E177" s="1" t="s">
        <v>738</v>
      </c>
      <c r="F177" s="1" t="str">
        <f>VLOOKUP(C177,REGISTRE!B:G,2,FALSE)</f>
        <v>Kinshasa</v>
      </c>
      <c r="G177" s="1">
        <f>VLOOKUP(C177,REGISTRE!B:G,3,FALSE)</f>
        <v>-11.991020000000001</v>
      </c>
      <c r="H177" s="1">
        <f>VLOOKUP(C177,REGISTRE!B:G,4,FALSE)</f>
        <v>22.514747</v>
      </c>
      <c r="I177" s="1" t="str">
        <f>VLOOKUP(C177,REGISTRE!B:G,5,FALSE)</f>
        <v>5G</v>
      </c>
      <c r="J177" s="1" t="str">
        <f>VLOOKUP(C177,REGISTRE!B:G,6,FALSE)</f>
        <v>ZTE</v>
      </c>
      <c r="K177" s="1" t="str">
        <f>INT(LOGS_Rx5[[#This Row],[Duree_Panne_Min]]/60) &amp; " h " &amp; MOD(LOGS_Rx5[[#This Row],[Duree_Panne_Min]],60) &amp; " min " &amp; "0 s"</f>
        <v>0 h 32 min 0 s</v>
      </c>
    </row>
    <row r="178" spans="1:11" x14ac:dyDescent="0.35">
      <c r="A178" s="1" t="s">
        <v>1314</v>
      </c>
      <c r="B178" s="2">
        <v>45210.961111111108</v>
      </c>
      <c r="C178" s="1" t="s">
        <v>900</v>
      </c>
      <c r="D178">
        <v>66</v>
      </c>
      <c r="E178" s="1" t="s">
        <v>735</v>
      </c>
      <c r="F178" s="1" t="str">
        <f>VLOOKUP(C178,REGISTRE!B:G,2,FALSE)</f>
        <v>Kinshasa</v>
      </c>
      <c r="G178" s="1">
        <f>VLOOKUP(C178,REGISTRE!B:G,3,FALSE)</f>
        <v>-11.991020000000001</v>
      </c>
      <c r="H178" s="1">
        <f>VLOOKUP(C178,REGISTRE!B:G,4,FALSE)</f>
        <v>22.514747</v>
      </c>
      <c r="I178" s="1" t="str">
        <f>VLOOKUP(C178,REGISTRE!B:G,5,FALSE)</f>
        <v>5G</v>
      </c>
      <c r="J178" s="1" t="str">
        <f>VLOOKUP(C178,REGISTRE!B:G,6,FALSE)</f>
        <v>ZTE</v>
      </c>
      <c r="K178" s="1" t="str">
        <f>INT(LOGS_Rx5[[#This Row],[Duree_Panne_Min]]/60) &amp; " h " &amp; MOD(LOGS_Rx5[[#This Row],[Duree_Panne_Min]],60) &amp; " min " &amp; "0 s"</f>
        <v>1 h 6 min 0 s</v>
      </c>
    </row>
    <row r="179" spans="1:11" x14ac:dyDescent="0.35">
      <c r="A179" s="1" t="s">
        <v>1144</v>
      </c>
      <c r="B179" s="2">
        <v>45215.457638888889</v>
      </c>
      <c r="C179" s="1" t="s">
        <v>1147</v>
      </c>
      <c r="D179">
        <v>100</v>
      </c>
      <c r="E179" s="1" t="s">
        <v>735</v>
      </c>
      <c r="F179" s="1" t="str">
        <f>VLOOKUP(C179,REGISTRE!B:G,2,FALSE)</f>
        <v>Tanganyika</v>
      </c>
      <c r="G179" s="1">
        <f>VLOOKUP(C179,REGISTRE!B:G,3,FALSE)</f>
        <v>-11.793894</v>
      </c>
      <c r="H179" s="1">
        <f>VLOOKUP(C179,REGISTRE!B:G,4,FALSE)</f>
        <v>20.433340999999999</v>
      </c>
      <c r="I179" s="1" t="str">
        <f>VLOOKUP(C179,REGISTRE!B:G,5,FALSE)</f>
        <v>5G</v>
      </c>
      <c r="J179" s="1" t="str">
        <f>VLOOKUP(C179,REGISTRE!B:G,6,FALSE)</f>
        <v>Nokia</v>
      </c>
      <c r="K179" s="1" t="str">
        <f>INT(LOGS_Rx5[[#This Row],[Duree_Panne_Min]]/60) &amp; " h " &amp; MOD(LOGS_Rx5[[#This Row],[Duree_Panne_Min]],60) &amp; " min " &amp; "0 s"</f>
        <v>1 h 40 min 0 s</v>
      </c>
    </row>
    <row r="180" spans="1:11" x14ac:dyDescent="0.35">
      <c r="A180" s="1" t="s">
        <v>1225</v>
      </c>
      <c r="B180" s="2">
        <v>45203.304861111108</v>
      </c>
      <c r="C180" s="1" t="s">
        <v>1147</v>
      </c>
      <c r="D180">
        <v>106</v>
      </c>
      <c r="E180" s="1" t="s">
        <v>738</v>
      </c>
      <c r="F180" s="1" t="str">
        <f>VLOOKUP(C180,REGISTRE!B:G,2,FALSE)</f>
        <v>Tanganyika</v>
      </c>
      <c r="G180" s="1">
        <f>VLOOKUP(C180,REGISTRE!B:G,3,FALSE)</f>
        <v>-11.793894</v>
      </c>
      <c r="H180" s="1">
        <f>VLOOKUP(C180,REGISTRE!B:G,4,FALSE)</f>
        <v>20.433340999999999</v>
      </c>
      <c r="I180" s="1" t="str">
        <f>VLOOKUP(C180,REGISTRE!B:G,5,FALSE)</f>
        <v>5G</v>
      </c>
      <c r="J180" s="1" t="str">
        <f>VLOOKUP(C180,REGISTRE!B:G,6,FALSE)</f>
        <v>Nokia</v>
      </c>
      <c r="K180" s="1" t="str">
        <f>INT(LOGS_Rx5[[#This Row],[Duree_Panne_Min]]/60) &amp; " h " &amp; MOD(LOGS_Rx5[[#This Row],[Duree_Panne_Min]],60) &amp; " min " &amp; "0 s"</f>
        <v>1 h 46 min 0 s</v>
      </c>
    </row>
    <row r="181" spans="1:11" x14ac:dyDescent="0.35">
      <c r="A181" s="1" t="s">
        <v>1063</v>
      </c>
      <c r="B181" s="2">
        <v>45222.179166666669</v>
      </c>
      <c r="C181" s="1" t="s">
        <v>1069</v>
      </c>
      <c r="D181">
        <v>28</v>
      </c>
      <c r="E181" s="1" t="s">
        <v>738</v>
      </c>
      <c r="F181" s="1" t="str">
        <f>VLOOKUP(C181,REGISTRE!B:G,2,FALSE)</f>
        <v>Kinshasa</v>
      </c>
      <c r="G181" s="1">
        <f>VLOOKUP(C181,REGISTRE!B:G,3,FALSE)</f>
        <v>-0.90854400000000002</v>
      </c>
      <c r="H181" s="1">
        <f>VLOOKUP(C181,REGISTRE!B:G,4,FALSE)</f>
        <v>17.154896999999998</v>
      </c>
      <c r="I181" s="1" t="str">
        <f>VLOOKUP(C181,REGISTRE!B:G,5,FALSE)</f>
        <v>3G</v>
      </c>
      <c r="J181" s="1" t="str">
        <f>VLOOKUP(C181,REGISTRE!B:G,6,FALSE)</f>
        <v>Huawei</v>
      </c>
      <c r="K181" s="1" t="str">
        <f>INT(LOGS_Rx5[[#This Row],[Duree_Panne_Min]]/60) &amp; " h " &amp; MOD(LOGS_Rx5[[#This Row],[Duree_Panne_Min]],60) &amp; " min " &amp; "0 s"</f>
        <v>0 h 28 min 0 s</v>
      </c>
    </row>
    <row r="182" spans="1:11" x14ac:dyDescent="0.35">
      <c r="A182" s="1" t="s">
        <v>1171</v>
      </c>
      <c r="B182" s="2">
        <v>45214.736805555563</v>
      </c>
      <c r="C182" s="1" t="s">
        <v>1188</v>
      </c>
      <c r="D182">
        <v>34</v>
      </c>
      <c r="E182" s="1" t="s">
        <v>740</v>
      </c>
      <c r="F182" s="1" t="str">
        <f>VLOOKUP(C182,REGISTRE!B:G,2,FALSE)</f>
        <v>Kwilu</v>
      </c>
      <c r="G182" s="1">
        <f>VLOOKUP(C182,REGISTRE!B:G,3,FALSE)</f>
        <v>5.3608999999999997E-2</v>
      </c>
      <c r="H182" s="1">
        <f>VLOOKUP(C182,REGISTRE!B:G,4,FALSE)</f>
        <v>28.346852999999999</v>
      </c>
      <c r="I182" s="1" t="str">
        <f>VLOOKUP(C182,REGISTRE!B:G,5,FALSE)</f>
        <v>3G</v>
      </c>
      <c r="J182" s="1" t="str">
        <f>VLOOKUP(C182,REGISTRE!B:G,6,FALSE)</f>
        <v>ZTE</v>
      </c>
      <c r="K182" s="1" t="str">
        <f>INT(LOGS_Rx5[[#This Row],[Duree_Panne_Min]]/60) &amp; " h " &amp; MOD(LOGS_Rx5[[#This Row],[Duree_Panne_Min]],60) &amp; " min " &amp; "0 s"</f>
        <v>0 h 34 min 0 s</v>
      </c>
    </row>
    <row r="183" spans="1:11" x14ac:dyDescent="0.35">
      <c r="A183" s="1" t="s">
        <v>1294</v>
      </c>
      <c r="B183" s="2">
        <v>45225.171527777777</v>
      </c>
      <c r="C183" s="1" t="s">
        <v>1297</v>
      </c>
      <c r="D183">
        <v>104</v>
      </c>
      <c r="E183" s="1" t="s">
        <v>738</v>
      </c>
      <c r="F183" s="1" t="str">
        <f>VLOOKUP(C183,REGISTRE!B:G,2,FALSE)</f>
        <v>Kongo-Central</v>
      </c>
      <c r="G183" s="1">
        <f>VLOOKUP(C183,REGISTRE!B:G,3,FALSE)</f>
        <v>1.2463919999999999</v>
      </c>
      <c r="H183" s="1">
        <f>VLOOKUP(C183,REGISTRE!B:G,4,FALSE)</f>
        <v>13.266916999999999</v>
      </c>
      <c r="I183" s="1" t="str">
        <f>VLOOKUP(C183,REGISTRE!B:G,5,FALSE)</f>
        <v>5G</v>
      </c>
      <c r="J183" s="1" t="str">
        <f>VLOOKUP(C183,REGISTRE!B:G,6,FALSE)</f>
        <v>Huawei</v>
      </c>
      <c r="K183" s="1" t="str">
        <f>INT(LOGS_Rx5[[#This Row],[Duree_Panne_Min]]/60) &amp; " h " &amp; MOD(LOGS_Rx5[[#This Row],[Duree_Panne_Min]],60) &amp; " min " &amp; "0 s"</f>
        <v>1 h 44 min 0 s</v>
      </c>
    </row>
    <row r="184" spans="1:11" x14ac:dyDescent="0.35">
      <c r="A184" s="1" t="s">
        <v>1247</v>
      </c>
      <c r="B184" s="2">
        <v>45215.093055555553</v>
      </c>
      <c r="C184" s="1" t="s">
        <v>1264</v>
      </c>
      <c r="D184">
        <v>87</v>
      </c>
      <c r="E184" s="1" t="s">
        <v>735</v>
      </c>
      <c r="F184" s="1" t="str">
        <f>VLOOKUP(C184,REGISTRE!B:G,2,FALSE)</f>
        <v>Mongala</v>
      </c>
      <c r="G184" s="1">
        <f>VLOOKUP(C184,REGISTRE!B:G,3,FALSE)</f>
        <v>-7.6951369999999999</v>
      </c>
      <c r="H184" s="1">
        <f>VLOOKUP(C184,REGISTRE!B:G,4,FALSE)</f>
        <v>13.346605</v>
      </c>
      <c r="I184" s="1" t="str">
        <f>VLOOKUP(C184,REGISTRE!B:G,5,FALSE)</f>
        <v>4G</v>
      </c>
      <c r="J184" s="1" t="str">
        <f>VLOOKUP(C184,REGISTRE!B:G,6,FALSE)</f>
        <v>Ericsson</v>
      </c>
      <c r="K184" s="1" t="str">
        <f>INT(LOGS_Rx5[[#This Row],[Duree_Panne_Min]]/60) &amp; " h " &amp; MOD(LOGS_Rx5[[#This Row],[Duree_Panne_Min]],60) &amp; " min " &amp; "0 s"</f>
        <v>1 h 27 min 0 s</v>
      </c>
    </row>
    <row r="185" spans="1:11" x14ac:dyDescent="0.35">
      <c r="A185" s="1" t="s">
        <v>905</v>
      </c>
      <c r="B185" s="2">
        <v>45202.21875</v>
      </c>
      <c r="C185" s="1" t="s">
        <v>923</v>
      </c>
      <c r="D185">
        <v>86</v>
      </c>
      <c r="E185" s="1" t="s">
        <v>740</v>
      </c>
      <c r="F185" s="1" t="str">
        <f>VLOOKUP(C185,REGISTRE!B:G,2,FALSE)</f>
        <v>Haut-Lomami</v>
      </c>
      <c r="G185" s="1">
        <f>VLOOKUP(C185,REGISTRE!B:G,3,FALSE)</f>
        <v>-12.112682</v>
      </c>
      <c r="H185" s="1">
        <f>VLOOKUP(C185,REGISTRE!B:G,4,FALSE)</f>
        <v>19.972052000000001</v>
      </c>
      <c r="I185" s="1" t="str">
        <f>VLOOKUP(C185,REGISTRE!B:G,5,FALSE)</f>
        <v>4G</v>
      </c>
      <c r="J185" s="1" t="str">
        <f>VLOOKUP(C185,REGISTRE!B:G,6,FALSE)</f>
        <v>Huawei</v>
      </c>
      <c r="K185" s="1" t="str">
        <f>INT(LOGS_Rx5[[#This Row],[Duree_Panne_Min]]/60) &amp; " h " &amp; MOD(LOGS_Rx5[[#This Row],[Duree_Panne_Min]],60) &amp; " min " &amp; "0 s"</f>
        <v>1 h 26 min 0 s</v>
      </c>
    </row>
    <row r="186" spans="1:11" x14ac:dyDescent="0.35">
      <c r="A186" s="1" t="s">
        <v>1002</v>
      </c>
      <c r="B186" s="2">
        <v>45210.458333333343</v>
      </c>
      <c r="C186" s="1" t="s">
        <v>923</v>
      </c>
      <c r="D186">
        <v>95</v>
      </c>
      <c r="E186" s="1" t="s">
        <v>738</v>
      </c>
      <c r="F186" s="1" t="str">
        <f>VLOOKUP(C186,REGISTRE!B:G,2,FALSE)</f>
        <v>Haut-Lomami</v>
      </c>
      <c r="G186" s="1">
        <f>VLOOKUP(C186,REGISTRE!B:G,3,FALSE)</f>
        <v>-12.112682</v>
      </c>
      <c r="H186" s="1">
        <f>VLOOKUP(C186,REGISTRE!B:G,4,FALSE)</f>
        <v>19.972052000000001</v>
      </c>
      <c r="I186" s="1" t="str">
        <f>VLOOKUP(C186,REGISTRE!B:G,5,FALSE)</f>
        <v>4G</v>
      </c>
      <c r="J186" s="1" t="str">
        <f>VLOOKUP(C186,REGISTRE!B:G,6,FALSE)</f>
        <v>Huawei</v>
      </c>
      <c r="K186" s="1" t="str">
        <f>INT(LOGS_Rx5[[#This Row],[Duree_Panne_Min]]/60) &amp; " h " &amp; MOD(LOGS_Rx5[[#This Row],[Duree_Panne_Min]],60) &amp; " min " &amp; "0 s"</f>
        <v>1 h 35 min 0 s</v>
      </c>
    </row>
    <row r="187" spans="1:11" x14ac:dyDescent="0.35">
      <c r="A187" s="1" t="s">
        <v>1063</v>
      </c>
      <c r="B187" s="2">
        <v>45207.987500000003</v>
      </c>
      <c r="C187" s="1" t="s">
        <v>1077</v>
      </c>
      <c r="D187">
        <v>15</v>
      </c>
      <c r="E187" s="1" t="s">
        <v>738</v>
      </c>
      <c r="F187" s="1" t="str">
        <f>VLOOKUP(C187,REGISTRE!B:G,2,FALSE)</f>
        <v>Kwango</v>
      </c>
      <c r="G187" s="1">
        <f>VLOOKUP(C187,REGISTRE!B:G,3,FALSE)</f>
        <v>-9.0798120000000004</v>
      </c>
      <c r="H187" s="1">
        <f>VLOOKUP(C187,REGISTRE!B:G,4,FALSE)</f>
        <v>14.945484</v>
      </c>
      <c r="I187" s="1" t="str">
        <f>VLOOKUP(C187,REGISTRE!B:G,5,FALSE)</f>
        <v>5G</v>
      </c>
      <c r="J187" s="1" t="str">
        <f>VLOOKUP(C187,REGISTRE!B:G,6,FALSE)</f>
        <v>Ericsson</v>
      </c>
      <c r="K187" s="1" t="str">
        <f>INT(LOGS_Rx5[[#This Row],[Duree_Panne_Min]]/60) &amp; " h " &amp; MOD(LOGS_Rx5[[#This Row],[Duree_Panne_Min]],60) &amp; " min " &amp; "0 s"</f>
        <v>0 h 15 min 0 s</v>
      </c>
    </row>
    <row r="188" spans="1:11" x14ac:dyDescent="0.35">
      <c r="A188" s="1" t="s">
        <v>1368</v>
      </c>
      <c r="B188" s="2">
        <v>45210.03125</v>
      </c>
      <c r="C188" s="1" t="s">
        <v>1077</v>
      </c>
      <c r="D188">
        <v>63</v>
      </c>
      <c r="E188" s="1" t="s">
        <v>740</v>
      </c>
      <c r="F188" s="1" t="str">
        <f>VLOOKUP(C188,REGISTRE!B:G,2,FALSE)</f>
        <v>Kwango</v>
      </c>
      <c r="G188" s="1">
        <f>VLOOKUP(C188,REGISTRE!B:G,3,FALSE)</f>
        <v>-9.0798120000000004</v>
      </c>
      <c r="H188" s="1">
        <f>VLOOKUP(C188,REGISTRE!B:G,4,FALSE)</f>
        <v>14.945484</v>
      </c>
      <c r="I188" s="1" t="str">
        <f>VLOOKUP(C188,REGISTRE!B:G,5,FALSE)</f>
        <v>5G</v>
      </c>
      <c r="J188" s="1" t="str">
        <f>VLOOKUP(C188,REGISTRE!B:G,6,FALSE)</f>
        <v>Ericsson</v>
      </c>
      <c r="K188" s="1" t="str">
        <f>INT(LOGS_Rx5[[#This Row],[Duree_Panne_Min]]/60) &amp; " h " &amp; MOD(LOGS_Rx5[[#This Row],[Duree_Panne_Min]],60) &amp; " min " &amp; "0 s"</f>
        <v>1 h 3 min 0 s</v>
      </c>
    </row>
    <row r="189" spans="1:11" x14ac:dyDescent="0.35">
      <c r="A189" s="1" t="s">
        <v>942</v>
      </c>
      <c r="B189" s="2">
        <v>45225.215277777781</v>
      </c>
      <c r="C189" s="1" t="s">
        <v>971</v>
      </c>
      <c r="D189">
        <v>41</v>
      </c>
      <c r="E189" s="1" t="s">
        <v>740</v>
      </c>
      <c r="F189" s="1" t="str">
        <f>VLOOKUP(C189,REGISTRE!B:G,2,FALSE)</f>
        <v>Mai-Ndombe</v>
      </c>
      <c r="G189" s="1">
        <f>VLOOKUP(C189,REGISTRE!B:G,3,FALSE)</f>
        <v>-4.9552579999999997</v>
      </c>
      <c r="H189" s="1">
        <f>VLOOKUP(C189,REGISTRE!B:G,4,FALSE)</f>
        <v>22.008103999999999</v>
      </c>
      <c r="I189" s="1" t="str">
        <f>VLOOKUP(C189,REGISTRE!B:G,5,FALSE)</f>
        <v>4G</v>
      </c>
      <c r="J189" s="1" t="str">
        <f>VLOOKUP(C189,REGISTRE!B:G,6,FALSE)</f>
        <v>Huawei</v>
      </c>
      <c r="K189" s="1" t="str">
        <f>INT(LOGS_Rx5[[#This Row],[Duree_Panne_Min]]/60) &amp; " h " &amp; MOD(LOGS_Rx5[[#This Row],[Duree_Panne_Min]],60) &amp; " min " &amp; "0 s"</f>
        <v>0 h 41 min 0 s</v>
      </c>
    </row>
    <row r="190" spans="1:11" x14ac:dyDescent="0.35">
      <c r="A190" s="1" t="s">
        <v>782</v>
      </c>
      <c r="B190" s="2">
        <v>45216.457638888889</v>
      </c>
      <c r="C190" s="1" t="s">
        <v>818</v>
      </c>
      <c r="D190">
        <v>39</v>
      </c>
      <c r="E190" s="1" t="s">
        <v>735</v>
      </c>
      <c r="F190" s="1" t="str">
        <f>VLOOKUP(C190,REGISTRE!B:G,2,FALSE)</f>
        <v>Kasai-Central</v>
      </c>
      <c r="G190" s="1">
        <f>VLOOKUP(C190,REGISTRE!B:G,3,FALSE)</f>
        <v>-9.5266249999999992</v>
      </c>
      <c r="H190" s="1">
        <f>VLOOKUP(C190,REGISTRE!B:G,4,FALSE)</f>
        <v>27.889690999999999</v>
      </c>
      <c r="I190" s="1" t="str">
        <f>VLOOKUP(C190,REGISTRE!B:G,5,FALSE)</f>
        <v>4G</v>
      </c>
      <c r="J190" s="1" t="str">
        <f>VLOOKUP(C190,REGISTRE!B:G,6,FALSE)</f>
        <v>Ericsson</v>
      </c>
      <c r="K190" s="1" t="str">
        <f>INT(LOGS_Rx5[[#This Row],[Duree_Panne_Min]]/60) &amp; " h " &amp; MOD(LOGS_Rx5[[#This Row],[Duree_Panne_Min]],60) &amp; " min " &amp; "0 s"</f>
        <v>0 h 39 min 0 s</v>
      </c>
    </row>
    <row r="191" spans="1:11" x14ac:dyDescent="0.35">
      <c r="A191" s="1" t="s">
        <v>1028</v>
      </c>
      <c r="B191" s="2">
        <v>45204.905555555553</v>
      </c>
      <c r="C191" s="1" t="s">
        <v>1054</v>
      </c>
      <c r="D191">
        <v>61</v>
      </c>
      <c r="E191" s="1" t="s">
        <v>735</v>
      </c>
      <c r="F191" s="1" t="str">
        <f>VLOOKUP(C191,REGISTRE!B:G,2,FALSE)</f>
        <v>Bas-Uele</v>
      </c>
      <c r="G191" s="1">
        <f>VLOOKUP(C191,REGISTRE!B:G,3,FALSE)</f>
        <v>4.497306</v>
      </c>
      <c r="H191" s="1">
        <f>VLOOKUP(C191,REGISTRE!B:G,4,FALSE)</f>
        <v>12.857251</v>
      </c>
      <c r="I191" s="1" t="str">
        <f>VLOOKUP(C191,REGISTRE!B:G,5,FALSE)</f>
        <v>5G</v>
      </c>
      <c r="J191" s="1" t="str">
        <f>VLOOKUP(C191,REGISTRE!B:G,6,FALSE)</f>
        <v>Ericsson</v>
      </c>
      <c r="K191" s="1" t="str">
        <f>INT(LOGS_Rx5[[#This Row],[Duree_Panne_Min]]/60) &amp; " h " &amp; MOD(LOGS_Rx5[[#This Row],[Duree_Panne_Min]],60) &amp; " min " &amp; "0 s"</f>
        <v>1 h 1 min 0 s</v>
      </c>
    </row>
    <row r="192" spans="1:11" x14ac:dyDescent="0.35">
      <c r="A192" s="1" t="s">
        <v>1199</v>
      </c>
      <c r="B192" s="2">
        <v>45225.948611111111</v>
      </c>
      <c r="C192" s="1" t="s">
        <v>1201</v>
      </c>
      <c r="D192">
        <v>30</v>
      </c>
      <c r="E192" s="1" t="s">
        <v>735</v>
      </c>
      <c r="F192" s="1" t="str">
        <f>VLOOKUP(C192,REGISTRE!B:G,2,FALSE)</f>
        <v>Kwango</v>
      </c>
      <c r="G192" s="1">
        <f>VLOOKUP(C192,REGISTRE!B:G,3,FALSE)</f>
        <v>-10.653247</v>
      </c>
      <c r="H192" s="1">
        <f>VLOOKUP(C192,REGISTRE!B:G,4,FALSE)</f>
        <v>14.685601</v>
      </c>
      <c r="I192" s="1" t="str">
        <f>VLOOKUP(C192,REGISTRE!B:G,5,FALSE)</f>
        <v>4G</v>
      </c>
      <c r="J192" s="1" t="str">
        <f>VLOOKUP(C192,REGISTRE!B:G,6,FALSE)</f>
        <v>Ericsson</v>
      </c>
      <c r="K192" s="1" t="str">
        <f>INT(LOGS_Rx5[[#This Row],[Duree_Panne_Min]]/60) &amp; " h " &amp; MOD(LOGS_Rx5[[#This Row],[Duree_Panne_Min]],60) &amp; " min " &amp; "0 s"</f>
        <v>0 h 30 min 0 s</v>
      </c>
    </row>
    <row r="193" spans="1:11" x14ac:dyDescent="0.35">
      <c r="A193" s="1" t="s">
        <v>1389</v>
      </c>
      <c r="B193" s="2">
        <v>45216.960416666669</v>
      </c>
      <c r="C193" s="1" t="s">
        <v>1392</v>
      </c>
      <c r="D193">
        <v>41</v>
      </c>
      <c r="E193" s="1" t="s">
        <v>738</v>
      </c>
      <c r="F193" s="1" t="str">
        <f>VLOOKUP(C193,REGISTRE!B:G,2,FALSE)</f>
        <v>Mai-Ndombe</v>
      </c>
      <c r="G193" s="1">
        <f>VLOOKUP(C193,REGISTRE!B:G,3,FALSE)</f>
        <v>-7.5641280000000002</v>
      </c>
      <c r="H193" s="1">
        <f>VLOOKUP(C193,REGISTRE!B:G,4,FALSE)</f>
        <v>18.129529999999999</v>
      </c>
      <c r="I193" s="1" t="str">
        <f>VLOOKUP(C193,REGISTRE!B:G,5,FALSE)</f>
        <v>3G</v>
      </c>
      <c r="J193" s="1" t="str">
        <f>VLOOKUP(C193,REGISTRE!B:G,6,FALSE)</f>
        <v>Huawei</v>
      </c>
      <c r="K193" s="1" t="str">
        <f>INT(LOGS_Rx5[[#This Row],[Duree_Panne_Min]]/60) &amp; " h " &amp; MOD(LOGS_Rx5[[#This Row],[Duree_Panne_Min]],60) &amp; " min " &amp; "0 s"</f>
        <v>0 h 41 min 0 s</v>
      </c>
    </row>
    <row r="194" spans="1:11" x14ac:dyDescent="0.35">
      <c r="A194" s="1" t="s">
        <v>981</v>
      </c>
      <c r="B194" s="2">
        <v>45202.717361111107</v>
      </c>
      <c r="C194" s="1" t="s">
        <v>996</v>
      </c>
      <c r="D194">
        <v>115</v>
      </c>
      <c r="E194" s="1" t="s">
        <v>740</v>
      </c>
      <c r="F194" s="1" t="str">
        <f>VLOOKUP(C194,REGISTRE!B:G,2,FALSE)</f>
        <v>Tanganyika</v>
      </c>
      <c r="G194" s="1">
        <f>VLOOKUP(C194,REGISTRE!B:G,3,FALSE)</f>
        <v>-1.5936220000000001</v>
      </c>
      <c r="H194" s="1">
        <f>VLOOKUP(C194,REGISTRE!B:G,4,FALSE)</f>
        <v>14.928856</v>
      </c>
      <c r="I194" s="1" t="str">
        <f>VLOOKUP(C194,REGISTRE!B:G,5,FALSE)</f>
        <v>5G</v>
      </c>
      <c r="J194" s="1" t="str">
        <f>VLOOKUP(C194,REGISTRE!B:G,6,FALSE)</f>
        <v>Ericsson</v>
      </c>
      <c r="K194" s="1" t="str">
        <f>INT(LOGS_Rx5[[#This Row],[Duree_Panne_Min]]/60) &amp; " h " &amp; MOD(LOGS_Rx5[[#This Row],[Duree_Panne_Min]],60) &amp; " min " &amp; "0 s"</f>
        <v>1 h 55 min 0 s</v>
      </c>
    </row>
    <row r="195" spans="1:11" x14ac:dyDescent="0.35">
      <c r="A195" s="1" t="s">
        <v>1028</v>
      </c>
      <c r="B195" s="2">
        <v>45205.474305555559</v>
      </c>
      <c r="C195" s="1" t="s">
        <v>1041</v>
      </c>
      <c r="D195">
        <v>25</v>
      </c>
      <c r="E195" s="1" t="s">
        <v>735</v>
      </c>
      <c r="F195" s="1" t="str">
        <f>VLOOKUP(C195,REGISTRE!B:G,2,FALSE)</f>
        <v>Haut-Uele</v>
      </c>
      <c r="G195" s="1">
        <f>VLOOKUP(C195,REGISTRE!B:G,3,FALSE)</f>
        <v>-1.013558</v>
      </c>
      <c r="H195" s="1">
        <f>VLOOKUP(C195,REGISTRE!B:G,4,FALSE)</f>
        <v>17.346937</v>
      </c>
      <c r="I195" s="1" t="str">
        <f>VLOOKUP(C195,REGISTRE!B:G,5,FALSE)</f>
        <v>5G</v>
      </c>
      <c r="J195" s="1" t="str">
        <f>VLOOKUP(C195,REGISTRE!B:G,6,FALSE)</f>
        <v>Huawei</v>
      </c>
      <c r="K195" s="1" t="str">
        <f>INT(LOGS_Rx5[[#This Row],[Duree_Panne_Min]]/60) &amp; " h " &amp; MOD(LOGS_Rx5[[#This Row],[Duree_Panne_Min]],60) &amp; " min " &amp; "0 s"</f>
        <v>0 h 25 min 0 s</v>
      </c>
    </row>
    <row r="196" spans="1:11" x14ac:dyDescent="0.35">
      <c r="A196" s="1" t="s">
        <v>1091</v>
      </c>
      <c r="B196" s="2">
        <v>45225.625694444447</v>
      </c>
      <c r="C196" s="1" t="s">
        <v>1097</v>
      </c>
      <c r="D196">
        <v>108</v>
      </c>
      <c r="E196" s="1" t="s">
        <v>740</v>
      </c>
      <c r="F196" s="1" t="str">
        <f>VLOOKUP(C196,REGISTRE!B:G,2,FALSE)</f>
        <v>Sud-Ubangi</v>
      </c>
      <c r="G196" s="1">
        <f>VLOOKUP(C196,REGISTRE!B:G,3,FALSE)</f>
        <v>-10.611184</v>
      </c>
      <c r="H196" s="1">
        <f>VLOOKUP(C196,REGISTRE!B:G,4,FALSE)</f>
        <v>23.022268</v>
      </c>
      <c r="I196" s="1" t="str">
        <f>VLOOKUP(C196,REGISTRE!B:G,5,FALSE)</f>
        <v>5G</v>
      </c>
      <c r="J196" s="1" t="str">
        <f>VLOOKUP(C196,REGISTRE!B:G,6,FALSE)</f>
        <v>ZTE</v>
      </c>
      <c r="K196" s="1" t="str">
        <f>INT(LOGS_Rx5[[#This Row],[Duree_Panne_Min]]/60) &amp; " h " &amp; MOD(LOGS_Rx5[[#This Row],[Duree_Panne_Min]],60) &amp; " min " &amp; "0 s"</f>
        <v>1 h 48 min 0 s</v>
      </c>
    </row>
    <row r="197" spans="1:11" x14ac:dyDescent="0.35">
      <c r="A197" s="1" t="s">
        <v>1247</v>
      </c>
      <c r="B197" s="2">
        <v>45220.584027777782</v>
      </c>
      <c r="C197" s="1" t="s">
        <v>1255</v>
      </c>
      <c r="D197">
        <v>92</v>
      </c>
      <c r="E197" s="1" t="s">
        <v>740</v>
      </c>
      <c r="F197" s="1" t="str">
        <f>VLOOKUP(C197,REGISTRE!B:G,2,FALSE)</f>
        <v>Nord-Ubangi</v>
      </c>
      <c r="G197" s="1">
        <f>VLOOKUP(C197,REGISTRE!B:G,3,FALSE)</f>
        <v>-11.588665000000001</v>
      </c>
      <c r="H197" s="1">
        <f>VLOOKUP(C197,REGISTRE!B:G,4,FALSE)</f>
        <v>15.241552</v>
      </c>
      <c r="I197" s="1" t="str">
        <f>VLOOKUP(C197,REGISTRE!B:G,5,FALSE)</f>
        <v>4G</v>
      </c>
      <c r="J197" s="1" t="str">
        <f>VLOOKUP(C197,REGISTRE!B:G,6,FALSE)</f>
        <v>Nokia</v>
      </c>
      <c r="K197" s="1" t="str">
        <f>INT(LOGS_Rx5[[#This Row],[Duree_Panne_Min]]/60) &amp; " h " &amp; MOD(LOGS_Rx5[[#This Row],[Duree_Panne_Min]],60) &amp; " min " &amp; "0 s"</f>
        <v>1 h 32 min 0 s</v>
      </c>
    </row>
    <row r="198" spans="1:11" x14ac:dyDescent="0.35">
      <c r="A198" s="1" t="s">
        <v>1314</v>
      </c>
      <c r="B198" s="2">
        <v>45200.570138888892</v>
      </c>
      <c r="C198" s="1" t="s">
        <v>1329</v>
      </c>
      <c r="D198">
        <v>53</v>
      </c>
      <c r="E198" s="1" t="s">
        <v>740</v>
      </c>
      <c r="F198" s="1" t="str">
        <f>VLOOKUP(C198,REGISTRE!B:G,2,FALSE)</f>
        <v>Kongo-Central</v>
      </c>
      <c r="G198" s="1">
        <f>VLOOKUP(C198,REGISTRE!B:G,3,FALSE)</f>
        <v>2.8552499999999998</v>
      </c>
      <c r="H198" s="1">
        <f>VLOOKUP(C198,REGISTRE!B:G,4,FALSE)</f>
        <v>14.077933</v>
      </c>
      <c r="I198" s="1" t="str">
        <f>VLOOKUP(C198,REGISTRE!B:G,5,FALSE)</f>
        <v>4G</v>
      </c>
      <c r="J198" s="1" t="str">
        <f>VLOOKUP(C198,REGISTRE!B:G,6,FALSE)</f>
        <v>ZTE</v>
      </c>
      <c r="K198" s="1" t="str">
        <f>INT(LOGS_Rx5[[#This Row],[Duree_Panne_Min]]/60) &amp; " h " &amp; MOD(LOGS_Rx5[[#This Row],[Duree_Panne_Min]],60) &amp; " min " &amp; "0 s"</f>
        <v>0 h 53 min 0 s</v>
      </c>
    </row>
    <row r="199" spans="1:11" x14ac:dyDescent="0.35">
      <c r="A199" s="1" t="s">
        <v>1171</v>
      </c>
      <c r="B199" s="2">
        <v>45215.587500000001</v>
      </c>
      <c r="C199" s="1" t="s">
        <v>1190</v>
      </c>
      <c r="D199">
        <v>24</v>
      </c>
      <c r="E199" s="1" t="s">
        <v>738</v>
      </c>
      <c r="F199" s="1" t="str">
        <f>VLOOKUP(C199,REGISTRE!B:G,2,FALSE)</f>
        <v>Maniema</v>
      </c>
      <c r="G199" s="1">
        <f>VLOOKUP(C199,REGISTRE!B:G,3,FALSE)</f>
        <v>2.5458379999999998</v>
      </c>
      <c r="H199" s="1">
        <f>VLOOKUP(C199,REGISTRE!B:G,4,FALSE)</f>
        <v>13.308655</v>
      </c>
      <c r="I199" s="1" t="str">
        <f>VLOOKUP(C199,REGISTRE!B:G,5,FALSE)</f>
        <v>5G</v>
      </c>
      <c r="J199" s="1" t="str">
        <f>VLOOKUP(C199,REGISTRE!B:G,6,FALSE)</f>
        <v>ZTE</v>
      </c>
      <c r="K199" s="1" t="str">
        <f>INT(LOGS_Rx5[[#This Row],[Duree_Panne_Min]]/60) &amp; " h " &amp; MOD(LOGS_Rx5[[#This Row],[Duree_Panne_Min]],60) &amp; " min " &amp; "0 s"</f>
        <v>0 h 24 min 0 s</v>
      </c>
    </row>
    <row r="200" spans="1:11" x14ac:dyDescent="0.35">
      <c r="A200" s="1" t="s">
        <v>1336</v>
      </c>
      <c r="B200" s="2">
        <v>45215.049305555563</v>
      </c>
      <c r="C200" s="1" t="s">
        <v>1190</v>
      </c>
      <c r="D200">
        <v>33</v>
      </c>
      <c r="E200" s="1" t="s">
        <v>738</v>
      </c>
      <c r="F200" s="1" t="str">
        <f>VLOOKUP(C200,REGISTRE!B:G,2,FALSE)</f>
        <v>Maniema</v>
      </c>
      <c r="G200" s="1">
        <f>VLOOKUP(C200,REGISTRE!B:G,3,FALSE)</f>
        <v>2.5458379999999998</v>
      </c>
      <c r="H200" s="1">
        <f>VLOOKUP(C200,REGISTRE!B:G,4,FALSE)</f>
        <v>13.308655</v>
      </c>
      <c r="I200" s="1" t="str">
        <f>VLOOKUP(C200,REGISTRE!B:G,5,FALSE)</f>
        <v>5G</v>
      </c>
      <c r="J200" s="1" t="str">
        <f>VLOOKUP(C200,REGISTRE!B:G,6,FALSE)</f>
        <v>ZTE</v>
      </c>
      <c r="K200" s="1" t="str">
        <f>INT(LOGS_Rx5[[#This Row],[Duree_Panne_Min]]/60) &amp; " h " &amp; MOD(LOGS_Rx5[[#This Row],[Duree_Panne_Min]],60) &amp; " min " &amp; "0 s"</f>
        <v>0 h 33 min 0 s</v>
      </c>
    </row>
    <row r="201" spans="1:11" x14ac:dyDescent="0.35">
      <c r="A201" s="1" t="s">
        <v>1002</v>
      </c>
      <c r="B201" s="2">
        <v>45223.450694444437</v>
      </c>
      <c r="C201" s="1" t="s">
        <v>1018</v>
      </c>
      <c r="D201">
        <v>14</v>
      </c>
      <c r="E201" s="1" t="s">
        <v>740</v>
      </c>
      <c r="F201" s="1" t="str">
        <f>VLOOKUP(C201,REGISTRE!B:G,2,FALSE)</f>
        <v>Tshuapa</v>
      </c>
      <c r="G201" s="1">
        <f>VLOOKUP(C201,REGISTRE!B:G,3,FALSE)</f>
        <v>-2.571777</v>
      </c>
      <c r="H201" s="1">
        <f>VLOOKUP(C201,REGISTRE!B:G,4,FALSE)</f>
        <v>12.120642</v>
      </c>
      <c r="I201" s="1" t="str">
        <f>VLOOKUP(C201,REGISTRE!B:G,5,FALSE)</f>
        <v>3G</v>
      </c>
      <c r="J201" s="1" t="str">
        <f>VLOOKUP(C201,REGISTRE!B:G,6,FALSE)</f>
        <v>Huawei</v>
      </c>
      <c r="K201" s="1" t="str">
        <f>INT(LOGS_Rx5[[#This Row],[Duree_Panne_Min]]/60) &amp; " h " &amp; MOD(LOGS_Rx5[[#This Row],[Duree_Panne_Min]],60) &amp; " min " &amp; "0 s"</f>
        <v>0 h 14 min 0 s</v>
      </c>
    </row>
    <row r="202" spans="1:11" x14ac:dyDescent="0.35">
      <c r="A202" s="1" t="s">
        <v>905</v>
      </c>
      <c r="B202" s="2">
        <v>45220.877083333333</v>
      </c>
      <c r="C202" s="1" t="s">
        <v>910</v>
      </c>
      <c r="D202">
        <v>78</v>
      </c>
      <c r="E202" s="1" t="s">
        <v>735</v>
      </c>
      <c r="F202" s="1" t="str">
        <f>VLOOKUP(C202,REGISTRE!B:G,2,FALSE)</f>
        <v>Kinshasa</v>
      </c>
      <c r="G202" s="1">
        <f>VLOOKUP(C202,REGISTRE!B:G,3,FALSE)</f>
        <v>-7.5418399999999997</v>
      </c>
      <c r="H202" s="1">
        <f>VLOOKUP(C202,REGISTRE!B:G,4,FALSE)</f>
        <v>16.931206</v>
      </c>
      <c r="I202" s="1" t="str">
        <f>VLOOKUP(C202,REGISTRE!B:G,5,FALSE)</f>
        <v>3G</v>
      </c>
      <c r="J202" s="1" t="str">
        <f>VLOOKUP(C202,REGISTRE!B:G,6,FALSE)</f>
        <v>Nokia</v>
      </c>
      <c r="K202" s="1" t="str">
        <f>INT(LOGS_Rx5[[#This Row],[Duree_Panne_Min]]/60) &amp; " h " &amp; MOD(LOGS_Rx5[[#This Row],[Duree_Panne_Min]],60) &amp; " min " &amp; "0 s"</f>
        <v>1 h 18 min 0 s</v>
      </c>
    </row>
    <row r="203" spans="1:11" x14ac:dyDescent="0.35">
      <c r="A203" s="1" t="s">
        <v>1368</v>
      </c>
      <c r="B203" s="2">
        <v>45227.195833333331</v>
      </c>
      <c r="C203" s="1" t="s">
        <v>910</v>
      </c>
      <c r="D203">
        <v>113</v>
      </c>
      <c r="E203" s="1" t="s">
        <v>738</v>
      </c>
      <c r="F203" s="1" t="str">
        <f>VLOOKUP(C203,REGISTRE!B:G,2,FALSE)</f>
        <v>Kinshasa</v>
      </c>
      <c r="G203" s="1">
        <f>VLOOKUP(C203,REGISTRE!B:G,3,FALSE)</f>
        <v>-7.5418399999999997</v>
      </c>
      <c r="H203" s="1">
        <f>VLOOKUP(C203,REGISTRE!B:G,4,FALSE)</f>
        <v>16.931206</v>
      </c>
      <c r="I203" s="1" t="str">
        <f>VLOOKUP(C203,REGISTRE!B:G,5,FALSE)</f>
        <v>3G</v>
      </c>
      <c r="J203" s="1" t="str">
        <f>VLOOKUP(C203,REGISTRE!B:G,6,FALSE)</f>
        <v>Nokia</v>
      </c>
      <c r="K203" s="1" t="str">
        <f>INT(LOGS_Rx5[[#This Row],[Duree_Panne_Min]]/60) &amp; " h " &amp; MOD(LOGS_Rx5[[#This Row],[Duree_Panne_Min]],60) &amp; " min " &amp; "0 s"</f>
        <v>1 h 53 min 0 s</v>
      </c>
    </row>
    <row r="204" spans="1:11" x14ac:dyDescent="0.35">
      <c r="A204" s="1" t="s">
        <v>864</v>
      </c>
      <c r="B204" s="2">
        <v>45221.517361111109</v>
      </c>
      <c r="C204" s="1" t="s">
        <v>891</v>
      </c>
      <c r="D204">
        <v>83</v>
      </c>
      <c r="E204" s="1" t="s">
        <v>740</v>
      </c>
      <c r="F204" s="1" t="str">
        <f>VLOOKUP(C204,REGISTRE!B:G,2,FALSE)</f>
        <v>Sud-Kivu</v>
      </c>
      <c r="G204" s="1">
        <f>VLOOKUP(C204,REGISTRE!B:G,3,FALSE)</f>
        <v>-2.9651529999999999</v>
      </c>
      <c r="H204" s="1">
        <f>VLOOKUP(C204,REGISTRE!B:G,4,FALSE)</f>
        <v>29.79908</v>
      </c>
      <c r="I204" s="1" t="str">
        <f>VLOOKUP(C204,REGISTRE!B:G,5,FALSE)</f>
        <v>4G</v>
      </c>
      <c r="J204" s="1" t="str">
        <f>VLOOKUP(C204,REGISTRE!B:G,6,FALSE)</f>
        <v>Ericsson</v>
      </c>
      <c r="K204" s="1" t="str">
        <f>INT(LOGS_Rx5[[#This Row],[Duree_Panne_Min]]/60) &amp; " h " &amp; MOD(LOGS_Rx5[[#This Row],[Duree_Panne_Min]],60) &amp; " min " &amp; "0 s"</f>
        <v>1 h 23 min 0 s</v>
      </c>
    </row>
    <row r="205" spans="1:11" x14ac:dyDescent="0.35">
      <c r="A205" s="1" t="s">
        <v>1002</v>
      </c>
      <c r="B205" s="2">
        <v>45218.675694444442</v>
      </c>
      <c r="C205" s="1" t="s">
        <v>891</v>
      </c>
      <c r="D205">
        <v>37</v>
      </c>
      <c r="E205" s="1" t="s">
        <v>740</v>
      </c>
      <c r="F205" s="1" t="str">
        <f>VLOOKUP(C205,REGISTRE!B:G,2,FALSE)</f>
        <v>Sud-Kivu</v>
      </c>
      <c r="G205" s="1">
        <f>VLOOKUP(C205,REGISTRE!B:G,3,FALSE)</f>
        <v>-2.9651529999999999</v>
      </c>
      <c r="H205" s="1">
        <f>VLOOKUP(C205,REGISTRE!B:G,4,FALSE)</f>
        <v>29.79908</v>
      </c>
      <c r="I205" s="1" t="str">
        <f>VLOOKUP(C205,REGISTRE!B:G,5,FALSE)</f>
        <v>4G</v>
      </c>
      <c r="J205" s="1" t="str">
        <f>VLOOKUP(C205,REGISTRE!B:G,6,FALSE)</f>
        <v>Ericsson</v>
      </c>
      <c r="K205" s="1" t="str">
        <f>INT(LOGS_Rx5[[#This Row],[Duree_Panne_Min]]/60) &amp; " h " &amp; MOD(LOGS_Rx5[[#This Row],[Duree_Panne_Min]],60) &amp; " min " &amp; "0 s"</f>
        <v>0 h 37 min 0 s</v>
      </c>
    </row>
    <row r="206" spans="1:11" x14ac:dyDescent="0.35">
      <c r="A206" s="1" t="s">
        <v>1063</v>
      </c>
      <c r="B206" s="2">
        <v>45211.098611111112</v>
      </c>
      <c r="C206" s="1" t="s">
        <v>1076</v>
      </c>
      <c r="D206">
        <v>59</v>
      </c>
      <c r="E206" s="1" t="s">
        <v>740</v>
      </c>
      <c r="F206" s="1" t="str">
        <f>VLOOKUP(C206,REGISTRE!B:G,2,FALSE)</f>
        <v>Sud-Ubangi</v>
      </c>
      <c r="G206" s="1">
        <f>VLOOKUP(C206,REGISTRE!B:G,3,FALSE)</f>
        <v>-11.387295999999999</v>
      </c>
      <c r="H206" s="1">
        <f>VLOOKUP(C206,REGISTRE!B:G,4,FALSE)</f>
        <v>19.384257999999999</v>
      </c>
      <c r="I206" s="1" t="str">
        <f>VLOOKUP(C206,REGISTRE!B:G,5,FALSE)</f>
        <v>3G</v>
      </c>
      <c r="J206" s="1" t="str">
        <f>VLOOKUP(C206,REGISTRE!B:G,6,FALSE)</f>
        <v>Huawei</v>
      </c>
      <c r="K206" s="1" t="str">
        <f>INT(LOGS_Rx5[[#This Row],[Duree_Panne_Min]]/60) &amp; " h " &amp; MOD(LOGS_Rx5[[#This Row],[Duree_Panne_Min]],60) &amp; " min " &amp; "0 s"</f>
        <v>0 h 59 min 0 s</v>
      </c>
    </row>
    <row r="207" spans="1:11" x14ac:dyDescent="0.35">
      <c r="A207" s="1" t="s">
        <v>1171</v>
      </c>
      <c r="B207" s="2">
        <v>45213.066666666673</v>
      </c>
      <c r="C207" s="1" t="s">
        <v>1076</v>
      </c>
      <c r="D207">
        <v>63</v>
      </c>
      <c r="E207" s="1" t="s">
        <v>735</v>
      </c>
      <c r="F207" s="1" t="str">
        <f>VLOOKUP(C207,REGISTRE!B:G,2,FALSE)</f>
        <v>Sud-Ubangi</v>
      </c>
      <c r="G207" s="1">
        <f>VLOOKUP(C207,REGISTRE!B:G,3,FALSE)</f>
        <v>-11.387295999999999</v>
      </c>
      <c r="H207" s="1">
        <f>VLOOKUP(C207,REGISTRE!B:G,4,FALSE)</f>
        <v>19.384257999999999</v>
      </c>
      <c r="I207" s="1" t="str">
        <f>VLOOKUP(C207,REGISTRE!B:G,5,FALSE)</f>
        <v>3G</v>
      </c>
      <c r="J207" s="1" t="str">
        <f>VLOOKUP(C207,REGISTRE!B:G,6,FALSE)</f>
        <v>Huawei</v>
      </c>
      <c r="K207" s="1" t="str">
        <f>INT(LOGS_Rx5[[#This Row],[Duree_Panne_Min]]/60) &amp; " h " &amp; MOD(LOGS_Rx5[[#This Row],[Duree_Panne_Min]],60) &amp; " min " &amp; "0 s"</f>
        <v>1 h 3 min 0 s</v>
      </c>
    </row>
    <row r="208" spans="1:11" x14ac:dyDescent="0.35">
      <c r="A208" s="1" t="s">
        <v>864</v>
      </c>
      <c r="B208" s="2">
        <v>45226.104166666657</v>
      </c>
      <c r="C208" s="1" t="s">
        <v>878</v>
      </c>
      <c r="D208">
        <v>110</v>
      </c>
      <c r="E208" s="1" t="s">
        <v>738</v>
      </c>
      <c r="F208" s="1" t="str">
        <f>VLOOKUP(C208,REGISTRE!B:G,2,FALSE)</f>
        <v>Tshuapa</v>
      </c>
      <c r="G208" s="1">
        <f>VLOOKUP(C208,REGISTRE!B:G,3,FALSE)</f>
        <v>-2.3677800000000002</v>
      </c>
      <c r="H208" s="1">
        <f>VLOOKUP(C208,REGISTRE!B:G,4,FALSE)</f>
        <v>18.790323999999998</v>
      </c>
      <c r="I208" s="1" t="str">
        <f>VLOOKUP(C208,REGISTRE!B:G,5,FALSE)</f>
        <v>5G</v>
      </c>
      <c r="J208" s="1" t="str">
        <f>VLOOKUP(C208,REGISTRE!B:G,6,FALSE)</f>
        <v>Huawei</v>
      </c>
      <c r="K208" s="1" t="str">
        <f>INT(LOGS_Rx5[[#This Row],[Duree_Panne_Min]]/60) &amp; " h " &amp; MOD(LOGS_Rx5[[#This Row],[Duree_Panne_Min]],60) &amp; " min " &amp; "0 s"</f>
        <v>1 h 50 min 0 s</v>
      </c>
    </row>
    <row r="209" spans="1:11" x14ac:dyDescent="0.35">
      <c r="A209" s="1" t="s">
        <v>1120</v>
      </c>
      <c r="B209" s="2">
        <v>45219.506249999999</v>
      </c>
      <c r="C209" s="1" t="s">
        <v>878</v>
      </c>
      <c r="D209">
        <v>41</v>
      </c>
      <c r="E209" s="1" t="s">
        <v>738</v>
      </c>
      <c r="F209" s="1" t="str">
        <f>VLOOKUP(C209,REGISTRE!B:G,2,FALSE)</f>
        <v>Tshuapa</v>
      </c>
      <c r="G209" s="1">
        <f>VLOOKUP(C209,REGISTRE!B:G,3,FALSE)</f>
        <v>-2.3677800000000002</v>
      </c>
      <c r="H209" s="1">
        <f>VLOOKUP(C209,REGISTRE!B:G,4,FALSE)</f>
        <v>18.790323999999998</v>
      </c>
      <c r="I209" s="1" t="str">
        <f>VLOOKUP(C209,REGISTRE!B:G,5,FALSE)</f>
        <v>5G</v>
      </c>
      <c r="J209" s="1" t="str">
        <f>VLOOKUP(C209,REGISTRE!B:G,6,FALSE)</f>
        <v>Huawei</v>
      </c>
      <c r="K209" s="1" t="str">
        <f>INT(LOGS_Rx5[[#This Row],[Duree_Panne_Min]]/60) &amp; " h " &amp; MOD(LOGS_Rx5[[#This Row],[Duree_Panne_Min]],60) &amp; " min " &amp; "0 s"</f>
        <v>0 h 41 min 0 s</v>
      </c>
    </row>
    <row r="210" spans="1:11" x14ac:dyDescent="0.35">
      <c r="A210" s="1" t="s">
        <v>1199</v>
      </c>
      <c r="B210" s="2">
        <v>45205.178472222222</v>
      </c>
      <c r="C210" s="1" t="s">
        <v>1221</v>
      </c>
      <c r="D210">
        <v>42</v>
      </c>
      <c r="E210" s="1" t="s">
        <v>738</v>
      </c>
      <c r="F210" s="1" t="str">
        <f>VLOOKUP(C210,REGISTRE!B:G,2,FALSE)</f>
        <v>Sud-Ubangi</v>
      </c>
      <c r="G210" s="1">
        <f>VLOOKUP(C210,REGISTRE!B:G,3,FALSE)</f>
        <v>3.611561</v>
      </c>
      <c r="H210" s="1">
        <f>VLOOKUP(C210,REGISTRE!B:G,4,FALSE)</f>
        <v>17.725974999999998</v>
      </c>
      <c r="I210" s="1" t="str">
        <f>VLOOKUP(C210,REGISTRE!B:G,5,FALSE)</f>
        <v>3G</v>
      </c>
      <c r="J210" s="1" t="str">
        <f>VLOOKUP(C210,REGISTRE!B:G,6,FALSE)</f>
        <v>ZTE</v>
      </c>
      <c r="K210" s="1" t="str">
        <f>INT(LOGS_Rx5[[#This Row],[Duree_Panne_Min]]/60) &amp; " h " &amp; MOD(LOGS_Rx5[[#This Row],[Duree_Panne_Min]],60) &amp; " min " &amp; "0 s"</f>
        <v>0 h 42 min 0 s</v>
      </c>
    </row>
    <row r="211" spans="1:11" x14ac:dyDescent="0.35">
      <c r="A211" s="1" t="s">
        <v>1267</v>
      </c>
      <c r="B211" s="2">
        <v>45222.777777777781</v>
      </c>
      <c r="C211" s="1" t="s">
        <v>1277</v>
      </c>
      <c r="D211">
        <v>102</v>
      </c>
      <c r="E211" s="1" t="s">
        <v>740</v>
      </c>
      <c r="F211" s="1" t="str">
        <f>VLOOKUP(C211,REGISTRE!B:G,2,FALSE)</f>
        <v>Haut-Lomami</v>
      </c>
      <c r="G211" s="1">
        <f>VLOOKUP(C211,REGISTRE!B:G,3,FALSE)</f>
        <v>-1.3938550000000001</v>
      </c>
      <c r="H211" s="1">
        <f>VLOOKUP(C211,REGISTRE!B:G,4,FALSE)</f>
        <v>15.097554000000001</v>
      </c>
      <c r="I211" s="1" t="str">
        <f>VLOOKUP(C211,REGISTRE!B:G,5,FALSE)</f>
        <v>4G</v>
      </c>
      <c r="J211" s="1" t="str">
        <f>VLOOKUP(C211,REGISTRE!B:G,6,FALSE)</f>
        <v>Huawei</v>
      </c>
      <c r="K211" s="1" t="str">
        <f>INT(LOGS_Rx5[[#This Row],[Duree_Panne_Min]]/60) &amp; " h " &amp; MOD(LOGS_Rx5[[#This Row],[Duree_Panne_Min]],60) &amp; " min " &amp; "0 s"</f>
        <v>1 h 42 min 0 s</v>
      </c>
    </row>
    <row r="212" spans="1:11" x14ac:dyDescent="0.35">
      <c r="A212" s="1" t="s">
        <v>1368</v>
      </c>
      <c r="B212" s="2">
        <v>45220.222916666673</v>
      </c>
      <c r="C212" s="1" t="s">
        <v>1277</v>
      </c>
      <c r="D212">
        <v>65</v>
      </c>
      <c r="E212" s="1" t="s">
        <v>740</v>
      </c>
      <c r="F212" s="1" t="str">
        <f>VLOOKUP(C212,REGISTRE!B:G,2,FALSE)</f>
        <v>Haut-Lomami</v>
      </c>
      <c r="G212" s="1">
        <f>VLOOKUP(C212,REGISTRE!B:G,3,FALSE)</f>
        <v>-1.3938550000000001</v>
      </c>
      <c r="H212" s="1">
        <f>VLOOKUP(C212,REGISTRE!B:G,4,FALSE)</f>
        <v>15.097554000000001</v>
      </c>
      <c r="I212" s="1" t="str">
        <f>VLOOKUP(C212,REGISTRE!B:G,5,FALSE)</f>
        <v>4G</v>
      </c>
      <c r="J212" s="1" t="str">
        <f>VLOOKUP(C212,REGISTRE!B:G,6,FALSE)</f>
        <v>Huawei</v>
      </c>
      <c r="K212" s="1" t="str">
        <f>INT(LOGS_Rx5[[#This Row],[Duree_Panne_Min]]/60) &amp; " h " &amp; MOD(LOGS_Rx5[[#This Row],[Duree_Panne_Min]],60) &amp; " min " &amp; "0 s"</f>
        <v>1 h 5 min 0 s</v>
      </c>
    </row>
    <row r="213" spans="1:11" x14ac:dyDescent="0.35">
      <c r="A213" s="1" t="s">
        <v>905</v>
      </c>
      <c r="B213" s="2">
        <v>45209.777083333327</v>
      </c>
      <c r="C213" s="1" t="s">
        <v>919</v>
      </c>
      <c r="D213">
        <v>40</v>
      </c>
      <c r="E213" s="1" t="s">
        <v>740</v>
      </c>
      <c r="F213" s="1" t="str">
        <f>VLOOKUP(C213,REGISTRE!B:G,2,FALSE)</f>
        <v>Lualaba</v>
      </c>
      <c r="G213" s="1">
        <f>VLOOKUP(C213,REGISTRE!B:G,3,FALSE)</f>
        <v>-9.5243310000000001</v>
      </c>
      <c r="H213" s="1">
        <f>VLOOKUP(C213,REGISTRE!B:G,4,FALSE)</f>
        <v>30.541212000000002</v>
      </c>
      <c r="I213" s="1" t="str">
        <f>VLOOKUP(C213,REGISTRE!B:G,5,FALSE)</f>
        <v>3G</v>
      </c>
      <c r="J213" s="1" t="str">
        <f>VLOOKUP(C213,REGISTRE!B:G,6,FALSE)</f>
        <v>Ericsson</v>
      </c>
      <c r="K213" s="1" t="str">
        <f>INT(LOGS_Rx5[[#This Row],[Duree_Panne_Min]]/60) &amp; " h " &amp; MOD(LOGS_Rx5[[#This Row],[Duree_Panne_Min]],60) &amp; " min " &amp; "0 s"</f>
        <v>0 h 40 min 0 s</v>
      </c>
    </row>
    <row r="214" spans="1:11" x14ac:dyDescent="0.35">
      <c r="A214" s="1" t="s">
        <v>1120</v>
      </c>
      <c r="B214" s="2">
        <v>45216.729861111111</v>
      </c>
      <c r="C214" s="1" t="s">
        <v>919</v>
      </c>
      <c r="D214">
        <v>78</v>
      </c>
      <c r="E214" s="1" t="s">
        <v>738</v>
      </c>
      <c r="F214" s="1" t="str">
        <f>VLOOKUP(C214,REGISTRE!B:G,2,FALSE)</f>
        <v>Lualaba</v>
      </c>
      <c r="G214" s="1">
        <f>VLOOKUP(C214,REGISTRE!B:G,3,FALSE)</f>
        <v>-9.5243310000000001</v>
      </c>
      <c r="H214" s="1">
        <f>VLOOKUP(C214,REGISTRE!B:G,4,FALSE)</f>
        <v>30.541212000000002</v>
      </c>
      <c r="I214" s="1" t="str">
        <f>VLOOKUP(C214,REGISTRE!B:G,5,FALSE)</f>
        <v>3G</v>
      </c>
      <c r="J214" s="1" t="str">
        <f>VLOOKUP(C214,REGISTRE!B:G,6,FALSE)</f>
        <v>Ericsson</v>
      </c>
      <c r="K214" s="1" t="str">
        <f>INT(LOGS_Rx5[[#This Row],[Duree_Panne_Min]]/60) &amp; " h " &amp; MOD(LOGS_Rx5[[#This Row],[Duree_Panne_Min]],60) &amp; " min " &amp; "0 s"</f>
        <v>1 h 18 min 0 s</v>
      </c>
    </row>
    <row r="215" spans="1:11" x14ac:dyDescent="0.35">
      <c r="A215" s="1" t="s">
        <v>1314</v>
      </c>
      <c r="B215" s="2">
        <v>45230.119444444441</v>
      </c>
      <c r="C215" s="1" t="s">
        <v>919</v>
      </c>
      <c r="D215">
        <v>8</v>
      </c>
      <c r="E215" s="1" t="s">
        <v>738</v>
      </c>
      <c r="F215" s="1" t="str">
        <f>VLOOKUP(C215,REGISTRE!B:G,2,FALSE)</f>
        <v>Lualaba</v>
      </c>
      <c r="G215" s="1">
        <f>VLOOKUP(C215,REGISTRE!B:G,3,FALSE)</f>
        <v>-9.5243310000000001</v>
      </c>
      <c r="H215" s="1">
        <f>VLOOKUP(C215,REGISTRE!B:G,4,FALSE)</f>
        <v>30.541212000000002</v>
      </c>
      <c r="I215" s="1" t="str">
        <f>VLOOKUP(C215,REGISTRE!B:G,5,FALSE)</f>
        <v>3G</v>
      </c>
      <c r="J215" s="1" t="str">
        <f>VLOOKUP(C215,REGISTRE!B:G,6,FALSE)</f>
        <v>Ericsson</v>
      </c>
      <c r="K215" s="1" t="str">
        <f>INT(LOGS_Rx5[[#This Row],[Duree_Panne_Min]]/60) &amp; " h " &amp; MOD(LOGS_Rx5[[#This Row],[Duree_Panne_Min]],60) &amp; " min " &amp; "0 s"</f>
        <v>0 h 8 min 0 s</v>
      </c>
    </row>
    <row r="216" spans="1:11" x14ac:dyDescent="0.35">
      <c r="A216" s="1" t="s">
        <v>1144</v>
      </c>
      <c r="B216" s="2">
        <v>45200.511111111111</v>
      </c>
      <c r="C216" s="1" t="s">
        <v>1170</v>
      </c>
      <c r="D216">
        <v>22</v>
      </c>
      <c r="E216" s="1" t="s">
        <v>740</v>
      </c>
      <c r="F216" s="1" t="str">
        <f>VLOOKUP(C216,REGISTRE!B:G,2,FALSE)</f>
        <v>Kwilu</v>
      </c>
      <c r="G216" s="1">
        <f>VLOOKUP(C216,REGISTRE!B:G,3,FALSE)</f>
        <v>-10.939712999999999</v>
      </c>
      <c r="H216" s="1">
        <f>VLOOKUP(C216,REGISTRE!B:G,4,FALSE)</f>
        <v>18.276230999999999</v>
      </c>
      <c r="I216" s="1" t="str">
        <f>VLOOKUP(C216,REGISTRE!B:G,5,FALSE)</f>
        <v>4G</v>
      </c>
      <c r="J216" s="1" t="str">
        <f>VLOOKUP(C216,REGISTRE!B:G,6,FALSE)</f>
        <v>ZTE</v>
      </c>
      <c r="K216" s="1" t="str">
        <f>INT(LOGS_Rx5[[#This Row],[Duree_Panne_Min]]/60) &amp; " h " &amp; MOD(LOGS_Rx5[[#This Row],[Duree_Panne_Min]],60) &amp; " min " &amp; "0 s"</f>
        <v>0 h 22 min 0 s</v>
      </c>
    </row>
    <row r="217" spans="1:11" x14ac:dyDescent="0.35">
      <c r="A217" s="1" t="s">
        <v>1267</v>
      </c>
      <c r="B217" s="2">
        <v>45213.145138888889</v>
      </c>
      <c r="C217" s="1" t="s">
        <v>1170</v>
      </c>
      <c r="D217">
        <v>105</v>
      </c>
      <c r="E217" s="1" t="s">
        <v>738</v>
      </c>
      <c r="F217" s="1" t="str">
        <f>VLOOKUP(C217,REGISTRE!B:G,2,FALSE)</f>
        <v>Kwilu</v>
      </c>
      <c r="G217" s="1">
        <f>VLOOKUP(C217,REGISTRE!B:G,3,FALSE)</f>
        <v>-10.939712999999999</v>
      </c>
      <c r="H217" s="1">
        <f>VLOOKUP(C217,REGISTRE!B:G,4,FALSE)</f>
        <v>18.276230999999999</v>
      </c>
      <c r="I217" s="1" t="str">
        <f>VLOOKUP(C217,REGISTRE!B:G,5,FALSE)</f>
        <v>4G</v>
      </c>
      <c r="J217" s="1" t="str">
        <f>VLOOKUP(C217,REGISTRE!B:G,6,FALSE)</f>
        <v>ZTE</v>
      </c>
      <c r="K217" s="1" t="str">
        <f>INT(LOGS_Rx5[[#This Row],[Duree_Panne_Min]]/60) &amp; " h " &amp; MOD(LOGS_Rx5[[#This Row],[Duree_Panne_Min]],60) &amp; " min " &amp; "0 s"</f>
        <v>1 h 45 min 0 s</v>
      </c>
    </row>
    <row r="218" spans="1:11" x14ac:dyDescent="0.35">
      <c r="A218" s="1" t="s">
        <v>1351</v>
      </c>
      <c r="B218" s="2">
        <v>45206.23333333333</v>
      </c>
      <c r="C218" s="1" t="s">
        <v>1361</v>
      </c>
      <c r="D218">
        <v>26</v>
      </c>
      <c r="E218" s="1" t="s">
        <v>740</v>
      </c>
      <c r="F218" s="1" t="str">
        <f>VLOOKUP(C218,REGISTRE!B:G,2,FALSE)</f>
        <v>Mai-Ndombe</v>
      </c>
      <c r="G218" s="1">
        <f>VLOOKUP(C218,REGISTRE!B:G,3,FALSE)</f>
        <v>-4.6311460000000002</v>
      </c>
      <c r="H218" s="1">
        <f>VLOOKUP(C218,REGISTRE!B:G,4,FALSE)</f>
        <v>25.314723000000001</v>
      </c>
      <c r="I218" s="1" t="str">
        <f>VLOOKUP(C218,REGISTRE!B:G,5,FALSE)</f>
        <v>4G</v>
      </c>
      <c r="J218" s="1" t="str">
        <f>VLOOKUP(C218,REGISTRE!B:G,6,FALSE)</f>
        <v>Huawei</v>
      </c>
      <c r="K218" s="1" t="str">
        <f>INT(LOGS_Rx5[[#This Row],[Duree_Panne_Min]]/60) &amp; " h " &amp; MOD(LOGS_Rx5[[#This Row],[Duree_Panne_Min]],60) &amp; " min " &amp; "0 s"</f>
        <v>0 h 26 min 0 s</v>
      </c>
    </row>
    <row r="219" spans="1:11" x14ac:dyDescent="0.35">
      <c r="A219" s="1" t="s">
        <v>782</v>
      </c>
      <c r="B219" s="2">
        <v>45205.353472222218</v>
      </c>
      <c r="C219" s="1" t="s">
        <v>793</v>
      </c>
      <c r="D219">
        <v>52</v>
      </c>
      <c r="E219" s="1" t="s">
        <v>738</v>
      </c>
      <c r="F219" s="1" t="str">
        <f>VLOOKUP(C219,REGISTRE!B:G,2,FALSE)</f>
        <v>Tanganyika</v>
      </c>
      <c r="G219" s="1">
        <f>VLOOKUP(C219,REGISTRE!B:G,3,FALSE)</f>
        <v>3.1362930000000002</v>
      </c>
      <c r="H219" s="1">
        <f>VLOOKUP(C219,REGISTRE!B:G,4,FALSE)</f>
        <v>16.190878000000001</v>
      </c>
      <c r="I219" s="1" t="str">
        <f>VLOOKUP(C219,REGISTRE!B:G,5,FALSE)</f>
        <v>3G</v>
      </c>
      <c r="J219" s="1" t="str">
        <f>VLOOKUP(C219,REGISTRE!B:G,6,FALSE)</f>
        <v>Nokia</v>
      </c>
      <c r="K219" s="1" t="str">
        <f>INT(LOGS_Rx5[[#This Row],[Duree_Panne_Min]]/60) &amp; " h " &amp; MOD(LOGS_Rx5[[#This Row],[Duree_Panne_Min]],60) &amp; " min " &amp; "0 s"</f>
        <v>0 h 52 min 0 s</v>
      </c>
    </row>
    <row r="220" spans="1:11" x14ac:dyDescent="0.35">
      <c r="A220" s="1" t="s">
        <v>864</v>
      </c>
      <c r="B220" s="2">
        <v>45227.577777777777</v>
      </c>
      <c r="C220" s="1" t="s">
        <v>901</v>
      </c>
      <c r="D220">
        <v>50</v>
      </c>
      <c r="E220" s="1" t="s">
        <v>740</v>
      </c>
      <c r="F220" s="1" t="str">
        <f>VLOOKUP(C220,REGISTRE!B:G,2,FALSE)</f>
        <v>Tshopo</v>
      </c>
      <c r="G220" s="1">
        <f>VLOOKUP(C220,REGISTRE!B:G,3,FALSE)</f>
        <v>-4.5603610000000003</v>
      </c>
      <c r="H220" s="1">
        <f>VLOOKUP(C220,REGISTRE!B:G,4,FALSE)</f>
        <v>24.113918999999999</v>
      </c>
      <c r="I220" s="1" t="str">
        <f>VLOOKUP(C220,REGISTRE!B:G,5,FALSE)</f>
        <v>5G</v>
      </c>
      <c r="J220" s="1" t="str">
        <f>VLOOKUP(C220,REGISTRE!B:G,6,FALSE)</f>
        <v>ZTE</v>
      </c>
      <c r="K220" s="1" t="str">
        <f>INT(LOGS_Rx5[[#This Row],[Duree_Panne_Min]]/60) &amp; " h " &amp; MOD(LOGS_Rx5[[#This Row],[Duree_Panne_Min]],60) &amp; " min " &amp; "0 s"</f>
        <v>0 h 50 min 0 s</v>
      </c>
    </row>
    <row r="221" spans="1:11" x14ac:dyDescent="0.35">
      <c r="A221" s="1" t="s">
        <v>1225</v>
      </c>
      <c r="B221" s="2">
        <v>45211.425000000003</v>
      </c>
      <c r="C221" s="1" t="s">
        <v>901</v>
      </c>
      <c r="D221">
        <v>57</v>
      </c>
      <c r="E221" s="1" t="s">
        <v>738</v>
      </c>
      <c r="F221" s="1" t="str">
        <f>VLOOKUP(C221,REGISTRE!B:G,2,FALSE)</f>
        <v>Tshopo</v>
      </c>
      <c r="G221" s="1">
        <f>VLOOKUP(C221,REGISTRE!B:G,3,FALSE)</f>
        <v>-4.5603610000000003</v>
      </c>
      <c r="H221" s="1">
        <f>VLOOKUP(C221,REGISTRE!B:G,4,FALSE)</f>
        <v>24.113918999999999</v>
      </c>
      <c r="I221" s="1" t="str">
        <f>VLOOKUP(C221,REGISTRE!B:G,5,FALSE)</f>
        <v>5G</v>
      </c>
      <c r="J221" s="1" t="str">
        <f>VLOOKUP(C221,REGISTRE!B:G,6,FALSE)</f>
        <v>ZTE</v>
      </c>
      <c r="K221" s="1" t="str">
        <f>INT(LOGS_Rx5[[#This Row],[Duree_Panne_Min]]/60) &amp; " h " &amp; MOD(LOGS_Rx5[[#This Row],[Duree_Panne_Min]],60) &amp; " min " &amp; "0 s"</f>
        <v>0 h 57 min 0 s</v>
      </c>
    </row>
    <row r="222" spans="1:11" x14ac:dyDescent="0.35">
      <c r="A222" s="1" t="s">
        <v>826</v>
      </c>
      <c r="B222" s="2">
        <v>45221.265972222223</v>
      </c>
      <c r="C222" s="1" t="s">
        <v>838</v>
      </c>
      <c r="D222">
        <v>88</v>
      </c>
      <c r="E222" s="1" t="s">
        <v>738</v>
      </c>
      <c r="F222" s="1" t="str">
        <f>VLOOKUP(C222,REGISTRE!B:G,2,FALSE)</f>
        <v>Kinshasa</v>
      </c>
      <c r="G222" s="1">
        <f>VLOOKUP(C222,REGISTRE!B:G,3,FALSE)</f>
        <v>-1.339734</v>
      </c>
      <c r="H222" s="1">
        <f>VLOOKUP(C222,REGISTRE!B:G,4,FALSE)</f>
        <v>15.243098</v>
      </c>
      <c r="I222" s="1" t="str">
        <f>VLOOKUP(C222,REGISTRE!B:G,5,FALSE)</f>
        <v>3G</v>
      </c>
      <c r="J222" s="1" t="str">
        <f>VLOOKUP(C222,REGISTRE!B:G,6,FALSE)</f>
        <v>Nokia</v>
      </c>
      <c r="K222" s="1" t="str">
        <f>INT(LOGS_Rx5[[#This Row],[Duree_Panne_Min]]/60) &amp; " h " &amp; MOD(LOGS_Rx5[[#This Row],[Duree_Panne_Min]],60) &amp; " min " &amp; "0 s"</f>
        <v>1 h 28 min 0 s</v>
      </c>
    </row>
    <row r="223" spans="1:11" x14ac:dyDescent="0.35">
      <c r="A223" s="1" t="s">
        <v>782</v>
      </c>
      <c r="B223" s="2">
        <v>45221.84652777778</v>
      </c>
      <c r="C223" s="1" t="s">
        <v>822</v>
      </c>
      <c r="D223">
        <v>96</v>
      </c>
      <c r="E223" s="1" t="s">
        <v>740</v>
      </c>
      <c r="F223" s="1" t="str">
        <f>VLOOKUP(C223,REGISTRE!B:G,2,FALSE)</f>
        <v>Sud-Kivu</v>
      </c>
      <c r="G223" s="1">
        <f>VLOOKUP(C223,REGISTRE!B:G,3,FALSE)</f>
        <v>-5.2526849999999996</v>
      </c>
      <c r="H223" s="1">
        <f>VLOOKUP(C223,REGISTRE!B:G,4,FALSE)</f>
        <v>12.374528</v>
      </c>
      <c r="I223" s="1" t="str">
        <f>VLOOKUP(C223,REGISTRE!B:G,5,FALSE)</f>
        <v>3G</v>
      </c>
      <c r="J223" s="1" t="str">
        <f>VLOOKUP(C223,REGISTRE!B:G,6,FALSE)</f>
        <v>Nokia</v>
      </c>
      <c r="K223" s="1" t="str">
        <f>INT(LOGS_Rx5[[#This Row],[Duree_Panne_Min]]/60) &amp; " h " &amp; MOD(LOGS_Rx5[[#This Row],[Duree_Panne_Min]],60) &amp; " min " &amp; "0 s"</f>
        <v>1 h 36 min 0 s</v>
      </c>
    </row>
    <row r="224" spans="1:11" x14ac:dyDescent="0.35">
      <c r="A224" s="1" t="s">
        <v>981</v>
      </c>
      <c r="B224" s="2">
        <v>45205.154166666667</v>
      </c>
      <c r="C224" s="1" t="s">
        <v>822</v>
      </c>
      <c r="D224">
        <v>12</v>
      </c>
      <c r="E224" s="1" t="s">
        <v>735</v>
      </c>
      <c r="F224" s="1" t="str">
        <f>VLOOKUP(C224,REGISTRE!B:G,2,FALSE)</f>
        <v>Sud-Kivu</v>
      </c>
      <c r="G224" s="1">
        <f>VLOOKUP(C224,REGISTRE!B:G,3,FALSE)</f>
        <v>-5.2526849999999996</v>
      </c>
      <c r="H224" s="1">
        <f>VLOOKUP(C224,REGISTRE!B:G,4,FALSE)</f>
        <v>12.374528</v>
      </c>
      <c r="I224" s="1" t="str">
        <f>VLOOKUP(C224,REGISTRE!B:G,5,FALSE)</f>
        <v>3G</v>
      </c>
      <c r="J224" s="1" t="str">
        <f>VLOOKUP(C224,REGISTRE!B:G,6,FALSE)</f>
        <v>Nokia</v>
      </c>
      <c r="K224" s="1" t="str">
        <f>INT(LOGS_Rx5[[#This Row],[Duree_Panne_Min]]/60) &amp; " h " &amp; MOD(LOGS_Rx5[[#This Row],[Duree_Panne_Min]],60) &amp; " min " &amp; "0 s"</f>
        <v>0 h 12 min 0 s</v>
      </c>
    </row>
    <row r="225" spans="1:11" x14ac:dyDescent="0.35">
      <c r="A225" s="1" t="s">
        <v>1171</v>
      </c>
      <c r="B225" s="2">
        <v>45211.106944444437</v>
      </c>
      <c r="C225" s="1" t="s">
        <v>822</v>
      </c>
      <c r="D225">
        <v>87</v>
      </c>
      <c r="E225" s="1" t="s">
        <v>740</v>
      </c>
      <c r="F225" s="1" t="str">
        <f>VLOOKUP(C225,REGISTRE!B:G,2,FALSE)</f>
        <v>Sud-Kivu</v>
      </c>
      <c r="G225" s="1">
        <f>VLOOKUP(C225,REGISTRE!B:G,3,FALSE)</f>
        <v>-5.2526849999999996</v>
      </c>
      <c r="H225" s="1">
        <f>VLOOKUP(C225,REGISTRE!B:G,4,FALSE)</f>
        <v>12.374528</v>
      </c>
      <c r="I225" s="1" t="str">
        <f>VLOOKUP(C225,REGISTRE!B:G,5,FALSE)</f>
        <v>3G</v>
      </c>
      <c r="J225" s="1" t="str">
        <f>VLOOKUP(C225,REGISTRE!B:G,6,FALSE)</f>
        <v>Nokia</v>
      </c>
      <c r="K225" s="1" t="str">
        <f>INT(LOGS_Rx5[[#This Row],[Duree_Panne_Min]]/60) &amp; " h " &amp; MOD(LOGS_Rx5[[#This Row],[Duree_Panne_Min]],60) &amp; " min " &amp; "0 s"</f>
        <v>1 h 27 min 0 s</v>
      </c>
    </row>
    <row r="226" spans="1:11" x14ac:dyDescent="0.35">
      <c r="A226" s="1" t="s">
        <v>1063</v>
      </c>
      <c r="B226" s="2">
        <v>45211.316666666673</v>
      </c>
      <c r="C226" s="1" t="s">
        <v>1071</v>
      </c>
      <c r="D226">
        <v>93</v>
      </c>
      <c r="E226" s="1" t="s">
        <v>740</v>
      </c>
      <c r="F226" s="1" t="str">
        <f>VLOOKUP(C226,REGISTRE!B:G,2,FALSE)</f>
        <v>Lualaba</v>
      </c>
      <c r="G226" s="1">
        <f>VLOOKUP(C226,REGISTRE!B:G,3,FALSE)</f>
        <v>1.286548</v>
      </c>
      <c r="H226" s="1">
        <f>VLOOKUP(C226,REGISTRE!B:G,4,FALSE)</f>
        <v>29.823702999999998</v>
      </c>
      <c r="I226" s="1" t="str">
        <f>VLOOKUP(C226,REGISTRE!B:G,5,FALSE)</f>
        <v>4G</v>
      </c>
      <c r="J226" s="1" t="str">
        <f>VLOOKUP(C226,REGISTRE!B:G,6,FALSE)</f>
        <v>ZTE</v>
      </c>
      <c r="K226" s="1" t="str">
        <f>INT(LOGS_Rx5[[#This Row],[Duree_Panne_Min]]/60) &amp; " h " &amp; MOD(LOGS_Rx5[[#This Row],[Duree_Panne_Min]],60) &amp; " min " &amp; "0 s"</f>
        <v>1 h 33 min 0 s</v>
      </c>
    </row>
    <row r="227" spans="1:11" x14ac:dyDescent="0.35">
      <c r="A227" s="1" t="s">
        <v>1267</v>
      </c>
      <c r="B227" s="2">
        <v>45221.049305555563</v>
      </c>
      <c r="C227" s="1" t="s">
        <v>1071</v>
      </c>
      <c r="D227">
        <v>53</v>
      </c>
      <c r="E227" s="1" t="s">
        <v>738</v>
      </c>
      <c r="F227" s="1" t="str">
        <f>VLOOKUP(C227,REGISTRE!B:G,2,FALSE)</f>
        <v>Lualaba</v>
      </c>
      <c r="G227" s="1">
        <f>VLOOKUP(C227,REGISTRE!B:G,3,FALSE)</f>
        <v>1.286548</v>
      </c>
      <c r="H227" s="1">
        <f>VLOOKUP(C227,REGISTRE!B:G,4,FALSE)</f>
        <v>29.823702999999998</v>
      </c>
      <c r="I227" s="1" t="str">
        <f>VLOOKUP(C227,REGISTRE!B:G,5,FALSE)</f>
        <v>4G</v>
      </c>
      <c r="J227" s="1" t="str">
        <f>VLOOKUP(C227,REGISTRE!B:G,6,FALSE)</f>
        <v>ZTE</v>
      </c>
      <c r="K227" s="1" t="str">
        <f>INT(LOGS_Rx5[[#This Row],[Duree_Panne_Min]]/60) &amp; " h " &amp; MOD(LOGS_Rx5[[#This Row],[Duree_Panne_Min]],60) &amp; " min " &amp; "0 s"</f>
        <v>0 h 53 min 0 s</v>
      </c>
    </row>
    <row r="228" spans="1:11" x14ac:dyDescent="0.35">
      <c r="A228" s="1" t="s">
        <v>1225</v>
      </c>
      <c r="B228" s="2">
        <v>45204.76666666667</v>
      </c>
      <c r="C228" s="1" t="s">
        <v>1246</v>
      </c>
      <c r="D228">
        <v>9</v>
      </c>
      <c r="E228" s="1" t="s">
        <v>740</v>
      </c>
      <c r="F228" s="1" t="str">
        <f>VLOOKUP(C228,REGISTRE!B:G,2,FALSE)</f>
        <v>Kasai-Central</v>
      </c>
      <c r="G228" s="1">
        <f>VLOOKUP(C228,REGISTRE!B:G,3,FALSE)</f>
        <v>-12.560556999999999</v>
      </c>
      <c r="H228" s="1">
        <f>VLOOKUP(C228,REGISTRE!B:G,4,FALSE)</f>
        <v>13.204014000000001</v>
      </c>
      <c r="I228" s="1" t="str">
        <f>VLOOKUP(C228,REGISTRE!B:G,5,FALSE)</f>
        <v>4G</v>
      </c>
      <c r="J228" s="1" t="str">
        <f>VLOOKUP(C228,REGISTRE!B:G,6,FALSE)</f>
        <v>Ericsson</v>
      </c>
      <c r="K228" s="1" t="str">
        <f>INT(LOGS_Rx5[[#This Row],[Duree_Panne_Min]]/60) &amp; " h " &amp; MOD(LOGS_Rx5[[#This Row],[Duree_Panne_Min]],60) &amp; " min " &amp; "0 s"</f>
        <v>0 h 9 min 0 s</v>
      </c>
    </row>
    <row r="229" spans="1:11" x14ac:dyDescent="0.35">
      <c r="A229" s="1" t="s">
        <v>826</v>
      </c>
      <c r="B229" s="2">
        <v>45209.32708333333</v>
      </c>
      <c r="C229" s="1" t="s">
        <v>860</v>
      </c>
      <c r="D229">
        <v>107</v>
      </c>
      <c r="E229" s="1" t="s">
        <v>738</v>
      </c>
      <c r="F229" s="1" t="str">
        <f>VLOOKUP(C229,REGISTRE!B:G,2,FALSE)</f>
        <v>Equateur</v>
      </c>
      <c r="G229" s="1">
        <f>VLOOKUP(C229,REGISTRE!B:G,3,FALSE)</f>
        <v>-5.0402180000000003</v>
      </c>
      <c r="H229" s="1">
        <f>VLOOKUP(C229,REGISTRE!B:G,4,FALSE)</f>
        <v>13.892471</v>
      </c>
      <c r="I229" s="1" t="str">
        <f>VLOOKUP(C229,REGISTRE!B:G,5,FALSE)</f>
        <v>3G</v>
      </c>
      <c r="J229" s="1" t="str">
        <f>VLOOKUP(C229,REGISTRE!B:G,6,FALSE)</f>
        <v>ZTE</v>
      </c>
      <c r="K229" s="1" t="str">
        <f>INT(LOGS_Rx5[[#This Row],[Duree_Panne_Min]]/60) &amp; " h " &amp; MOD(LOGS_Rx5[[#This Row],[Duree_Panne_Min]],60) &amp; " min " &amp; "0 s"</f>
        <v>1 h 47 min 0 s</v>
      </c>
    </row>
    <row r="230" spans="1:11" x14ac:dyDescent="0.35">
      <c r="A230" s="1" t="s">
        <v>826</v>
      </c>
      <c r="B230" s="2">
        <v>45216.14166666667</v>
      </c>
      <c r="C230" s="1" t="s">
        <v>833</v>
      </c>
      <c r="D230">
        <v>94</v>
      </c>
      <c r="E230" s="1" t="s">
        <v>735</v>
      </c>
      <c r="F230" s="1" t="str">
        <f>VLOOKUP(C230,REGISTRE!B:G,2,FALSE)</f>
        <v>Nord-Kivu</v>
      </c>
      <c r="G230" s="1">
        <f>VLOOKUP(C230,REGISTRE!B:G,3,FALSE)</f>
        <v>1.8103860000000001</v>
      </c>
      <c r="H230" s="1">
        <f>VLOOKUP(C230,REGISTRE!B:G,4,FALSE)</f>
        <v>15.175582</v>
      </c>
      <c r="I230" s="1" t="str">
        <f>VLOOKUP(C230,REGISTRE!B:G,5,FALSE)</f>
        <v>3G</v>
      </c>
      <c r="J230" s="1" t="str">
        <f>VLOOKUP(C230,REGISTRE!B:G,6,FALSE)</f>
        <v>Huawei</v>
      </c>
      <c r="K230" s="1" t="str">
        <f>INT(LOGS_Rx5[[#This Row],[Duree_Panne_Min]]/60) &amp; " h " &amp; MOD(LOGS_Rx5[[#This Row],[Duree_Panne_Min]],60) &amp; " min " &amp; "0 s"</f>
        <v>1 h 34 min 0 s</v>
      </c>
    </row>
    <row r="231" spans="1:11" x14ac:dyDescent="0.35">
      <c r="A231" s="1" t="s">
        <v>826</v>
      </c>
      <c r="B231" s="2">
        <v>45203.997916666667</v>
      </c>
      <c r="C231" s="1" t="s">
        <v>842</v>
      </c>
      <c r="D231">
        <v>101</v>
      </c>
      <c r="E231" s="1" t="s">
        <v>740</v>
      </c>
      <c r="F231" s="1" t="str">
        <f>VLOOKUP(C231,REGISTRE!B:G,2,FALSE)</f>
        <v>Nord-Kivu</v>
      </c>
      <c r="G231" s="1">
        <f>VLOOKUP(C231,REGISTRE!B:G,3,FALSE)</f>
        <v>-6.3148239999999998</v>
      </c>
      <c r="H231" s="1">
        <f>VLOOKUP(C231,REGISTRE!B:G,4,FALSE)</f>
        <v>24.507498999999999</v>
      </c>
      <c r="I231" s="1" t="str">
        <f>VLOOKUP(C231,REGISTRE!B:G,5,FALSE)</f>
        <v>3G</v>
      </c>
      <c r="J231" s="1" t="str">
        <f>VLOOKUP(C231,REGISTRE!B:G,6,FALSE)</f>
        <v>ZTE</v>
      </c>
      <c r="K231" s="1" t="str">
        <f>INT(LOGS_Rx5[[#This Row],[Duree_Panne_Min]]/60) &amp; " h " &amp; MOD(LOGS_Rx5[[#This Row],[Duree_Panne_Min]],60) &amp; " min " &amp; "0 s"</f>
        <v>1 h 41 min 0 s</v>
      </c>
    </row>
    <row r="232" spans="1:11" x14ac:dyDescent="0.35">
      <c r="A232" s="1" t="s">
        <v>1063</v>
      </c>
      <c r="B232" s="2">
        <v>45220.811805555553</v>
      </c>
      <c r="C232" s="1" t="s">
        <v>1065</v>
      </c>
      <c r="D232">
        <v>100</v>
      </c>
      <c r="E232" s="1" t="s">
        <v>740</v>
      </c>
      <c r="F232" s="1" t="str">
        <f>VLOOKUP(C232,REGISTRE!B:G,2,FALSE)</f>
        <v>Kwilu</v>
      </c>
      <c r="G232" s="1">
        <f>VLOOKUP(C232,REGISTRE!B:G,3,FALSE)</f>
        <v>-0.98830399999999996</v>
      </c>
      <c r="H232" s="1">
        <f>VLOOKUP(C232,REGISTRE!B:G,4,FALSE)</f>
        <v>28.099966999999999</v>
      </c>
      <c r="I232" s="1" t="str">
        <f>VLOOKUP(C232,REGISTRE!B:G,5,FALSE)</f>
        <v>3G</v>
      </c>
      <c r="J232" s="1" t="str">
        <f>VLOOKUP(C232,REGISTRE!B:G,6,FALSE)</f>
        <v>Huawei</v>
      </c>
      <c r="K232" s="1" t="str">
        <f>INT(LOGS_Rx5[[#This Row],[Duree_Panne_Min]]/60) &amp; " h " &amp; MOD(LOGS_Rx5[[#This Row],[Duree_Panne_Min]],60) &amp; " min " &amp; "0 s"</f>
        <v>1 h 40 min 0 s</v>
      </c>
    </row>
    <row r="233" spans="1:11" x14ac:dyDescent="0.35">
      <c r="A233" s="1" t="s">
        <v>733</v>
      </c>
      <c r="B233" s="2">
        <v>45203.032638888886</v>
      </c>
      <c r="C233" s="1" t="s">
        <v>734</v>
      </c>
      <c r="D233">
        <v>73</v>
      </c>
      <c r="E233" s="1" t="s">
        <v>735</v>
      </c>
      <c r="F233" s="1" t="str">
        <f>VLOOKUP(C233,REGISTRE!B:G,2,FALSE)</f>
        <v>Tanganyika</v>
      </c>
      <c r="G233" s="1">
        <f>VLOOKUP(C233,REGISTRE!B:G,3,FALSE)</f>
        <v>-11.144149000000001</v>
      </c>
      <c r="H233" s="1">
        <f>VLOOKUP(C233,REGISTRE!B:G,4,FALSE)</f>
        <v>27.244658999999999</v>
      </c>
      <c r="I233" s="1" t="str">
        <f>VLOOKUP(C233,REGISTRE!B:G,5,FALSE)</f>
        <v>4G</v>
      </c>
      <c r="J233" s="1" t="str">
        <f>VLOOKUP(C233,REGISTRE!B:G,6,FALSE)</f>
        <v>Nokia</v>
      </c>
      <c r="K233" s="1" t="str">
        <f>INT(LOGS_Rx5[[#This Row],[Duree_Panne_Min]]/60) &amp; " h " &amp; MOD(LOGS_Rx5[[#This Row],[Duree_Panne_Min]],60) &amp; " min " &amp; "0 s"</f>
        <v>1 h 13 min 0 s</v>
      </c>
    </row>
    <row r="234" spans="1:11" x14ac:dyDescent="0.35">
      <c r="A234" s="1" t="s">
        <v>981</v>
      </c>
      <c r="B234" s="2">
        <v>45228.791666666657</v>
      </c>
      <c r="C234" s="1" t="s">
        <v>734</v>
      </c>
      <c r="D234">
        <v>63</v>
      </c>
      <c r="E234" s="1" t="s">
        <v>735</v>
      </c>
      <c r="F234" s="1" t="str">
        <f>VLOOKUP(C234,REGISTRE!B:G,2,FALSE)</f>
        <v>Tanganyika</v>
      </c>
      <c r="G234" s="1">
        <f>VLOOKUP(C234,REGISTRE!B:G,3,FALSE)</f>
        <v>-11.144149000000001</v>
      </c>
      <c r="H234" s="1">
        <f>VLOOKUP(C234,REGISTRE!B:G,4,FALSE)</f>
        <v>27.244658999999999</v>
      </c>
      <c r="I234" s="1" t="str">
        <f>VLOOKUP(C234,REGISTRE!B:G,5,FALSE)</f>
        <v>4G</v>
      </c>
      <c r="J234" s="1" t="str">
        <f>VLOOKUP(C234,REGISTRE!B:G,6,FALSE)</f>
        <v>Nokia</v>
      </c>
      <c r="K234" s="1" t="str">
        <f>INT(LOGS_Rx5[[#This Row],[Duree_Panne_Min]]/60) &amp; " h " &amp; MOD(LOGS_Rx5[[#This Row],[Duree_Panne_Min]],60) &amp; " min " &amp; "0 s"</f>
        <v>1 h 3 min 0 s</v>
      </c>
    </row>
    <row r="235" spans="1:11" x14ac:dyDescent="0.35">
      <c r="A235" s="1" t="s">
        <v>1368</v>
      </c>
      <c r="B235" s="2">
        <v>45222.943749999999</v>
      </c>
      <c r="C235" s="1" t="s">
        <v>1385</v>
      </c>
      <c r="D235">
        <v>114</v>
      </c>
      <c r="E235" s="1" t="s">
        <v>735</v>
      </c>
      <c r="F235" s="1" t="str">
        <f>VLOOKUP(C235,REGISTRE!B:G,2,FALSE)</f>
        <v>Haut-Lomami</v>
      </c>
      <c r="G235" s="1">
        <f>VLOOKUP(C235,REGISTRE!B:G,3,FALSE)</f>
        <v>-9.6407190000000007</v>
      </c>
      <c r="H235" s="1">
        <f>VLOOKUP(C235,REGISTRE!B:G,4,FALSE)</f>
        <v>21.336704999999998</v>
      </c>
      <c r="I235" s="1" t="str">
        <f>VLOOKUP(C235,REGISTRE!B:G,5,FALSE)</f>
        <v>4G</v>
      </c>
      <c r="J235" s="1" t="str">
        <f>VLOOKUP(C235,REGISTRE!B:G,6,FALSE)</f>
        <v>ZTE</v>
      </c>
      <c r="K235" s="1" t="str">
        <f>INT(LOGS_Rx5[[#This Row],[Duree_Panne_Min]]/60) &amp; " h " &amp; MOD(LOGS_Rx5[[#This Row],[Duree_Panne_Min]],60) &amp; " min " &amp; "0 s"</f>
        <v>1 h 54 min 0 s</v>
      </c>
    </row>
    <row r="236" spans="1:11" x14ac:dyDescent="0.35">
      <c r="A236" s="1" t="s">
        <v>1267</v>
      </c>
      <c r="B236" s="2">
        <v>45211.219444444447</v>
      </c>
      <c r="C236" s="1" t="s">
        <v>1281</v>
      </c>
      <c r="D236">
        <v>5</v>
      </c>
      <c r="E236" s="1" t="s">
        <v>735</v>
      </c>
      <c r="F236" s="1" t="str">
        <f>VLOOKUP(C236,REGISTRE!B:G,2,FALSE)</f>
        <v>Nord-Kivu</v>
      </c>
      <c r="G236" s="1">
        <f>VLOOKUP(C236,REGISTRE!B:G,3,FALSE)</f>
        <v>-8.9586360000000003</v>
      </c>
      <c r="H236" s="1">
        <f>VLOOKUP(C236,REGISTRE!B:G,4,FALSE)</f>
        <v>17.157720000000001</v>
      </c>
      <c r="I236" s="1" t="str">
        <f>VLOOKUP(C236,REGISTRE!B:G,5,FALSE)</f>
        <v>3G</v>
      </c>
      <c r="J236" s="1" t="str">
        <f>VLOOKUP(C236,REGISTRE!B:G,6,FALSE)</f>
        <v>Nokia</v>
      </c>
      <c r="K236" s="1" t="str">
        <f>INT(LOGS_Rx5[[#This Row],[Duree_Panne_Min]]/60) &amp; " h " &amp; MOD(LOGS_Rx5[[#This Row],[Duree_Panne_Min]],60) &amp; " min " &amp; "0 s"</f>
        <v>0 h 5 min 0 s</v>
      </c>
    </row>
    <row r="237" spans="1:11" x14ac:dyDescent="0.35">
      <c r="A237" s="1" t="s">
        <v>1002</v>
      </c>
      <c r="B237" s="2">
        <v>45200.832638888889</v>
      </c>
      <c r="C237" s="1" t="s">
        <v>1010</v>
      </c>
      <c r="D237">
        <v>27</v>
      </c>
      <c r="E237" s="1" t="s">
        <v>735</v>
      </c>
      <c r="F237" s="1" t="str">
        <f>VLOOKUP(C237,REGISTRE!B:G,2,FALSE)</f>
        <v>Sud-Kivu</v>
      </c>
      <c r="G237" s="1">
        <f>VLOOKUP(C237,REGISTRE!B:G,3,FALSE)</f>
        <v>1.2419519999999999</v>
      </c>
      <c r="H237" s="1">
        <f>VLOOKUP(C237,REGISTRE!B:G,4,FALSE)</f>
        <v>25.261382999999999</v>
      </c>
      <c r="I237" s="1" t="str">
        <f>VLOOKUP(C237,REGISTRE!B:G,5,FALSE)</f>
        <v>4G</v>
      </c>
      <c r="J237" s="1" t="str">
        <f>VLOOKUP(C237,REGISTRE!B:G,6,FALSE)</f>
        <v>Huawei</v>
      </c>
      <c r="K237" s="1" t="str">
        <f>INT(LOGS_Rx5[[#This Row],[Duree_Panne_Min]]/60) &amp; " h " &amp; MOD(LOGS_Rx5[[#This Row],[Duree_Panne_Min]],60) &amp; " min " &amp; "0 s"</f>
        <v>0 h 27 min 0 s</v>
      </c>
    </row>
    <row r="238" spans="1:11" x14ac:dyDescent="0.35">
      <c r="A238" s="1" t="s">
        <v>1144</v>
      </c>
      <c r="B238" s="2">
        <v>45218.127083333333</v>
      </c>
      <c r="C238" s="1" t="s">
        <v>1010</v>
      </c>
      <c r="D238">
        <v>58</v>
      </c>
      <c r="E238" s="1" t="s">
        <v>738</v>
      </c>
      <c r="F238" s="1" t="str">
        <f>VLOOKUP(C238,REGISTRE!B:G,2,FALSE)</f>
        <v>Sud-Kivu</v>
      </c>
      <c r="G238" s="1">
        <f>VLOOKUP(C238,REGISTRE!B:G,3,FALSE)</f>
        <v>1.2419519999999999</v>
      </c>
      <c r="H238" s="1">
        <f>VLOOKUP(C238,REGISTRE!B:G,4,FALSE)</f>
        <v>25.261382999999999</v>
      </c>
      <c r="I238" s="1" t="str">
        <f>VLOOKUP(C238,REGISTRE!B:G,5,FALSE)</f>
        <v>4G</v>
      </c>
      <c r="J238" s="1" t="str">
        <f>VLOOKUP(C238,REGISTRE!B:G,6,FALSE)</f>
        <v>Huawei</v>
      </c>
      <c r="K238" s="1" t="str">
        <f>INT(LOGS_Rx5[[#This Row],[Duree_Panne_Min]]/60) &amp; " h " &amp; MOD(LOGS_Rx5[[#This Row],[Duree_Panne_Min]],60) &amp; " min " &amp; "0 s"</f>
        <v>0 h 58 min 0 s</v>
      </c>
    </row>
    <row r="239" spans="1:11" x14ac:dyDescent="0.35">
      <c r="A239" s="1" t="s">
        <v>1028</v>
      </c>
      <c r="B239" s="2">
        <v>45219.683333333327</v>
      </c>
      <c r="C239" s="1" t="s">
        <v>1032</v>
      </c>
      <c r="D239">
        <v>99</v>
      </c>
      <c r="E239" s="1" t="s">
        <v>738</v>
      </c>
      <c r="F239" s="1" t="str">
        <f>VLOOKUP(C239,REGISTRE!B:G,2,FALSE)</f>
        <v>Kongo-Central</v>
      </c>
      <c r="G239" s="1">
        <f>VLOOKUP(C239,REGISTRE!B:G,3,FALSE)</f>
        <v>-9.5840350000000001</v>
      </c>
      <c r="H239" s="1">
        <f>VLOOKUP(C239,REGISTRE!B:G,4,FALSE)</f>
        <v>15.966024000000001</v>
      </c>
      <c r="I239" s="1" t="str">
        <f>VLOOKUP(C239,REGISTRE!B:G,5,FALSE)</f>
        <v>5G</v>
      </c>
      <c r="J239" s="1" t="str">
        <f>VLOOKUP(C239,REGISTRE!B:G,6,FALSE)</f>
        <v>Nokia</v>
      </c>
      <c r="K239" s="1" t="str">
        <f>INT(LOGS_Rx5[[#This Row],[Duree_Panne_Min]]/60) &amp; " h " &amp; MOD(LOGS_Rx5[[#This Row],[Duree_Panne_Min]],60) &amp; " min " &amp; "0 s"</f>
        <v>1 h 39 min 0 s</v>
      </c>
    </row>
    <row r="240" spans="1:11" x14ac:dyDescent="0.35">
      <c r="A240" s="1" t="s">
        <v>1120</v>
      </c>
      <c r="B240" s="2">
        <v>45210.879861111112</v>
      </c>
      <c r="C240" s="1" t="s">
        <v>1128</v>
      </c>
      <c r="D240">
        <v>53</v>
      </c>
      <c r="E240" s="1" t="s">
        <v>735</v>
      </c>
      <c r="F240" s="1" t="str">
        <f>VLOOKUP(C240,REGISTRE!B:G,2,FALSE)</f>
        <v>Lomami</v>
      </c>
      <c r="G240" s="1">
        <f>VLOOKUP(C240,REGISTRE!B:G,3,FALSE)</f>
        <v>-7.8770429999999996</v>
      </c>
      <c r="H240" s="1">
        <f>VLOOKUP(C240,REGISTRE!B:G,4,FALSE)</f>
        <v>16.357762999999998</v>
      </c>
      <c r="I240" s="1" t="str">
        <f>VLOOKUP(C240,REGISTRE!B:G,5,FALSE)</f>
        <v>4G</v>
      </c>
      <c r="J240" s="1" t="str">
        <f>VLOOKUP(C240,REGISTRE!B:G,6,FALSE)</f>
        <v>Ericsson</v>
      </c>
      <c r="K240" s="1" t="str">
        <f>INT(LOGS_Rx5[[#This Row],[Duree_Panne_Min]]/60) &amp; " h " &amp; MOD(LOGS_Rx5[[#This Row],[Duree_Panne_Min]],60) &amp; " min " &amp; "0 s"</f>
        <v>0 h 53 min 0 s</v>
      </c>
    </row>
    <row r="241" spans="1:11" x14ac:dyDescent="0.35">
      <c r="A241" s="1" t="s">
        <v>864</v>
      </c>
      <c r="B241" s="2">
        <v>45206.027083333327</v>
      </c>
      <c r="C241" s="1" t="s">
        <v>881</v>
      </c>
      <c r="D241">
        <v>36</v>
      </c>
      <c r="E241" s="1" t="s">
        <v>740</v>
      </c>
      <c r="F241" s="1" t="str">
        <f>VLOOKUP(C241,REGISTRE!B:G,2,FALSE)</f>
        <v>Kasai-Central</v>
      </c>
      <c r="G241" s="1">
        <f>VLOOKUP(C241,REGISTRE!B:G,3,FALSE)</f>
        <v>-3.111418</v>
      </c>
      <c r="H241" s="1">
        <f>VLOOKUP(C241,REGISTRE!B:G,4,FALSE)</f>
        <v>14.144854</v>
      </c>
      <c r="I241" s="1" t="str">
        <f>VLOOKUP(C241,REGISTRE!B:G,5,FALSE)</f>
        <v>4G</v>
      </c>
      <c r="J241" s="1" t="str">
        <f>VLOOKUP(C241,REGISTRE!B:G,6,FALSE)</f>
        <v>ZTE</v>
      </c>
      <c r="K241" s="1" t="str">
        <f>INT(LOGS_Rx5[[#This Row],[Duree_Panne_Min]]/60) &amp; " h " &amp; MOD(LOGS_Rx5[[#This Row],[Duree_Panne_Min]],60) &amp; " min " &amp; "0 s"</f>
        <v>0 h 36 min 0 s</v>
      </c>
    </row>
    <row r="242" spans="1:11" x14ac:dyDescent="0.35">
      <c r="A242" s="1" t="s">
        <v>1120</v>
      </c>
      <c r="B242" s="2">
        <v>45204.572222222218</v>
      </c>
      <c r="C242" s="1" t="s">
        <v>881</v>
      </c>
      <c r="D242">
        <v>88</v>
      </c>
      <c r="E242" s="1" t="s">
        <v>740</v>
      </c>
      <c r="F242" s="1" t="str">
        <f>VLOOKUP(C242,REGISTRE!B:G,2,FALSE)</f>
        <v>Kasai-Central</v>
      </c>
      <c r="G242" s="1">
        <f>VLOOKUP(C242,REGISTRE!B:G,3,FALSE)</f>
        <v>-3.111418</v>
      </c>
      <c r="H242" s="1">
        <f>VLOOKUP(C242,REGISTRE!B:G,4,FALSE)</f>
        <v>14.144854</v>
      </c>
      <c r="I242" s="1" t="str">
        <f>VLOOKUP(C242,REGISTRE!B:G,5,FALSE)</f>
        <v>4G</v>
      </c>
      <c r="J242" s="1" t="str">
        <f>VLOOKUP(C242,REGISTRE!B:G,6,FALSE)</f>
        <v>ZTE</v>
      </c>
      <c r="K242" s="1" t="str">
        <f>INT(LOGS_Rx5[[#This Row],[Duree_Panne_Min]]/60) &amp; " h " &amp; MOD(LOGS_Rx5[[#This Row],[Duree_Panne_Min]],60) &amp; " min " &amp; "0 s"</f>
        <v>1 h 28 min 0 s</v>
      </c>
    </row>
    <row r="243" spans="1:11" x14ac:dyDescent="0.35">
      <c r="A243" s="1" t="s">
        <v>1314</v>
      </c>
      <c r="B243" s="2">
        <v>45202.747916666667</v>
      </c>
      <c r="C243" s="1" t="s">
        <v>881</v>
      </c>
      <c r="D243">
        <v>28</v>
      </c>
      <c r="E243" s="1" t="s">
        <v>738</v>
      </c>
      <c r="F243" s="1" t="str">
        <f>VLOOKUP(C243,REGISTRE!B:G,2,FALSE)</f>
        <v>Kasai-Central</v>
      </c>
      <c r="G243" s="1">
        <f>VLOOKUP(C243,REGISTRE!B:G,3,FALSE)</f>
        <v>-3.111418</v>
      </c>
      <c r="H243" s="1">
        <f>VLOOKUP(C243,REGISTRE!B:G,4,FALSE)</f>
        <v>14.144854</v>
      </c>
      <c r="I243" s="1" t="str">
        <f>VLOOKUP(C243,REGISTRE!B:G,5,FALSE)</f>
        <v>4G</v>
      </c>
      <c r="J243" s="1" t="str">
        <f>VLOOKUP(C243,REGISTRE!B:G,6,FALSE)</f>
        <v>ZTE</v>
      </c>
      <c r="K243" s="1" t="str">
        <f>INT(LOGS_Rx5[[#This Row],[Duree_Panne_Min]]/60) &amp; " h " &amp; MOD(LOGS_Rx5[[#This Row],[Duree_Panne_Min]],60) &amp; " min " &amp; "0 s"</f>
        <v>0 h 28 min 0 s</v>
      </c>
    </row>
    <row r="244" spans="1:11" x14ac:dyDescent="0.35">
      <c r="A244" s="1" t="s">
        <v>1120</v>
      </c>
      <c r="B244" s="2">
        <v>45206.563888888893</v>
      </c>
      <c r="C244" s="1" t="s">
        <v>1134</v>
      </c>
      <c r="D244">
        <v>37</v>
      </c>
      <c r="E244" s="1" t="s">
        <v>735</v>
      </c>
      <c r="F244" s="1" t="str">
        <f>VLOOKUP(C244,REGISTRE!B:G,2,FALSE)</f>
        <v>Haut-Uele</v>
      </c>
      <c r="G244" s="1">
        <f>VLOOKUP(C244,REGISTRE!B:G,3,FALSE)</f>
        <v>0.20866199999999999</v>
      </c>
      <c r="H244" s="1">
        <f>VLOOKUP(C244,REGISTRE!B:G,4,FALSE)</f>
        <v>18.556439000000001</v>
      </c>
      <c r="I244" s="1" t="str">
        <f>VLOOKUP(C244,REGISTRE!B:G,5,FALSE)</f>
        <v>4G</v>
      </c>
      <c r="J244" s="1" t="str">
        <f>VLOOKUP(C244,REGISTRE!B:G,6,FALSE)</f>
        <v>Nokia</v>
      </c>
      <c r="K244" s="1" t="str">
        <f>INT(LOGS_Rx5[[#This Row],[Duree_Panne_Min]]/60) &amp; " h " &amp; MOD(LOGS_Rx5[[#This Row],[Duree_Panne_Min]],60) &amp; " min " &amp; "0 s"</f>
        <v>0 h 37 min 0 s</v>
      </c>
    </row>
    <row r="245" spans="1:11" x14ac:dyDescent="0.35">
      <c r="A245" s="1" t="s">
        <v>942</v>
      </c>
      <c r="B245" s="2">
        <v>45230.484027777777</v>
      </c>
      <c r="C245" s="1" t="s">
        <v>978</v>
      </c>
      <c r="D245">
        <v>37</v>
      </c>
      <c r="E245" s="1" t="s">
        <v>738</v>
      </c>
      <c r="F245" s="1" t="str">
        <f>VLOOKUP(C245,REGISTRE!B:G,2,FALSE)</f>
        <v>Kongo-Central</v>
      </c>
      <c r="G245" s="1">
        <f>VLOOKUP(C245,REGISTRE!B:G,3,FALSE)</f>
        <v>-12.564277000000001</v>
      </c>
      <c r="H245" s="1">
        <f>VLOOKUP(C245,REGISTRE!B:G,4,FALSE)</f>
        <v>28.480798</v>
      </c>
      <c r="I245" s="1" t="str">
        <f>VLOOKUP(C245,REGISTRE!B:G,5,FALSE)</f>
        <v>5G</v>
      </c>
      <c r="J245" s="1" t="str">
        <f>VLOOKUP(C245,REGISTRE!B:G,6,FALSE)</f>
        <v>ZTE</v>
      </c>
      <c r="K245" s="1" t="str">
        <f>INT(LOGS_Rx5[[#This Row],[Duree_Panne_Min]]/60) &amp; " h " &amp; MOD(LOGS_Rx5[[#This Row],[Duree_Panne_Min]],60) &amp; " min " &amp; "0 s"</f>
        <v>0 h 37 min 0 s</v>
      </c>
    </row>
    <row r="246" spans="1:11" x14ac:dyDescent="0.35">
      <c r="A246" s="1" t="s">
        <v>1336</v>
      </c>
      <c r="B246" s="2">
        <v>45215.704861111109</v>
      </c>
      <c r="C246" s="1" t="s">
        <v>978</v>
      </c>
      <c r="D246">
        <v>107</v>
      </c>
      <c r="E246" s="1" t="s">
        <v>735</v>
      </c>
      <c r="F246" s="1" t="str">
        <f>VLOOKUP(C246,REGISTRE!B:G,2,FALSE)</f>
        <v>Kongo-Central</v>
      </c>
      <c r="G246" s="1">
        <f>VLOOKUP(C246,REGISTRE!B:G,3,FALSE)</f>
        <v>-12.564277000000001</v>
      </c>
      <c r="H246" s="1">
        <f>VLOOKUP(C246,REGISTRE!B:G,4,FALSE)</f>
        <v>28.480798</v>
      </c>
      <c r="I246" s="1" t="str">
        <f>VLOOKUP(C246,REGISTRE!B:G,5,FALSE)</f>
        <v>5G</v>
      </c>
      <c r="J246" s="1" t="str">
        <f>VLOOKUP(C246,REGISTRE!B:G,6,FALSE)</f>
        <v>ZTE</v>
      </c>
      <c r="K246" s="1" t="str">
        <f>INT(LOGS_Rx5[[#This Row],[Duree_Panne_Min]]/60) &amp; " h " &amp; MOD(LOGS_Rx5[[#This Row],[Duree_Panne_Min]],60) &amp; " min " &amp; "0 s"</f>
        <v>1 h 47 min 0 s</v>
      </c>
    </row>
    <row r="247" spans="1:11" x14ac:dyDescent="0.35">
      <c r="A247" s="1" t="s">
        <v>1414</v>
      </c>
      <c r="B247" s="2">
        <v>45216.137499999997</v>
      </c>
      <c r="C247" s="1" t="s">
        <v>1420</v>
      </c>
      <c r="D247">
        <v>120</v>
      </c>
      <c r="E247" s="1" t="s">
        <v>738</v>
      </c>
      <c r="F247" s="1" t="str">
        <f>VLOOKUP(C247,REGISTRE!B:G,2,FALSE)</f>
        <v>Mongala</v>
      </c>
      <c r="G247" s="1">
        <f>VLOOKUP(C247,REGISTRE!B:G,3,FALSE)</f>
        <v>-7.2267089999999996</v>
      </c>
      <c r="H247" s="1">
        <f>VLOOKUP(C247,REGISTRE!B:G,4,FALSE)</f>
        <v>28.421362999999999</v>
      </c>
      <c r="I247" s="1" t="str">
        <f>VLOOKUP(C247,REGISTRE!B:G,5,FALSE)</f>
        <v>5G</v>
      </c>
      <c r="J247" s="1" t="str">
        <f>VLOOKUP(C247,REGISTRE!B:G,6,FALSE)</f>
        <v>Ericsson</v>
      </c>
      <c r="K247" s="1" t="str">
        <f>INT(LOGS_Rx5[[#This Row],[Duree_Panne_Min]]/60) &amp; " h " &amp; MOD(LOGS_Rx5[[#This Row],[Duree_Panne_Min]],60) &amp; " min " &amp; "0 s"</f>
        <v>2 h 0 min 0 s</v>
      </c>
    </row>
    <row r="248" spans="1:11" x14ac:dyDescent="0.35">
      <c r="A248" s="1" t="s">
        <v>864</v>
      </c>
      <c r="B248" s="2">
        <v>45218.270138888889</v>
      </c>
      <c r="C248" s="1" t="s">
        <v>884</v>
      </c>
      <c r="D248">
        <v>40</v>
      </c>
      <c r="E248" s="1" t="s">
        <v>738</v>
      </c>
      <c r="F248" s="1" t="str">
        <f>VLOOKUP(C248,REGISTRE!B:G,2,FALSE)</f>
        <v>Haut-Uele</v>
      </c>
      <c r="G248" s="1">
        <f>VLOOKUP(C248,REGISTRE!B:G,3,FALSE)</f>
        <v>-1.8045979999999999</v>
      </c>
      <c r="H248" s="1">
        <f>VLOOKUP(C248,REGISTRE!B:G,4,FALSE)</f>
        <v>12.511096999999999</v>
      </c>
      <c r="I248" s="1" t="str">
        <f>VLOOKUP(C248,REGISTRE!B:G,5,FALSE)</f>
        <v>3G</v>
      </c>
      <c r="J248" s="1" t="str">
        <f>VLOOKUP(C248,REGISTRE!B:G,6,FALSE)</f>
        <v>Huawei</v>
      </c>
      <c r="K248" s="1" t="str">
        <f>INT(LOGS_Rx5[[#This Row],[Duree_Panne_Min]]/60) &amp; " h " &amp; MOD(LOGS_Rx5[[#This Row],[Duree_Panne_Min]],60) &amp; " min " &amp; "0 s"</f>
        <v>0 h 40 min 0 s</v>
      </c>
    </row>
    <row r="249" spans="1:11" x14ac:dyDescent="0.35">
      <c r="A249" s="1" t="s">
        <v>981</v>
      </c>
      <c r="B249" s="2">
        <v>45212.599305555559</v>
      </c>
      <c r="C249" s="1" t="s">
        <v>884</v>
      </c>
      <c r="D249">
        <v>58</v>
      </c>
      <c r="E249" s="1" t="s">
        <v>738</v>
      </c>
      <c r="F249" s="1" t="str">
        <f>VLOOKUP(C249,REGISTRE!B:G,2,FALSE)</f>
        <v>Haut-Uele</v>
      </c>
      <c r="G249" s="1">
        <f>VLOOKUP(C249,REGISTRE!B:G,3,FALSE)</f>
        <v>-1.8045979999999999</v>
      </c>
      <c r="H249" s="1">
        <f>VLOOKUP(C249,REGISTRE!B:G,4,FALSE)</f>
        <v>12.511096999999999</v>
      </c>
      <c r="I249" s="1" t="str">
        <f>VLOOKUP(C249,REGISTRE!B:G,5,FALSE)</f>
        <v>3G</v>
      </c>
      <c r="J249" s="1" t="str">
        <f>VLOOKUP(C249,REGISTRE!B:G,6,FALSE)</f>
        <v>Huawei</v>
      </c>
      <c r="K249" s="1" t="str">
        <f>INT(LOGS_Rx5[[#This Row],[Duree_Panne_Min]]/60) &amp; " h " &amp; MOD(LOGS_Rx5[[#This Row],[Duree_Panne_Min]],60) &amp; " min " &amp; "0 s"</f>
        <v>0 h 58 min 0 s</v>
      </c>
    </row>
    <row r="250" spans="1:11" x14ac:dyDescent="0.35">
      <c r="A250" s="1" t="s">
        <v>1294</v>
      </c>
      <c r="B250" s="2">
        <v>45217.627083333333</v>
      </c>
      <c r="C250" s="1" t="s">
        <v>884</v>
      </c>
      <c r="D250">
        <v>33</v>
      </c>
      <c r="E250" s="1" t="s">
        <v>735</v>
      </c>
      <c r="F250" s="1" t="str">
        <f>VLOOKUP(C250,REGISTRE!B:G,2,FALSE)</f>
        <v>Haut-Uele</v>
      </c>
      <c r="G250" s="1">
        <f>VLOOKUP(C250,REGISTRE!B:G,3,FALSE)</f>
        <v>-1.8045979999999999</v>
      </c>
      <c r="H250" s="1">
        <f>VLOOKUP(C250,REGISTRE!B:G,4,FALSE)</f>
        <v>12.511096999999999</v>
      </c>
      <c r="I250" s="1" t="str">
        <f>VLOOKUP(C250,REGISTRE!B:G,5,FALSE)</f>
        <v>3G</v>
      </c>
      <c r="J250" s="1" t="str">
        <f>VLOOKUP(C250,REGISTRE!B:G,6,FALSE)</f>
        <v>Huawei</v>
      </c>
      <c r="K250" s="1" t="str">
        <f>INT(LOGS_Rx5[[#This Row],[Duree_Panne_Min]]/60) &amp; " h " &amp; MOD(LOGS_Rx5[[#This Row],[Duree_Panne_Min]],60) &amp; " min " &amp; "0 s"</f>
        <v>0 h 33 min 0 s</v>
      </c>
    </row>
    <row r="251" spans="1:11" x14ac:dyDescent="0.35">
      <c r="A251" s="1" t="s">
        <v>1389</v>
      </c>
      <c r="B251" s="2">
        <v>45228.57708333333</v>
      </c>
      <c r="C251" s="1" t="s">
        <v>884</v>
      </c>
      <c r="D251">
        <v>80</v>
      </c>
      <c r="E251" s="1" t="s">
        <v>740</v>
      </c>
      <c r="F251" s="1" t="str">
        <f>VLOOKUP(C251,REGISTRE!B:G,2,FALSE)</f>
        <v>Haut-Uele</v>
      </c>
      <c r="G251" s="1">
        <f>VLOOKUP(C251,REGISTRE!B:G,3,FALSE)</f>
        <v>-1.8045979999999999</v>
      </c>
      <c r="H251" s="1">
        <f>VLOOKUP(C251,REGISTRE!B:G,4,FALSE)</f>
        <v>12.511096999999999</v>
      </c>
      <c r="I251" s="1" t="str">
        <f>VLOOKUP(C251,REGISTRE!B:G,5,FALSE)</f>
        <v>3G</v>
      </c>
      <c r="J251" s="1" t="str">
        <f>VLOOKUP(C251,REGISTRE!B:G,6,FALSE)</f>
        <v>Huawei</v>
      </c>
      <c r="K251" s="1" t="str">
        <f>INT(LOGS_Rx5[[#This Row],[Duree_Panne_Min]]/60) &amp; " h " &amp; MOD(LOGS_Rx5[[#This Row],[Duree_Panne_Min]],60) &amp; " min " &amp; "0 s"</f>
        <v>1 h 20 min 0 s</v>
      </c>
    </row>
    <row r="252" spans="1:11" x14ac:dyDescent="0.35">
      <c r="A252" s="1" t="s">
        <v>1294</v>
      </c>
      <c r="B252" s="2">
        <v>45214.168055555558</v>
      </c>
      <c r="C252" s="1" t="s">
        <v>1307</v>
      </c>
      <c r="D252">
        <v>106</v>
      </c>
      <c r="E252" s="1" t="s">
        <v>735</v>
      </c>
      <c r="F252" s="1" t="str">
        <f>VLOOKUP(C252,REGISTRE!B:G,2,FALSE)</f>
        <v>Sud-Kivu</v>
      </c>
      <c r="G252" s="1">
        <f>VLOOKUP(C252,REGISTRE!B:G,3,FALSE)</f>
        <v>-11.207139</v>
      </c>
      <c r="H252" s="1">
        <f>VLOOKUP(C252,REGISTRE!B:G,4,FALSE)</f>
        <v>18.702511999999999</v>
      </c>
      <c r="I252" s="1" t="str">
        <f>VLOOKUP(C252,REGISTRE!B:G,5,FALSE)</f>
        <v>5G</v>
      </c>
      <c r="J252" s="1" t="str">
        <f>VLOOKUP(C252,REGISTRE!B:G,6,FALSE)</f>
        <v>Ericsson</v>
      </c>
      <c r="K252" s="1" t="str">
        <f>INT(LOGS_Rx5[[#This Row],[Duree_Panne_Min]]/60) &amp; " h " &amp; MOD(LOGS_Rx5[[#This Row],[Duree_Panne_Min]],60) &amp; " min " &amp; "0 s"</f>
        <v>1 h 46 min 0 s</v>
      </c>
    </row>
    <row r="253" spans="1:11" x14ac:dyDescent="0.35">
      <c r="A253" s="1" t="s">
        <v>1247</v>
      </c>
      <c r="B253" s="2">
        <v>45201.527777777781</v>
      </c>
      <c r="C253" s="1" t="s">
        <v>1259</v>
      </c>
      <c r="D253">
        <v>20</v>
      </c>
      <c r="E253" s="1" t="s">
        <v>738</v>
      </c>
      <c r="F253" s="1" t="str">
        <f>VLOOKUP(C253,REGISTRE!B:G,2,FALSE)</f>
        <v>Bas-Uele</v>
      </c>
      <c r="G253" s="1">
        <f>VLOOKUP(C253,REGISTRE!B:G,3,FALSE)</f>
        <v>0.45116099999999998</v>
      </c>
      <c r="H253" s="1">
        <f>VLOOKUP(C253,REGISTRE!B:G,4,FALSE)</f>
        <v>17.265761000000001</v>
      </c>
      <c r="I253" s="1" t="str">
        <f>VLOOKUP(C253,REGISTRE!B:G,5,FALSE)</f>
        <v>4G</v>
      </c>
      <c r="J253" s="1" t="str">
        <f>VLOOKUP(C253,REGISTRE!B:G,6,FALSE)</f>
        <v>Huawei</v>
      </c>
      <c r="K253" s="1" t="str">
        <f>INT(LOGS_Rx5[[#This Row],[Duree_Panne_Min]]/60) &amp; " h " &amp; MOD(LOGS_Rx5[[#This Row],[Duree_Panne_Min]],60) &amp; " min " &amp; "0 s"</f>
        <v>0 h 20 min 0 s</v>
      </c>
    </row>
    <row r="254" spans="1:11" x14ac:dyDescent="0.35">
      <c r="A254" s="1" t="s">
        <v>905</v>
      </c>
      <c r="B254" s="2">
        <v>45214.943055555559</v>
      </c>
      <c r="C254" s="1" t="s">
        <v>926</v>
      </c>
      <c r="D254">
        <v>16</v>
      </c>
      <c r="E254" s="1" t="s">
        <v>735</v>
      </c>
      <c r="F254" s="1" t="str">
        <f>VLOOKUP(C254,REGISTRE!B:G,2,FALSE)</f>
        <v>Haut-Lomami</v>
      </c>
      <c r="G254" s="1">
        <f>VLOOKUP(C254,REGISTRE!B:G,3,FALSE)</f>
        <v>1.210869</v>
      </c>
      <c r="H254" s="1">
        <f>VLOOKUP(C254,REGISTRE!B:G,4,FALSE)</f>
        <v>25.598741</v>
      </c>
      <c r="I254" s="1" t="str">
        <f>VLOOKUP(C254,REGISTRE!B:G,5,FALSE)</f>
        <v>4G</v>
      </c>
      <c r="J254" s="1" t="str">
        <f>VLOOKUP(C254,REGISTRE!B:G,6,FALSE)</f>
        <v>Ericsson</v>
      </c>
      <c r="K254" s="1" t="str">
        <f>INT(LOGS_Rx5[[#This Row],[Duree_Panne_Min]]/60) &amp; " h " &amp; MOD(LOGS_Rx5[[#This Row],[Duree_Panne_Min]],60) &amp; " min " &amp; "0 s"</f>
        <v>0 h 16 min 0 s</v>
      </c>
    </row>
    <row r="255" spans="1:11" x14ac:dyDescent="0.35">
      <c r="A255" s="1" t="s">
        <v>1091</v>
      </c>
      <c r="B255" s="2">
        <v>45210.926388888889</v>
      </c>
      <c r="C255" s="1" t="s">
        <v>926</v>
      </c>
      <c r="D255">
        <v>45</v>
      </c>
      <c r="E255" s="1" t="s">
        <v>738</v>
      </c>
      <c r="F255" s="1" t="str">
        <f>VLOOKUP(C255,REGISTRE!B:G,2,FALSE)</f>
        <v>Haut-Lomami</v>
      </c>
      <c r="G255" s="1">
        <f>VLOOKUP(C255,REGISTRE!B:G,3,FALSE)</f>
        <v>1.210869</v>
      </c>
      <c r="H255" s="1">
        <f>VLOOKUP(C255,REGISTRE!B:G,4,FALSE)</f>
        <v>25.598741</v>
      </c>
      <c r="I255" s="1" t="str">
        <f>VLOOKUP(C255,REGISTRE!B:G,5,FALSE)</f>
        <v>4G</v>
      </c>
      <c r="J255" s="1" t="str">
        <f>VLOOKUP(C255,REGISTRE!B:G,6,FALSE)</f>
        <v>Ericsson</v>
      </c>
      <c r="K255" s="1" t="str">
        <f>INT(LOGS_Rx5[[#This Row],[Duree_Panne_Min]]/60) &amp; " h " &amp; MOD(LOGS_Rx5[[#This Row],[Duree_Panne_Min]],60) &amp; " min " &amp; "0 s"</f>
        <v>0 h 45 min 0 s</v>
      </c>
    </row>
    <row r="256" spans="1:11" x14ac:dyDescent="0.35">
      <c r="A256" s="1" t="s">
        <v>1091</v>
      </c>
      <c r="B256" s="2">
        <v>45206.857638888891</v>
      </c>
      <c r="C256" s="1" t="s">
        <v>926</v>
      </c>
      <c r="D256">
        <v>45</v>
      </c>
      <c r="E256" s="1" t="s">
        <v>740</v>
      </c>
      <c r="F256" s="1" t="str">
        <f>VLOOKUP(C256,REGISTRE!B:G,2,FALSE)</f>
        <v>Haut-Lomami</v>
      </c>
      <c r="G256" s="1">
        <f>VLOOKUP(C256,REGISTRE!B:G,3,FALSE)</f>
        <v>1.210869</v>
      </c>
      <c r="H256" s="1">
        <f>VLOOKUP(C256,REGISTRE!B:G,4,FALSE)</f>
        <v>25.598741</v>
      </c>
      <c r="I256" s="1" t="str">
        <f>VLOOKUP(C256,REGISTRE!B:G,5,FALSE)</f>
        <v>4G</v>
      </c>
      <c r="J256" s="1" t="str">
        <f>VLOOKUP(C256,REGISTRE!B:G,6,FALSE)</f>
        <v>Ericsson</v>
      </c>
      <c r="K256" s="1" t="str">
        <f>INT(LOGS_Rx5[[#This Row],[Duree_Panne_Min]]/60) &amp; " h " &amp; MOD(LOGS_Rx5[[#This Row],[Duree_Panne_Min]],60) &amp; " min " &amp; "0 s"</f>
        <v>0 h 45 min 0 s</v>
      </c>
    </row>
    <row r="257" spans="1:11" x14ac:dyDescent="0.35">
      <c r="A257" s="1" t="s">
        <v>942</v>
      </c>
      <c r="B257" s="2">
        <v>45227.527083333327</v>
      </c>
      <c r="C257" s="1" t="s">
        <v>972</v>
      </c>
      <c r="D257">
        <v>107</v>
      </c>
      <c r="E257" s="1" t="s">
        <v>738</v>
      </c>
      <c r="F257" s="1" t="str">
        <f>VLOOKUP(C257,REGISTRE!B:G,2,FALSE)</f>
        <v>Tanganyika</v>
      </c>
      <c r="G257" s="1">
        <f>VLOOKUP(C257,REGISTRE!B:G,3,FALSE)</f>
        <v>-1.50664</v>
      </c>
      <c r="H257" s="1">
        <f>VLOOKUP(C257,REGISTRE!B:G,4,FALSE)</f>
        <v>27.795642000000001</v>
      </c>
      <c r="I257" s="1" t="str">
        <f>VLOOKUP(C257,REGISTRE!B:G,5,FALSE)</f>
        <v>5G</v>
      </c>
      <c r="J257" s="1" t="str">
        <f>VLOOKUP(C257,REGISTRE!B:G,6,FALSE)</f>
        <v>ZTE</v>
      </c>
      <c r="K257" s="1" t="str">
        <f>INT(LOGS_Rx5[[#This Row],[Duree_Panne_Min]]/60) &amp; " h " &amp; MOD(LOGS_Rx5[[#This Row],[Duree_Panne_Min]],60) &amp; " min " &amp; "0 s"</f>
        <v>1 h 47 min 0 s</v>
      </c>
    </row>
    <row r="258" spans="1:11" x14ac:dyDescent="0.35">
      <c r="A258" s="1" t="s">
        <v>1028</v>
      </c>
      <c r="B258" s="2">
        <v>45229.39166666667</v>
      </c>
      <c r="C258" s="1" t="s">
        <v>1042</v>
      </c>
      <c r="D258">
        <v>28</v>
      </c>
      <c r="E258" s="1" t="s">
        <v>740</v>
      </c>
      <c r="F258" s="1" t="str">
        <f>VLOOKUP(C258,REGISTRE!B:G,2,FALSE)</f>
        <v>Lualaba</v>
      </c>
      <c r="G258" s="1">
        <f>VLOOKUP(C258,REGISTRE!B:G,3,FALSE)</f>
        <v>-10.967288</v>
      </c>
      <c r="H258" s="1">
        <f>VLOOKUP(C258,REGISTRE!B:G,4,FALSE)</f>
        <v>17.617781000000001</v>
      </c>
      <c r="I258" s="1" t="str">
        <f>VLOOKUP(C258,REGISTRE!B:G,5,FALSE)</f>
        <v>4G</v>
      </c>
      <c r="J258" s="1" t="str">
        <f>VLOOKUP(C258,REGISTRE!B:G,6,FALSE)</f>
        <v>Ericsson</v>
      </c>
      <c r="K258" s="1" t="str">
        <f>INT(LOGS_Rx5[[#This Row],[Duree_Panne_Min]]/60) &amp; " h " &amp; MOD(LOGS_Rx5[[#This Row],[Duree_Panne_Min]],60) &amp; " min " &amp; "0 s"</f>
        <v>0 h 28 min 0 s</v>
      </c>
    </row>
    <row r="259" spans="1:11" x14ac:dyDescent="0.35">
      <c r="A259" s="1" t="s">
        <v>1171</v>
      </c>
      <c r="B259" s="2">
        <v>45216.183333333327</v>
      </c>
      <c r="C259" s="1" t="s">
        <v>1042</v>
      </c>
      <c r="D259">
        <v>67</v>
      </c>
      <c r="E259" s="1" t="s">
        <v>738</v>
      </c>
      <c r="F259" s="1" t="str">
        <f>VLOOKUP(C259,REGISTRE!B:G,2,FALSE)</f>
        <v>Lualaba</v>
      </c>
      <c r="G259" s="1">
        <f>VLOOKUP(C259,REGISTRE!B:G,3,FALSE)</f>
        <v>-10.967288</v>
      </c>
      <c r="H259" s="1">
        <f>VLOOKUP(C259,REGISTRE!B:G,4,FALSE)</f>
        <v>17.617781000000001</v>
      </c>
      <c r="I259" s="1" t="str">
        <f>VLOOKUP(C259,REGISTRE!B:G,5,FALSE)</f>
        <v>4G</v>
      </c>
      <c r="J259" s="1" t="str">
        <f>VLOOKUP(C259,REGISTRE!B:G,6,FALSE)</f>
        <v>Ericsson</v>
      </c>
      <c r="K259" s="1" t="str">
        <f>INT(LOGS_Rx5[[#This Row],[Duree_Panne_Min]]/60) &amp; " h " &amp; MOD(LOGS_Rx5[[#This Row],[Duree_Panne_Min]],60) &amp; " min " &amp; "0 s"</f>
        <v>1 h 7 min 0 s</v>
      </c>
    </row>
    <row r="260" spans="1:11" x14ac:dyDescent="0.35">
      <c r="A260" s="1" t="s">
        <v>1314</v>
      </c>
      <c r="B260" s="2">
        <v>45217.999305555553</v>
      </c>
      <c r="C260" s="1" t="s">
        <v>1042</v>
      </c>
      <c r="D260">
        <v>38</v>
      </c>
      <c r="E260" s="1" t="s">
        <v>738</v>
      </c>
      <c r="F260" s="1" t="str">
        <f>VLOOKUP(C260,REGISTRE!B:G,2,FALSE)</f>
        <v>Lualaba</v>
      </c>
      <c r="G260" s="1">
        <f>VLOOKUP(C260,REGISTRE!B:G,3,FALSE)</f>
        <v>-10.967288</v>
      </c>
      <c r="H260" s="1">
        <f>VLOOKUP(C260,REGISTRE!B:G,4,FALSE)</f>
        <v>17.617781000000001</v>
      </c>
      <c r="I260" s="1" t="str">
        <f>VLOOKUP(C260,REGISTRE!B:G,5,FALSE)</f>
        <v>4G</v>
      </c>
      <c r="J260" s="1" t="str">
        <f>VLOOKUP(C260,REGISTRE!B:G,6,FALSE)</f>
        <v>Ericsson</v>
      </c>
      <c r="K260" s="1" t="str">
        <f>INT(LOGS_Rx5[[#This Row],[Duree_Panne_Min]]/60) &amp; " h " &amp; MOD(LOGS_Rx5[[#This Row],[Duree_Panne_Min]],60) &amp; " min " &amp; "0 s"</f>
        <v>0 h 38 min 0 s</v>
      </c>
    </row>
    <row r="261" spans="1:11" x14ac:dyDescent="0.35">
      <c r="A261" s="1" t="s">
        <v>826</v>
      </c>
      <c r="B261" s="2">
        <v>45223.990972222222</v>
      </c>
      <c r="C261" s="1" t="s">
        <v>837</v>
      </c>
      <c r="D261">
        <v>23</v>
      </c>
      <c r="E261" s="1" t="s">
        <v>735</v>
      </c>
      <c r="F261" s="1" t="str">
        <f>VLOOKUP(C261,REGISTRE!B:G,2,FALSE)</f>
        <v>Sankuru</v>
      </c>
      <c r="G261" s="1">
        <f>VLOOKUP(C261,REGISTRE!B:G,3,FALSE)</f>
        <v>-8.0922239999999999</v>
      </c>
      <c r="H261" s="1">
        <f>VLOOKUP(C261,REGISTRE!B:G,4,FALSE)</f>
        <v>15.483708</v>
      </c>
      <c r="I261" s="1" t="str">
        <f>VLOOKUP(C261,REGISTRE!B:G,5,FALSE)</f>
        <v>5G</v>
      </c>
      <c r="J261" s="1" t="str">
        <f>VLOOKUP(C261,REGISTRE!B:G,6,FALSE)</f>
        <v>Nokia</v>
      </c>
      <c r="K261" s="1" t="str">
        <f>INT(LOGS_Rx5[[#This Row],[Duree_Panne_Min]]/60) &amp; " h " &amp; MOD(LOGS_Rx5[[#This Row],[Duree_Panne_Min]],60) &amp; " min " &amp; "0 s"</f>
        <v>0 h 23 min 0 s</v>
      </c>
    </row>
    <row r="262" spans="1:11" x14ac:dyDescent="0.35">
      <c r="A262" s="1" t="s">
        <v>733</v>
      </c>
      <c r="B262" s="2">
        <v>45218.368750000001</v>
      </c>
      <c r="C262" s="1" t="s">
        <v>748</v>
      </c>
      <c r="D262">
        <v>70</v>
      </c>
      <c r="E262" s="1" t="s">
        <v>735</v>
      </c>
      <c r="F262" s="1" t="str">
        <f>VLOOKUP(C262,REGISTRE!B:G,2,FALSE)</f>
        <v>Lomami</v>
      </c>
      <c r="G262" s="1">
        <f>VLOOKUP(C262,REGISTRE!B:G,3,FALSE)</f>
        <v>-8.4227860000000003</v>
      </c>
      <c r="H262" s="1">
        <f>VLOOKUP(C262,REGISTRE!B:G,4,FALSE)</f>
        <v>16.781293000000002</v>
      </c>
      <c r="I262" s="1" t="str">
        <f>VLOOKUP(C262,REGISTRE!B:G,5,FALSE)</f>
        <v>4G</v>
      </c>
      <c r="J262" s="1" t="str">
        <f>VLOOKUP(C262,REGISTRE!B:G,6,FALSE)</f>
        <v>Huawei</v>
      </c>
      <c r="K262" s="1" t="str">
        <f>INT(LOGS_Rx5[[#This Row],[Duree_Panne_Min]]/60) &amp; " h " &amp; MOD(LOGS_Rx5[[#This Row],[Duree_Panne_Min]],60) &amp; " min " &amp; "0 s"</f>
        <v>1 h 10 min 0 s</v>
      </c>
    </row>
    <row r="263" spans="1:11" x14ac:dyDescent="0.35">
      <c r="A263" s="1" t="s">
        <v>733</v>
      </c>
      <c r="B263" s="2">
        <v>45208.073611111111</v>
      </c>
      <c r="C263" s="1" t="s">
        <v>748</v>
      </c>
      <c r="D263">
        <v>85</v>
      </c>
      <c r="E263" s="1" t="s">
        <v>738</v>
      </c>
      <c r="F263" s="1" t="str">
        <f>VLOOKUP(C263,REGISTRE!B:G,2,FALSE)</f>
        <v>Lomami</v>
      </c>
      <c r="G263" s="1">
        <f>VLOOKUP(C263,REGISTRE!B:G,3,FALSE)</f>
        <v>-8.4227860000000003</v>
      </c>
      <c r="H263" s="1">
        <f>VLOOKUP(C263,REGISTRE!B:G,4,FALSE)</f>
        <v>16.781293000000002</v>
      </c>
      <c r="I263" s="1" t="str">
        <f>VLOOKUP(C263,REGISTRE!B:G,5,FALSE)</f>
        <v>4G</v>
      </c>
      <c r="J263" s="1" t="str">
        <f>VLOOKUP(C263,REGISTRE!B:G,6,FALSE)</f>
        <v>Huawei</v>
      </c>
      <c r="K263" s="1" t="str">
        <f>INT(LOGS_Rx5[[#This Row],[Duree_Panne_Min]]/60) &amp; " h " &amp; MOD(LOGS_Rx5[[#This Row],[Duree_Panne_Min]],60) &amp; " min " &amp; "0 s"</f>
        <v>1 h 25 min 0 s</v>
      </c>
    </row>
    <row r="264" spans="1:11" x14ac:dyDescent="0.35">
      <c r="A264" s="1" t="s">
        <v>1368</v>
      </c>
      <c r="B264" s="2">
        <v>45214.23541666667</v>
      </c>
      <c r="C264" s="1" t="s">
        <v>1378</v>
      </c>
      <c r="D264">
        <v>33</v>
      </c>
      <c r="E264" s="1" t="s">
        <v>735</v>
      </c>
      <c r="F264" s="1" t="str">
        <f>VLOOKUP(C264,REGISTRE!B:G,2,FALSE)</f>
        <v>Maniema</v>
      </c>
      <c r="G264" s="1">
        <f>VLOOKUP(C264,REGISTRE!B:G,3,FALSE)</f>
        <v>-10.318835</v>
      </c>
      <c r="H264" s="1">
        <f>VLOOKUP(C264,REGISTRE!B:G,4,FALSE)</f>
        <v>21.252382000000001</v>
      </c>
      <c r="I264" s="1" t="str">
        <f>VLOOKUP(C264,REGISTRE!B:G,5,FALSE)</f>
        <v>4G</v>
      </c>
      <c r="J264" s="1" t="str">
        <f>VLOOKUP(C264,REGISTRE!B:G,6,FALSE)</f>
        <v>Ericsson</v>
      </c>
      <c r="K264" s="1" t="str">
        <f>INT(LOGS_Rx5[[#This Row],[Duree_Panne_Min]]/60) &amp; " h " &amp; MOD(LOGS_Rx5[[#This Row],[Duree_Panne_Min]],60) &amp; " min " &amp; "0 s"</f>
        <v>0 h 33 min 0 s</v>
      </c>
    </row>
    <row r="265" spans="1:11" x14ac:dyDescent="0.35">
      <c r="A265" s="1" t="s">
        <v>1002</v>
      </c>
      <c r="B265" s="2">
        <v>45207.526388888888</v>
      </c>
      <c r="C265" s="1" t="s">
        <v>1027</v>
      </c>
      <c r="D265">
        <v>78</v>
      </c>
      <c r="E265" s="1" t="s">
        <v>740</v>
      </c>
      <c r="F265" s="1" t="str">
        <f>VLOOKUP(C265,REGISTRE!B:G,2,FALSE)</f>
        <v>Haut-Katanga</v>
      </c>
      <c r="G265" s="1">
        <f>VLOOKUP(C265,REGISTRE!B:G,3,FALSE)</f>
        <v>-9.4229749999999992</v>
      </c>
      <c r="H265" s="1">
        <f>VLOOKUP(C265,REGISTRE!B:G,4,FALSE)</f>
        <v>29.375005999999999</v>
      </c>
      <c r="I265" s="1" t="str">
        <f>VLOOKUP(C265,REGISTRE!B:G,5,FALSE)</f>
        <v>3G</v>
      </c>
      <c r="J265" s="1" t="str">
        <f>VLOOKUP(C265,REGISTRE!B:G,6,FALSE)</f>
        <v>Ericsson</v>
      </c>
      <c r="K265" s="1" t="str">
        <f>INT(LOGS_Rx5[[#This Row],[Duree_Panne_Min]]/60) &amp; " h " &amp; MOD(LOGS_Rx5[[#This Row],[Duree_Panne_Min]],60) &amp; " min " &amp; "0 s"</f>
        <v>1 h 18 min 0 s</v>
      </c>
    </row>
    <row r="266" spans="1:11" x14ac:dyDescent="0.35">
      <c r="A266" s="1" t="s">
        <v>1225</v>
      </c>
      <c r="B266" s="2">
        <v>45202.376388888893</v>
      </c>
      <c r="C266" s="1" t="s">
        <v>1232</v>
      </c>
      <c r="D266">
        <v>28</v>
      </c>
      <c r="E266" s="1" t="s">
        <v>735</v>
      </c>
      <c r="F266" s="1" t="str">
        <f>VLOOKUP(C266,REGISTRE!B:G,2,FALSE)</f>
        <v>Kwilu</v>
      </c>
      <c r="G266" s="1">
        <f>VLOOKUP(C266,REGISTRE!B:G,3,FALSE)</f>
        <v>-7.402336</v>
      </c>
      <c r="H266" s="1">
        <f>VLOOKUP(C266,REGISTRE!B:G,4,FALSE)</f>
        <v>27.376697</v>
      </c>
      <c r="I266" s="1" t="str">
        <f>VLOOKUP(C266,REGISTRE!B:G,5,FALSE)</f>
        <v>4G</v>
      </c>
      <c r="J266" s="1" t="str">
        <f>VLOOKUP(C266,REGISTRE!B:G,6,FALSE)</f>
        <v>Huawei</v>
      </c>
      <c r="K266" s="1" t="str">
        <f>INT(LOGS_Rx5[[#This Row],[Duree_Panne_Min]]/60) &amp; " h " &amp; MOD(LOGS_Rx5[[#This Row],[Duree_Panne_Min]],60) &amp; " min " &amp; "0 s"</f>
        <v>0 h 28 min 0 s</v>
      </c>
    </row>
    <row r="267" spans="1:11" x14ac:dyDescent="0.35">
      <c r="A267" s="1" t="s">
        <v>1336</v>
      </c>
      <c r="B267" s="2">
        <v>45212.447222222218</v>
      </c>
      <c r="C267" s="1" t="s">
        <v>1232</v>
      </c>
      <c r="D267">
        <v>88</v>
      </c>
      <c r="E267" s="1" t="s">
        <v>738</v>
      </c>
      <c r="F267" s="1" t="str">
        <f>VLOOKUP(C267,REGISTRE!B:G,2,FALSE)</f>
        <v>Kwilu</v>
      </c>
      <c r="G267" s="1">
        <f>VLOOKUP(C267,REGISTRE!B:G,3,FALSE)</f>
        <v>-7.402336</v>
      </c>
      <c r="H267" s="1">
        <f>VLOOKUP(C267,REGISTRE!B:G,4,FALSE)</f>
        <v>27.376697</v>
      </c>
      <c r="I267" s="1" t="str">
        <f>VLOOKUP(C267,REGISTRE!B:G,5,FALSE)</f>
        <v>4G</v>
      </c>
      <c r="J267" s="1" t="str">
        <f>VLOOKUP(C267,REGISTRE!B:G,6,FALSE)</f>
        <v>Huawei</v>
      </c>
      <c r="K267" s="1" t="str">
        <f>INT(LOGS_Rx5[[#This Row],[Duree_Panne_Min]]/60) &amp; " h " &amp; MOD(LOGS_Rx5[[#This Row],[Duree_Panne_Min]],60) &amp; " min " &amp; "0 s"</f>
        <v>1 h 28 min 0 s</v>
      </c>
    </row>
    <row r="268" spans="1:11" x14ac:dyDescent="0.35">
      <c r="A268" s="1" t="s">
        <v>1351</v>
      </c>
      <c r="B268" s="2">
        <v>45203.522222222222</v>
      </c>
      <c r="C268" s="1" t="s">
        <v>1232</v>
      </c>
      <c r="D268">
        <v>11</v>
      </c>
      <c r="E268" s="1" t="s">
        <v>738</v>
      </c>
      <c r="F268" s="1" t="str">
        <f>VLOOKUP(C268,REGISTRE!B:G,2,FALSE)</f>
        <v>Kwilu</v>
      </c>
      <c r="G268" s="1">
        <f>VLOOKUP(C268,REGISTRE!B:G,3,FALSE)</f>
        <v>-7.402336</v>
      </c>
      <c r="H268" s="1">
        <f>VLOOKUP(C268,REGISTRE!B:G,4,FALSE)</f>
        <v>27.376697</v>
      </c>
      <c r="I268" s="1" t="str">
        <f>VLOOKUP(C268,REGISTRE!B:G,5,FALSE)</f>
        <v>4G</v>
      </c>
      <c r="J268" s="1" t="str">
        <f>VLOOKUP(C268,REGISTRE!B:G,6,FALSE)</f>
        <v>Huawei</v>
      </c>
      <c r="K268" s="1" t="str">
        <f>INT(LOGS_Rx5[[#This Row],[Duree_Panne_Min]]/60) &amp; " h " &amp; MOD(LOGS_Rx5[[#This Row],[Duree_Panne_Min]],60) &amp; " min " &amp; "0 s"</f>
        <v>0 h 11 min 0 s</v>
      </c>
    </row>
    <row r="269" spans="1:11" x14ac:dyDescent="0.35">
      <c r="A269" s="1" t="s">
        <v>1063</v>
      </c>
      <c r="B269" s="2">
        <v>45220.15902777778</v>
      </c>
      <c r="C269" s="1" t="s">
        <v>1078</v>
      </c>
      <c r="D269">
        <v>60</v>
      </c>
      <c r="E269" s="1" t="s">
        <v>740</v>
      </c>
      <c r="F269" s="1" t="str">
        <f>VLOOKUP(C269,REGISTRE!B:G,2,FALSE)</f>
        <v>Tshopo</v>
      </c>
      <c r="G269" s="1">
        <f>VLOOKUP(C269,REGISTRE!B:G,3,FALSE)</f>
        <v>-9.4133639999999996</v>
      </c>
      <c r="H269" s="1">
        <f>VLOOKUP(C269,REGISTRE!B:G,4,FALSE)</f>
        <v>15.682482</v>
      </c>
      <c r="I269" s="1" t="str">
        <f>VLOOKUP(C269,REGISTRE!B:G,5,FALSE)</f>
        <v>4G</v>
      </c>
      <c r="J269" s="1" t="str">
        <f>VLOOKUP(C269,REGISTRE!B:G,6,FALSE)</f>
        <v>Huawei</v>
      </c>
      <c r="K269" s="1" t="str">
        <f>INT(LOGS_Rx5[[#This Row],[Duree_Panne_Min]]/60) &amp; " h " &amp; MOD(LOGS_Rx5[[#This Row],[Duree_Panne_Min]],60) &amp; " min " &amp; "0 s"</f>
        <v>1 h 0 min 0 s</v>
      </c>
    </row>
    <row r="270" spans="1:11" x14ac:dyDescent="0.35">
      <c r="A270" s="1" t="s">
        <v>905</v>
      </c>
      <c r="B270" s="2">
        <v>45218.378472222219</v>
      </c>
      <c r="C270" s="1" t="s">
        <v>912</v>
      </c>
      <c r="D270">
        <v>102</v>
      </c>
      <c r="E270" s="1" t="s">
        <v>735</v>
      </c>
      <c r="F270" s="1" t="str">
        <f>VLOOKUP(C270,REGISTRE!B:G,2,FALSE)</f>
        <v>Kasai-Central</v>
      </c>
      <c r="G270" s="1">
        <f>VLOOKUP(C270,REGISTRE!B:G,3,FALSE)</f>
        <v>-4.4451280000000004</v>
      </c>
      <c r="H270" s="1">
        <f>VLOOKUP(C270,REGISTRE!B:G,4,FALSE)</f>
        <v>16.536944999999999</v>
      </c>
      <c r="I270" s="1" t="str">
        <f>VLOOKUP(C270,REGISTRE!B:G,5,FALSE)</f>
        <v>4G</v>
      </c>
      <c r="J270" s="1" t="str">
        <f>VLOOKUP(C270,REGISTRE!B:G,6,FALSE)</f>
        <v>Ericsson</v>
      </c>
      <c r="K270" s="1" t="str">
        <f>INT(LOGS_Rx5[[#This Row],[Duree_Panne_Min]]/60) &amp; " h " &amp; MOD(LOGS_Rx5[[#This Row],[Duree_Panne_Min]],60) &amp; " min " &amp; "0 s"</f>
        <v>1 h 42 min 0 s</v>
      </c>
    </row>
    <row r="271" spans="1:11" x14ac:dyDescent="0.35">
      <c r="A271" s="1" t="s">
        <v>1389</v>
      </c>
      <c r="B271" s="2">
        <v>45221.772222222222</v>
      </c>
      <c r="C271" s="1" t="s">
        <v>912</v>
      </c>
      <c r="D271">
        <v>107</v>
      </c>
      <c r="E271" s="1" t="s">
        <v>735</v>
      </c>
      <c r="F271" s="1" t="str">
        <f>VLOOKUP(C271,REGISTRE!B:G,2,FALSE)</f>
        <v>Kasai-Central</v>
      </c>
      <c r="G271" s="1">
        <f>VLOOKUP(C271,REGISTRE!B:G,3,FALSE)</f>
        <v>-4.4451280000000004</v>
      </c>
      <c r="H271" s="1">
        <f>VLOOKUP(C271,REGISTRE!B:G,4,FALSE)</f>
        <v>16.536944999999999</v>
      </c>
      <c r="I271" s="1" t="str">
        <f>VLOOKUP(C271,REGISTRE!B:G,5,FALSE)</f>
        <v>4G</v>
      </c>
      <c r="J271" s="1" t="str">
        <f>VLOOKUP(C271,REGISTRE!B:G,6,FALSE)</f>
        <v>Ericsson</v>
      </c>
      <c r="K271" s="1" t="str">
        <f>INT(LOGS_Rx5[[#This Row],[Duree_Panne_Min]]/60) &amp; " h " &amp; MOD(LOGS_Rx5[[#This Row],[Duree_Panne_Min]],60) &amp; " min " &amp; "0 s"</f>
        <v>1 h 47 min 0 s</v>
      </c>
    </row>
    <row r="272" spans="1:11" x14ac:dyDescent="0.35">
      <c r="A272" s="1" t="s">
        <v>1028</v>
      </c>
      <c r="B272" s="2">
        <v>45230.26458333333</v>
      </c>
      <c r="C272" s="1" t="s">
        <v>1058</v>
      </c>
      <c r="D272">
        <v>62</v>
      </c>
      <c r="E272" s="1" t="s">
        <v>735</v>
      </c>
      <c r="F272" s="1" t="str">
        <f>VLOOKUP(C272,REGISTRE!B:G,2,FALSE)</f>
        <v>Mongala</v>
      </c>
      <c r="G272" s="1">
        <f>VLOOKUP(C272,REGISTRE!B:G,3,FALSE)</f>
        <v>3.6344850000000002</v>
      </c>
      <c r="H272" s="1">
        <f>VLOOKUP(C272,REGISTRE!B:G,4,FALSE)</f>
        <v>12.158348999999999</v>
      </c>
      <c r="I272" s="1" t="str">
        <f>VLOOKUP(C272,REGISTRE!B:G,5,FALSE)</f>
        <v>5G</v>
      </c>
      <c r="J272" s="1" t="str">
        <f>VLOOKUP(C272,REGISTRE!B:G,6,FALSE)</f>
        <v>Ericsson</v>
      </c>
      <c r="K272" s="1" t="str">
        <f>INT(LOGS_Rx5[[#This Row],[Duree_Panne_Min]]/60) &amp; " h " &amp; MOD(LOGS_Rx5[[#This Row],[Duree_Panne_Min]],60) &amp; " min " &amp; "0 s"</f>
        <v>1 h 2 min 0 s</v>
      </c>
    </row>
    <row r="273" spans="1:11" x14ac:dyDescent="0.35">
      <c r="A273" s="1" t="s">
        <v>864</v>
      </c>
      <c r="B273" s="2">
        <v>45204.59097222222</v>
      </c>
      <c r="C273" s="1" t="s">
        <v>872</v>
      </c>
      <c r="D273">
        <v>108</v>
      </c>
      <c r="E273" s="1" t="s">
        <v>738</v>
      </c>
      <c r="F273" s="1" t="str">
        <f>VLOOKUP(C273,REGISTRE!B:G,2,FALSE)</f>
        <v>Kwilu</v>
      </c>
      <c r="G273" s="1">
        <f>VLOOKUP(C273,REGISTRE!B:G,3,FALSE)</f>
        <v>-8.5675749999999997</v>
      </c>
      <c r="H273" s="1">
        <f>VLOOKUP(C273,REGISTRE!B:G,4,FALSE)</f>
        <v>26.994581</v>
      </c>
      <c r="I273" s="1" t="str">
        <f>VLOOKUP(C273,REGISTRE!B:G,5,FALSE)</f>
        <v>3G</v>
      </c>
      <c r="J273" s="1" t="str">
        <f>VLOOKUP(C273,REGISTRE!B:G,6,FALSE)</f>
        <v>Nokia</v>
      </c>
      <c r="K273" s="1" t="str">
        <f>INT(LOGS_Rx5[[#This Row],[Duree_Panne_Min]]/60) &amp; " h " &amp; MOD(LOGS_Rx5[[#This Row],[Duree_Panne_Min]],60) &amp; " min " &amp; "0 s"</f>
        <v>1 h 48 min 0 s</v>
      </c>
    </row>
    <row r="274" spans="1:11" x14ac:dyDescent="0.35">
      <c r="A274" s="1" t="s">
        <v>1314</v>
      </c>
      <c r="B274" s="2">
        <v>45207.127083333333</v>
      </c>
      <c r="C274" s="1" t="s">
        <v>872</v>
      </c>
      <c r="D274">
        <v>38</v>
      </c>
      <c r="E274" s="1" t="s">
        <v>735</v>
      </c>
      <c r="F274" s="1" t="str">
        <f>VLOOKUP(C274,REGISTRE!B:G,2,FALSE)</f>
        <v>Kwilu</v>
      </c>
      <c r="G274" s="1">
        <f>VLOOKUP(C274,REGISTRE!B:G,3,FALSE)</f>
        <v>-8.5675749999999997</v>
      </c>
      <c r="H274" s="1">
        <f>VLOOKUP(C274,REGISTRE!B:G,4,FALSE)</f>
        <v>26.994581</v>
      </c>
      <c r="I274" s="1" t="str">
        <f>VLOOKUP(C274,REGISTRE!B:G,5,FALSE)</f>
        <v>3G</v>
      </c>
      <c r="J274" s="1" t="str">
        <f>VLOOKUP(C274,REGISTRE!B:G,6,FALSE)</f>
        <v>Nokia</v>
      </c>
      <c r="K274" s="1" t="str">
        <f>INT(LOGS_Rx5[[#This Row],[Duree_Panne_Min]]/60) &amp; " h " &amp; MOD(LOGS_Rx5[[#This Row],[Duree_Panne_Min]],60) &amp; " min " &amp; "0 s"</f>
        <v>0 h 38 min 0 s</v>
      </c>
    </row>
    <row r="275" spans="1:11" x14ac:dyDescent="0.35">
      <c r="A275" s="1" t="s">
        <v>1336</v>
      </c>
      <c r="B275" s="2">
        <v>45217.473611111112</v>
      </c>
      <c r="C275" s="1" t="s">
        <v>872</v>
      </c>
      <c r="D275">
        <v>37</v>
      </c>
      <c r="E275" s="1" t="s">
        <v>740</v>
      </c>
      <c r="F275" s="1" t="str">
        <f>VLOOKUP(C275,REGISTRE!B:G,2,FALSE)</f>
        <v>Kwilu</v>
      </c>
      <c r="G275" s="1">
        <f>VLOOKUP(C275,REGISTRE!B:G,3,FALSE)</f>
        <v>-8.5675749999999997</v>
      </c>
      <c r="H275" s="1">
        <f>VLOOKUP(C275,REGISTRE!B:G,4,FALSE)</f>
        <v>26.994581</v>
      </c>
      <c r="I275" s="1" t="str">
        <f>VLOOKUP(C275,REGISTRE!B:G,5,FALSE)</f>
        <v>3G</v>
      </c>
      <c r="J275" s="1" t="str">
        <f>VLOOKUP(C275,REGISTRE!B:G,6,FALSE)</f>
        <v>Nokia</v>
      </c>
      <c r="K275" s="1" t="str">
        <f>INT(LOGS_Rx5[[#This Row],[Duree_Panne_Min]]/60) &amp; " h " &amp; MOD(LOGS_Rx5[[#This Row],[Duree_Panne_Min]],60) &amp; " min " &amp; "0 s"</f>
        <v>0 h 37 min 0 s</v>
      </c>
    </row>
    <row r="276" spans="1:11" x14ac:dyDescent="0.35">
      <c r="A276" s="1" t="s">
        <v>905</v>
      </c>
      <c r="B276" s="2">
        <v>45206.362500000003</v>
      </c>
      <c r="C276" s="1" t="s">
        <v>922</v>
      </c>
      <c r="D276">
        <v>60</v>
      </c>
      <c r="E276" s="1" t="s">
        <v>740</v>
      </c>
      <c r="F276" s="1" t="str">
        <f>VLOOKUP(C276,REGISTRE!B:G,2,FALSE)</f>
        <v>Maniema</v>
      </c>
      <c r="G276" s="1">
        <f>VLOOKUP(C276,REGISTRE!B:G,3,FALSE)</f>
        <v>-4.2645619999999997</v>
      </c>
      <c r="H276" s="1">
        <f>VLOOKUP(C276,REGISTRE!B:G,4,FALSE)</f>
        <v>18.960726000000001</v>
      </c>
      <c r="I276" s="1" t="str">
        <f>VLOOKUP(C276,REGISTRE!B:G,5,FALSE)</f>
        <v>4G</v>
      </c>
      <c r="J276" s="1" t="str">
        <f>VLOOKUP(C276,REGISTRE!B:G,6,FALSE)</f>
        <v>Huawei</v>
      </c>
      <c r="K276" s="1" t="str">
        <f>INT(LOGS_Rx5[[#This Row],[Duree_Panne_Min]]/60) &amp; " h " &amp; MOD(LOGS_Rx5[[#This Row],[Duree_Panne_Min]],60) &amp; " min " &amp; "0 s"</f>
        <v>1 h 0 min 0 s</v>
      </c>
    </row>
    <row r="277" spans="1:11" x14ac:dyDescent="0.35">
      <c r="A277" s="1" t="s">
        <v>1247</v>
      </c>
      <c r="B277" s="2">
        <v>45210.38958333333</v>
      </c>
      <c r="C277" s="1" t="s">
        <v>922</v>
      </c>
      <c r="D277">
        <v>85</v>
      </c>
      <c r="E277" s="1" t="s">
        <v>735</v>
      </c>
      <c r="F277" s="1" t="str">
        <f>VLOOKUP(C277,REGISTRE!B:G,2,FALSE)</f>
        <v>Maniema</v>
      </c>
      <c r="G277" s="1">
        <f>VLOOKUP(C277,REGISTRE!B:G,3,FALSE)</f>
        <v>-4.2645619999999997</v>
      </c>
      <c r="H277" s="1">
        <f>VLOOKUP(C277,REGISTRE!B:G,4,FALSE)</f>
        <v>18.960726000000001</v>
      </c>
      <c r="I277" s="1" t="str">
        <f>VLOOKUP(C277,REGISTRE!B:G,5,FALSE)</f>
        <v>4G</v>
      </c>
      <c r="J277" s="1" t="str">
        <f>VLOOKUP(C277,REGISTRE!B:G,6,FALSE)</f>
        <v>Huawei</v>
      </c>
      <c r="K277" s="1" t="str">
        <f>INT(LOGS_Rx5[[#This Row],[Duree_Panne_Min]]/60) &amp; " h " &amp; MOD(LOGS_Rx5[[#This Row],[Duree_Panne_Min]],60) &amp; " min " &amp; "0 s"</f>
        <v>1 h 25 min 0 s</v>
      </c>
    </row>
    <row r="278" spans="1:11" x14ac:dyDescent="0.35">
      <c r="A278" s="1" t="s">
        <v>1267</v>
      </c>
      <c r="B278" s="2">
        <v>45216.094444444447</v>
      </c>
      <c r="C278" s="1" t="s">
        <v>1276</v>
      </c>
      <c r="D278">
        <v>74</v>
      </c>
      <c r="E278" s="1" t="s">
        <v>735</v>
      </c>
      <c r="F278" s="1" t="str">
        <f>VLOOKUP(C278,REGISTRE!B:G,2,FALSE)</f>
        <v>Lomami</v>
      </c>
      <c r="G278" s="1">
        <f>VLOOKUP(C278,REGISTRE!B:G,3,FALSE)</f>
        <v>4.8265669999999998</v>
      </c>
      <c r="H278" s="1">
        <f>VLOOKUP(C278,REGISTRE!B:G,4,FALSE)</f>
        <v>28.535277000000001</v>
      </c>
      <c r="I278" s="1" t="str">
        <f>VLOOKUP(C278,REGISTRE!B:G,5,FALSE)</f>
        <v>3G</v>
      </c>
      <c r="J278" s="1" t="str">
        <f>VLOOKUP(C278,REGISTRE!B:G,6,FALSE)</f>
        <v>Huawei</v>
      </c>
      <c r="K278" s="1" t="str">
        <f>INT(LOGS_Rx5[[#This Row],[Duree_Panne_Min]]/60) &amp; " h " &amp; MOD(LOGS_Rx5[[#This Row],[Duree_Panne_Min]],60) &amp; " min " &amp; "0 s"</f>
        <v>1 h 14 min 0 s</v>
      </c>
    </row>
    <row r="279" spans="1:11" x14ac:dyDescent="0.35">
      <c r="A279" s="1" t="s">
        <v>1351</v>
      </c>
      <c r="B279" s="2">
        <v>45213.518750000003</v>
      </c>
      <c r="C279" s="1" t="s">
        <v>1276</v>
      </c>
      <c r="D279">
        <v>88</v>
      </c>
      <c r="E279" s="1" t="s">
        <v>738</v>
      </c>
      <c r="F279" s="1" t="str">
        <f>VLOOKUP(C279,REGISTRE!B:G,2,FALSE)</f>
        <v>Lomami</v>
      </c>
      <c r="G279" s="1">
        <f>VLOOKUP(C279,REGISTRE!B:G,3,FALSE)</f>
        <v>4.8265669999999998</v>
      </c>
      <c r="H279" s="1">
        <f>VLOOKUP(C279,REGISTRE!B:G,4,FALSE)</f>
        <v>28.535277000000001</v>
      </c>
      <c r="I279" s="1" t="str">
        <f>VLOOKUP(C279,REGISTRE!B:G,5,FALSE)</f>
        <v>3G</v>
      </c>
      <c r="J279" s="1" t="str">
        <f>VLOOKUP(C279,REGISTRE!B:G,6,FALSE)</f>
        <v>Huawei</v>
      </c>
      <c r="K279" s="1" t="str">
        <f>INT(LOGS_Rx5[[#This Row],[Duree_Panne_Min]]/60) &amp; " h " &amp; MOD(LOGS_Rx5[[#This Row],[Duree_Panne_Min]],60) &amp; " min " &amp; "0 s"</f>
        <v>1 h 28 min 0 s</v>
      </c>
    </row>
    <row r="280" spans="1:11" x14ac:dyDescent="0.35">
      <c r="A280" s="1" t="s">
        <v>826</v>
      </c>
      <c r="B280" s="2">
        <v>45225.965277777781</v>
      </c>
      <c r="C280" s="1" t="s">
        <v>855</v>
      </c>
      <c r="D280">
        <v>36</v>
      </c>
      <c r="E280" s="1" t="s">
        <v>735</v>
      </c>
      <c r="F280" s="1" t="str">
        <f>VLOOKUP(C280,REGISTRE!B:G,2,FALSE)</f>
        <v>Tanganyika</v>
      </c>
      <c r="G280" s="1">
        <f>VLOOKUP(C280,REGISTRE!B:G,3,FALSE)</f>
        <v>-9.002459</v>
      </c>
      <c r="H280" s="1">
        <f>VLOOKUP(C280,REGISTRE!B:G,4,FALSE)</f>
        <v>25.182109000000001</v>
      </c>
      <c r="I280" s="1" t="str">
        <f>VLOOKUP(C280,REGISTRE!B:G,5,FALSE)</f>
        <v>5G</v>
      </c>
      <c r="J280" s="1" t="str">
        <f>VLOOKUP(C280,REGISTRE!B:G,6,FALSE)</f>
        <v>Huawei</v>
      </c>
      <c r="K280" s="1" t="str">
        <f>INT(LOGS_Rx5[[#This Row],[Duree_Panne_Min]]/60) &amp; " h " &amp; MOD(LOGS_Rx5[[#This Row],[Duree_Panne_Min]],60) &amp; " min " &amp; "0 s"</f>
        <v>0 h 36 min 0 s</v>
      </c>
    </row>
    <row r="281" spans="1:11" x14ac:dyDescent="0.35">
      <c r="A281" s="1" t="s">
        <v>1389</v>
      </c>
      <c r="B281" s="2">
        <v>45220.724999999999</v>
      </c>
      <c r="C281" s="1" t="s">
        <v>855</v>
      </c>
      <c r="D281">
        <v>28</v>
      </c>
      <c r="E281" s="1" t="s">
        <v>740</v>
      </c>
      <c r="F281" s="1" t="str">
        <f>VLOOKUP(C281,REGISTRE!B:G,2,FALSE)</f>
        <v>Tanganyika</v>
      </c>
      <c r="G281" s="1">
        <f>VLOOKUP(C281,REGISTRE!B:G,3,FALSE)</f>
        <v>-9.002459</v>
      </c>
      <c r="H281" s="1">
        <f>VLOOKUP(C281,REGISTRE!B:G,4,FALSE)</f>
        <v>25.182109000000001</v>
      </c>
      <c r="I281" s="1" t="str">
        <f>VLOOKUP(C281,REGISTRE!B:G,5,FALSE)</f>
        <v>5G</v>
      </c>
      <c r="J281" s="1" t="str">
        <f>VLOOKUP(C281,REGISTRE!B:G,6,FALSE)</f>
        <v>Huawei</v>
      </c>
      <c r="K281" s="1" t="str">
        <f>INT(LOGS_Rx5[[#This Row],[Duree_Panne_Min]]/60) &amp; " h " &amp; MOD(LOGS_Rx5[[#This Row],[Duree_Panne_Min]],60) &amp; " min " &amp; "0 s"</f>
        <v>0 h 28 min 0 s</v>
      </c>
    </row>
    <row r="282" spans="1:11" x14ac:dyDescent="0.35">
      <c r="A282" s="1" t="s">
        <v>1314</v>
      </c>
      <c r="B282" s="2">
        <v>45228.515277777777</v>
      </c>
      <c r="C282" s="1" t="s">
        <v>1324</v>
      </c>
      <c r="D282">
        <v>105</v>
      </c>
      <c r="E282" s="1" t="s">
        <v>735</v>
      </c>
      <c r="F282" s="1" t="str">
        <f>VLOOKUP(C282,REGISTRE!B:G,2,FALSE)</f>
        <v>Tshopo</v>
      </c>
      <c r="G282" s="1">
        <f>VLOOKUP(C282,REGISTRE!B:G,3,FALSE)</f>
        <v>-0.919767</v>
      </c>
      <c r="H282" s="1">
        <f>VLOOKUP(C282,REGISTRE!B:G,4,FALSE)</f>
        <v>18.905538</v>
      </c>
      <c r="I282" s="1" t="str">
        <f>VLOOKUP(C282,REGISTRE!B:G,5,FALSE)</f>
        <v>5G</v>
      </c>
      <c r="J282" s="1" t="str">
        <f>VLOOKUP(C282,REGISTRE!B:G,6,FALSE)</f>
        <v>Ericsson</v>
      </c>
      <c r="K282" s="1" t="str">
        <f>INT(LOGS_Rx5[[#This Row],[Duree_Panne_Min]]/60) &amp; " h " &amp; MOD(LOGS_Rx5[[#This Row],[Duree_Panne_Min]],60) &amp; " min " &amp; "0 s"</f>
        <v>1 h 45 min 0 s</v>
      </c>
    </row>
    <row r="283" spans="1:11" x14ac:dyDescent="0.35">
      <c r="A283" s="1" t="s">
        <v>1171</v>
      </c>
      <c r="B283" s="2">
        <v>45205.729166666657</v>
      </c>
      <c r="C283" s="1" t="s">
        <v>1175</v>
      </c>
      <c r="D283">
        <v>106</v>
      </c>
      <c r="E283" s="1" t="s">
        <v>740</v>
      </c>
      <c r="F283" s="1" t="str">
        <f>VLOOKUP(C283,REGISTRE!B:G,2,FALSE)</f>
        <v>Haut-Katanga</v>
      </c>
      <c r="G283" s="1">
        <f>VLOOKUP(C283,REGISTRE!B:G,3,FALSE)</f>
        <v>-4.4958720000000003</v>
      </c>
      <c r="H283" s="1">
        <f>VLOOKUP(C283,REGISTRE!B:G,4,FALSE)</f>
        <v>18.514112000000001</v>
      </c>
      <c r="I283" s="1" t="str">
        <f>VLOOKUP(C283,REGISTRE!B:G,5,FALSE)</f>
        <v>4G</v>
      </c>
      <c r="J283" s="1" t="str">
        <f>VLOOKUP(C283,REGISTRE!B:G,6,FALSE)</f>
        <v>Nokia</v>
      </c>
      <c r="K283" s="1" t="str">
        <f>INT(LOGS_Rx5[[#This Row],[Duree_Panne_Min]]/60) &amp; " h " &amp; MOD(LOGS_Rx5[[#This Row],[Duree_Panne_Min]],60) &amp; " min " &amp; "0 s"</f>
        <v>1 h 46 min 0 s</v>
      </c>
    </row>
    <row r="284" spans="1:11" x14ac:dyDescent="0.35">
      <c r="A284" s="1" t="s">
        <v>1267</v>
      </c>
      <c r="B284" s="2">
        <v>45223.293749999997</v>
      </c>
      <c r="C284" s="1" t="s">
        <v>1175</v>
      </c>
      <c r="D284">
        <v>42</v>
      </c>
      <c r="E284" s="1" t="s">
        <v>740</v>
      </c>
      <c r="F284" s="1" t="str">
        <f>VLOOKUP(C284,REGISTRE!B:G,2,FALSE)</f>
        <v>Haut-Katanga</v>
      </c>
      <c r="G284" s="1">
        <f>VLOOKUP(C284,REGISTRE!B:G,3,FALSE)</f>
        <v>-4.4958720000000003</v>
      </c>
      <c r="H284" s="1">
        <f>VLOOKUP(C284,REGISTRE!B:G,4,FALSE)</f>
        <v>18.514112000000001</v>
      </c>
      <c r="I284" s="1" t="str">
        <f>VLOOKUP(C284,REGISTRE!B:G,5,FALSE)</f>
        <v>4G</v>
      </c>
      <c r="J284" s="1" t="str">
        <f>VLOOKUP(C284,REGISTRE!B:G,6,FALSE)</f>
        <v>Nokia</v>
      </c>
      <c r="K284" s="1" t="str">
        <f>INT(LOGS_Rx5[[#This Row],[Duree_Panne_Min]]/60) &amp; " h " &amp; MOD(LOGS_Rx5[[#This Row],[Duree_Panne_Min]],60) &amp; " min " &amp; "0 s"</f>
        <v>0 h 42 min 0 s</v>
      </c>
    </row>
    <row r="285" spans="1:11" x14ac:dyDescent="0.35">
      <c r="A285" s="1" t="s">
        <v>1144</v>
      </c>
      <c r="B285" s="2">
        <v>45221.283333333333</v>
      </c>
      <c r="C285" s="1" t="s">
        <v>1157</v>
      </c>
      <c r="D285">
        <v>22</v>
      </c>
      <c r="E285" s="1" t="s">
        <v>735</v>
      </c>
      <c r="F285" s="1" t="str">
        <f>VLOOKUP(C285,REGISTRE!B:G,2,FALSE)</f>
        <v>Kinshasa</v>
      </c>
      <c r="G285" s="1">
        <f>VLOOKUP(C285,REGISTRE!B:G,3,FALSE)</f>
        <v>-2.6665070000000002</v>
      </c>
      <c r="H285" s="1">
        <f>VLOOKUP(C285,REGISTRE!B:G,4,FALSE)</f>
        <v>18.623692999999999</v>
      </c>
      <c r="I285" s="1" t="str">
        <f>VLOOKUP(C285,REGISTRE!B:G,5,FALSE)</f>
        <v>3G</v>
      </c>
      <c r="J285" s="1" t="str">
        <f>VLOOKUP(C285,REGISTRE!B:G,6,FALSE)</f>
        <v>ZTE</v>
      </c>
      <c r="K285" s="1" t="str">
        <f>INT(LOGS_Rx5[[#This Row],[Duree_Panne_Min]]/60) &amp; " h " &amp; MOD(LOGS_Rx5[[#This Row],[Duree_Panne_Min]],60) &amp; " min " &amp; "0 s"</f>
        <v>0 h 22 min 0 s</v>
      </c>
    </row>
    <row r="286" spans="1:11" x14ac:dyDescent="0.35">
      <c r="A286" s="1" t="s">
        <v>1171</v>
      </c>
      <c r="B286" s="2">
        <v>45215.056944444441</v>
      </c>
      <c r="C286" s="1" t="s">
        <v>1157</v>
      </c>
      <c r="D286">
        <v>99</v>
      </c>
      <c r="E286" s="1" t="s">
        <v>738</v>
      </c>
      <c r="F286" s="1" t="str">
        <f>VLOOKUP(C286,REGISTRE!B:G,2,FALSE)</f>
        <v>Kinshasa</v>
      </c>
      <c r="G286" s="1">
        <f>VLOOKUP(C286,REGISTRE!B:G,3,FALSE)</f>
        <v>-2.6665070000000002</v>
      </c>
      <c r="H286" s="1">
        <f>VLOOKUP(C286,REGISTRE!B:G,4,FALSE)</f>
        <v>18.623692999999999</v>
      </c>
      <c r="I286" s="1" t="str">
        <f>VLOOKUP(C286,REGISTRE!B:G,5,FALSE)</f>
        <v>3G</v>
      </c>
      <c r="J286" s="1" t="str">
        <f>VLOOKUP(C286,REGISTRE!B:G,6,FALSE)</f>
        <v>ZTE</v>
      </c>
      <c r="K286" s="1" t="str">
        <f>INT(LOGS_Rx5[[#This Row],[Duree_Panne_Min]]/60) &amp; " h " &amp; MOD(LOGS_Rx5[[#This Row],[Duree_Panne_Min]],60) &amp; " min " &amp; "0 s"</f>
        <v>1 h 39 min 0 s</v>
      </c>
    </row>
    <row r="287" spans="1:11" x14ac:dyDescent="0.35">
      <c r="A287" s="1" t="s">
        <v>1171</v>
      </c>
      <c r="B287" s="2">
        <v>45225.623611111107</v>
      </c>
      <c r="C287" s="1" t="s">
        <v>1176</v>
      </c>
      <c r="D287">
        <v>22</v>
      </c>
      <c r="E287" s="1" t="s">
        <v>735</v>
      </c>
      <c r="F287" s="1" t="str">
        <f>VLOOKUP(C287,REGISTRE!B:G,2,FALSE)</f>
        <v>Mai-Ndombe</v>
      </c>
      <c r="G287" s="1">
        <f>VLOOKUP(C287,REGISTRE!B:G,3,FALSE)</f>
        <v>-0.47411900000000001</v>
      </c>
      <c r="H287" s="1">
        <f>VLOOKUP(C287,REGISTRE!B:G,4,FALSE)</f>
        <v>27.184329000000002</v>
      </c>
      <c r="I287" s="1" t="str">
        <f>VLOOKUP(C287,REGISTRE!B:G,5,FALSE)</f>
        <v>5G</v>
      </c>
      <c r="J287" s="1" t="str">
        <f>VLOOKUP(C287,REGISTRE!B:G,6,FALSE)</f>
        <v>ZTE</v>
      </c>
      <c r="K287" s="1" t="str">
        <f>INT(LOGS_Rx5[[#This Row],[Duree_Panne_Min]]/60) &amp; " h " &amp; MOD(LOGS_Rx5[[#This Row],[Duree_Panne_Min]],60) &amp; " min " &amp; "0 s"</f>
        <v>0 h 22 min 0 s</v>
      </c>
    </row>
    <row r="288" spans="1:11" x14ac:dyDescent="0.35">
      <c r="A288" s="1" t="s">
        <v>1314</v>
      </c>
      <c r="B288" s="2">
        <v>45227.77847222222</v>
      </c>
      <c r="C288" s="1" t="s">
        <v>1176</v>
      </c>
      <c r="D288">
        <v>67</v>
      </c>
      <c r="E288" s="1" t="s">
        <v>740</v>
      </c>
      <c r="F288" s="1" t="str">
        <f>VLOOKUP(C288,REGISTRE!B:G,2,FALSE)</f>
        <v>Mai-Ndombe</v>
      </c>
      <c r="G288" s="1">
        <f>VLOOKUP(C288,REGISTRE!B:G,3,FALSE)</f>
        <v>-0.47411900000000001</v>
      </c>
      <c r="H288" s="1">
        <f>VLOOKUP(C288,REGISTRE!B:G,4,FALSE)</f>
        <v>27.184329000000002</v>
      </c>
      <c r="I288" s="1" t="str">
        <f>VLOOKUP(C288,REGISTRE!B:G,5,FALSE)</f>
        <v>5G</v>
      </c>
      <c r="J288" s="1" t="str">
        <f>VLOOKUP(C288,REGISTRE!B:G,6,FALSE)</f>
        <v>ZTE</v>
      </c>
      <c r="K288" s="1" t="str">
        <f>INT(LOGS_Rx5[[#This Row],[Duree_Panne_Min]]/60) &amp; " h " &amp; MOD(LOGS_Rx5[[#This Row],[Duree_Panne_Min]],60) &amp; " min " &amp; "0 s"</f>
        <v>1 h 7 min 0 s</v>
      </c>
    </row>
    <row r="289" spans="1:11" x14ac:dyDescent="0.35">
      <c r="A289" s="1" t="s">
        <v>1144</v>
      </c>
      <c r="B289" s="2">
        <v>45224.347916666673</v>
      </c>
      <c r="C289" s="1" t="s">
        <v>1149</v>
      </c>
      <c r="D289">
        <v>14</v>
      </c>
      <c r="E289" s="1" t="s">
        <v>735</v>
      </c>
      <c r="F289" s="1" t="str">
        <f>VLOOKUP(C289,REGISTRE!B:G,2,FALSE)</f>
        <v>Tshuapa</v>
      </c>
      <c r="G289" s="1">
        <f>VLOOKUP(C289,REGISTRE!B:G,3,FALSE)</f>
        <v>-7.789663</v>
      </c>
      <c r="H289" s="1">
        <f>VLOOKUP(C289,REGISTRE!B:G,4,FALSE)</f>
        <v>26.529098000000001</v>
      </c>
      <c r="I289" s="1" t="str">
        <f>VLOOKUP(C289,REGISTRE!B:G,5,FALSE)</f>
        <v>5G</v>
      </c>
      <c r="J289" s="1" t="str">
        <f>VLOOKUP(C289,REGISTRE!B:G,6,FALSE)</f>
        <v>Nokia</v>
      </c>
      <c r="K289" s="1" t="str">
        <f>INT(LOGS_Rx5[[#This Row],[Duree_Panne_Min]]/60) &amp; " h " &amp; MOD(LOGS_Rx5[[#This Row],[Duree_Panne_Min]],60) &amp; " min " &amp; "0 s"</f>
        <v>0 h 14 min 0 s</v>
      </c>
    </row>
    <row r="290" spans="1:11" x14ac:dyDescent="0.35">
      <c r="A290" s="1" t="s">
        <v>1225</v>
      </c>
      <c r="B290" s="2">
        <v>45221.780555555553</v>
      </c>
      <c r="C290" s="1" t="s">
        <v>1149</v>
      </c>
      <c r="D290">
        <v>67</v>
      </c>
      <c r="E290" s="1" t="s">
        <v>735</v>
      </c>
      <c r="F290" s="1" t="str">
        <f>VLOOKUP(C290,REGISTRE!B:G,2,FALSE)</f>
        <v>Tshuapa</v>
      </c>
      <c r="G290" s="1">
        <f>VLOOKUP(C290,REGISTRE!B:G,3,FALSE)</f>
        <v>-7.789663</v>
      </c>
      <c r="H290" s="1">
        <f>VLOOKUP(C290,REGISTRE!B:G,4,FALSE)</f>
        <v>26.529098000000001</v>
      </c>
      <c r="I290" s="1" t="str">
        <f>VLOOKUP(C290,REGISTRE!B:G,5,FALSE)</f>
        <v>5G</v>
      </c>
      <c r="J290" s="1" t="str">
        <f>VLOOKUP(C290,REGISTRE!B:G,6,FALSE)</f>
        <v>Nokia</v>
      </c>
      <c r="K290" s="1" t="str">
        <f>INT(LOGS_Rx5[[#This Row],[Duree_Panne_Min]]/60) &amp; " h " &amp; MOD(LOGS_Rx5[[#This Row],[Duree_Panne_Min]],60) &amp; " min " &amp; "0 s"</f>
        <v>1 h 7 min 0 s</v>
      </c>
    </row>
    <row r="291" spans="1:11" x14ac:dyDescent="0.35">
      <c r="A291" s="1" t="s">
        <v>733</v>
      </c>
      <c r="B291" s="2">
        <v>45201.884722222225</v>
      </c>
      <c r="C291" s="1" t="s">
        <v>761</v>
      </c>
      <c r="D291">
        <v>54</v>
      </c>
      <c r="E291" s="1" t="s">
        <v>740</v>
      </c>
      <c r="F291" s="1" t="str">
        <f>VLOOKUP(C291,REGISTRE!B:G,2,FALSE)</f>
        <v>Nord-Kivu</v>
      </c>
      <c r="G291" s="1">
        <f>VLOOKUP(C291,REGISTRE!B:G,3,FALSE)</f>
        <v>4.6287159999999998</v>
      </c>
      <c r="H291" s="1">
        <f>VLOOKUP(C291,REGISTRE!B:G,4,FALSE)</f>
        <v>19.407077999999998</v>
      </c>
      <c r="I291" s="1" t="str">
        <f>VLOOKUP(C291,REGISTRE!B:G,5,FALSE)</f>
        <v>4G</v>
      </c>
      <c r="J291" s="1" t="str">
        <f>VLOOKUP(C291,REGISTRE!B:G,6,FALSE)</f>
        <v>Ericsson</v>
      </c>
      <c r="K291" s="1" t="str">
        <f>INT(LOGS_Rx5[[#This Row],[Duree_Panne_Min]]/60) &amp; " h " &amp; MOD(LOGS_Rx5[[#This Row],[Duree_Panne_Min]],60) &amp; " min " &amp; "0 s"</f>
        <v>0 h 54 min 0 s</v>
      </c>
    </row>
    <row r="292" spans="1:11" x14ac:dyDescent="0.35">
      <c r="A292" s="1" t="s">
        <v>942</v>
      </c>
      <c r="B292" s="2">
        <v>45211.477083333331</v>
      </c>
      <c r="C292" s="1" t="s">
        <v>761</v>
      </c>
      <c r="D292">
        <v>111</v>
      </c>
      <c r="E292" s="1" t="s">
        <v>735</v>
      </c>
      <c r="F292" s="1" t="str">
        <f>VLOOKUP(C292,REGISTRE!B:G,2,FALSE)</f>
        <v>Nord-Kivu</v>
      </c>
      <c r="G292" s="1">
        <f>VLOOKUP(C292,REGISTRE!B:G,3,FALSE)</f>
        <v>4.6287159999999998</v>
      </c>
      <c r="H292" s="1">
        <f>VLOOKUP(C292,REGISTRE!B:G,4,FALSE)</f>
        <v>19.407077999999998</v>
      </c>
      <c r="I292" s="1" t="str">
        <f>VLOOKUP(C292,REGISTRE!B:G,5,FALSE)</f>
        <v>4G</v>
      </c>
      <c r="J292" s="1" t="str">
        <f>VLOOKUP(C292,REGISTRE!B:G,6,FALSE)</f>
        <v>Ericsson</v>
      </c>
      <c r="K292" s="1" t="str">
        <f>INT(LOGS_Rx5[[#This Row],[Duree_Panne_Min]]/60) &amp; " h " &amp; MOD(LOGS_Rx5[[#This Row],[Duree_Panne_Min]],60) &amp; " min " &amp; "0 s"</f>
        <v>1 h 51 min 0 s</v>
      </c>
    </row>
    <row r="293" spans="1:11" x14ac:dyDescent="0.35">
      <c r="A293" s="1" t="s">
        <v>1225</v>
      </c>
      <c r="B293" s="2">
        <v>45205.440972222219</v>
      </c>
      <c r="C293" s="1" t="s">
        <v>1236</v>
      </c>
      <c r="D293">
        <v>115</v>
      </c>
      <c r="E293" s="1" t="s">
        <v>738</v>
      </c>
      <c r="F293" s="1" t="str">
        <f>VLOOKUP(C293,REGISTRE!B:G,2,FALSE)</f>
        <v>Sud-Kivu</v>
      </c>
      <c r="G293" s="1">
        <f>VLOOKUP(C293,REGISTRE!B:G,3,FALSE)</f>
        <v>-1.3024210000000001</v>
      </c>
      <c r="H293" s="1">
        <f>VLOOKUP(C293,REGISTRE!B:G,4,FALSE)</f>
        <v>13.601914000000001</v>
      </c>
      <c r="I293" s="1" t="str">
        <f>VLOOKUP(C293,REGISTRE!B:G,5,FALSE)</f>
        <v>3G</v>
      </c>
      <c r="J293" s="1" t="str">
        <f>VLOOKUP(C293,REGISTRE!B:G,6,FALSE)</f>
        <v>Huawei</v>
      </c>
      <c r="K293" s="1" t="str">
        <f>INT(LOGS_Rx5[[#This Row],[Duree_Panne_Min]]/60) &amp; " h " &amp; MOD(LOGS_Rx5[[#This Row],[Duree_Panne_Min]],60) &amp; " min " &amp; "0 s"</f>
        <v>1 h 55 min 0 s</v>
      </c>
    </row>
    <row r="294" spans="1:11" x14ac:dyDescent="0.35">
      <c r="A294" s="1" t="s">
        <v>1144</v>
      </c>
      <c r="B294" s="2">
        <v>45222.748611111107</v>
      </c>
      <c r="C294" s="1" t="s">
        <v>1155</v>
      </c>
      <c r="D294">
        <v>28</v>
      </c>
      <c r="E294" s="1" t="s">
        <v>738</v>
      </c>
      <c r="F294" s="1" t="str">
        <f>VLOOKUP(C294,REGISTRE!B:G,2,FALSE)</f>
        <v>Haut-Katanga</v>
      </c>
      <c r="G294" s="1">
        <f>VLOOKUP(C294,REGISTRE!B:G,3,FALSE)</f>
        <v>-11.468578000000001</v>
      </c>
      <c r="H294" s="1">
        <f>VLOOKUP(C294,REGISTRE!B:G,4,FALSE)</f>
        <v>16.914501999999999</v>
      </c>
      <c r="I294" s="1" t="str">
        <f>VLOOKUP(C294,REGISTRE!B:G,5,FALSE)</f>
        <v>4G</v>
      </c>
      <c r="J294" s="1" t="str">
        <f>VLOOKUP(C294,REGISTRE!B:G,6,FALSE)</f>
        <v>Ericsson</v>
      </c>
      <c r="K294" s="1" t="str">
        <f>INT(LOGS_Rx5[[#This Row],[Duree_Panne_Min]]/60) &amp; " h " &amp; MOD(LOGS_Rx5[[#This Row],[Duree_Panne_Min]],60) &amp; " min " &amp; "0 s"</f>
        <v>0 h 28 min 0 s</v>
      </c>
    </row>
    <row r="295" spans="1:11" x14ac:dyDescent="0.35">
      <c r="A295" s="1" t="s">
        <v>905</v>
      </c>
      <c r="B295" s="2">
        <v>45221.268750000003</v>
      </c>
      <c r="C295" s="1" t="s">
        <v>930</v>
      </c>
      <c r="D295">
        <v>18</v>
      </c>
      <c r="E295" s="1" t="s">
        <v>738</v>
      </c>
      <c r="F295" s="1" t="str">
        <f>VLOOKUP(C295,REGISTRE!B:G,2,FALSE)</f>
        <v>Nord-Kivu</v>
      </c>
      <c r="G295" s="1">
        <f>VLOOKUP(C295,REGISTRE!B:G,3,FALSE)</f>
        <v>-1.8555980000000001</v>
      </c>
      <c r="H295" s="1">
        <f>VLOOKUP(C295,REGISTRE!B:G,4,FALSE)</f>
        <v>30.421918000000002</v>
      </c>
      <c r="I295" s="1" t="str">
        <f>VLOOKUP(C295,REGISTRE!B:G,5,FALSE)</f>
        <v>3G</v>
      </c>
      <c r="J295" s="1" t="str">
        <f>VLOOKUP(C295,REGISTRE!B:G,6,FALSE)</f>
        <v>ZTE</v>
      </c>
      <c r="K295" s="1" t="str">
        <f>INT(LOGS_Rx5[[#This Row],[Duree_Panne_Min]]/60) &amp; " h " &amp; MOD(LOGS_Rx5[[#This Row],[Duree_Panne_Min]],60) &amp; " min " &amp; "0 s"</f>
        <v>0 h 18 min 0 s</v>
      </c>
    </row>
    <row r="296" spans="1:11" x14ac:dyDescent="0.35">
      <c r="A296" s="1" t="s">
        <v>1225</v>
      </c>
      <c r="B296" s="2">
        <v>45222.597222222219</v>
      </c>
      <c r="C296" s="1" t="s">
        <v>930</v>
      </c>
      <c r="D296">
        <v>22</v>
      </c>
      <c r="E296" s="1" t="s">
        <v>738</v>
      </c>
      <c r="F296" s="1" t="str">
        <f>VLOOKUP(C296,REGISTRE!B:G,2,FALSE)</f>
        <v>Nord-Kivu</v>
      </c>
      <c r="G296" s="1">
        <f>VLOOKUP(C296,REGISTRE!B:G,3,FALSE)</f>
        <v>-1.8555980000000001</v>
      </c>
      <c r="H296" s="1">
        <f>VLOOKUP(C296,REGISTRE!B:G,4,FALSE)</f>
        <v>30.421918000000002</v>
      </c>
      <c r="I296" s="1" t="str">
        <f>VLOOKUP(C296,REGISTRE!B:G,5,FALSE)</f>
        <v>3G</v>
      </c>
      <c r="J296" s="1" t="str">
        <f>VLOOKUP(C296,REGISTRE!B:G,6,FALSE)</f>
        <v>ZTE</v>
      </c>
      <c r="K296" s="1" t="str">
        <f>INT(LOGS_Rx5[[#This Row],[Duree_Panne_Min]]/60) &amp; " h " &amp; MOD(LOGS_Rx5[[#This Row],[Duree_Panne_Min]],60) &amp; " min " &amp; "0 s"</f>
        <v>0 h 22 min 0 s</v>
      </c>
    </row>
    <row r="297" spans="1:11" x14ac:dyDescent="0.35">
      <c r="A297" s="1" t="s">
        <v>1368</v>
      </c>
      <c r="B297" s="2">
        <v>45211.424305555563</v>
      </c>
      <c r="C297" s="1" t="s">
        <v>930</v>
      </c>
      <c r="D297">
        <v>116</v>
      </c>
      <c r="E297" s="1" t="s">
        <v>738</v>
      </c>
      <c r="F297" s="1" t="str">
        <f>VLOOKUP(C297,REGISTRE!B:G,2,FALSE)</f>
        <v>Nord-Kivu</v>
      </c>
      <c r="G297" s="1">
        <f>VLOOKUP(C297,REGISTRE!B:G,3,FALSE)</f>
        <v>-1.8555980000000001</v>
      </c>
      <c r="H297" s="1">
        <f>VLOOKUP(C297,REGISTRE!B:G,4,FALSE)</f>
        <v>30.421918000000002</v>
      </c>
      <c r="I297" s="1" t="str">
        <f>VLOOKUP(C297,REGISTRE!B:G,5,FALSE)</f>
        <v>3G</v>
      </c>
      <c r="J297" s="1" t="str">
        <f>VLOOKUP(C297,REGISTRE!B:G,6,FALSE)</f>
        <v>ZTE</v>
      </c>
      <c r="K297" s="1" t="str">
        <f>INT(LOGS_Rx5[[#This Row],[Duree_Panne_Min]]/60) &amp; " h " &amp; MOD(LOGS_Rx5[[#This Row],[Duree_Panne_Min]],60) &amp; " min " &amp; "0 s"</f>
        <v>1 h 56 min 0 s</v>
      </c>
    </row>
    <row r="298" spans="1:11" x14ac:dyDescent="0.35">
      <c r="A298" s="1" t="s">
        <v>1414</v>
      </c>
      <c r="B298" s="2">
        <v>45201.086111111108</v>
      </c>
      <c r="C298" s="1" t="s">
        <v>930</v>
      </c>
      <c r="D298">
        <v>55</v>
      </c>
      <c r="E298" s="1" t="s">
        <v>735</v>
      </c>
      <c r="F298" s="1" t="str">
        <f>VLOOKUP(C298,REGISTRE!B:G,2,FALSE)</f>
        <v>Nord-Kivu</v>
      </c>
      <c r="G298" s="1">
        <f>VLOOKUP(C298,REGISTRE!B:G,3,FALSE)</f>
        <v>-1.8555980000000001</v>
      </c>
      <c r="H298" s="1">
        <f>VLOOKUP(C298,REGISTRE!B:G,4,FALSE)</f>
        <v>30.421918000000002</v>
      </c>
      <c r="I298" s="1" t="str">
        <f>VLOOKUP(C298,REGISTRE!B:G,5,FALSE)</f>
        <v>3G</v>
      </c>
      <c r="J298" s="1" t="str">
        <f>VLOOKUP(C298,REGISTRE!B:G,6,FALSE)</f>
        <v>ZTE</v>
      </c>
      <c r="K298" s="1" t="str">
        <f>INT(LOGS_Rx5[[#This Row],[Duree_Panne_Min]]/60) &amp; " h " &amp; MOD(LOGS_Rx5[[#This Row],[Duree_Panne_Min]],60) &amp; " min " &amp; "0 s"</f>
        <v>0 h 55 min 0 s</v>
      </c>
    </row>
    <row r="299" spans="1:11" x14ac:dyDescent="0.35">
      <c r="A299" s="1" t="s">
        <v>1414</v>
      </c>
      <c r="B299" s="2">
        <v>45218.331944444442</v>
      </c>
      <c r="C299" s="1" t="s">
        <v>930</v>
      </c>
      <c r="D299">
        <v>15</v>
      </c>
      <c r="E299" s="1" t="s">
        <v>740</v>
      </c>
      <c r="F299" s="1" t="str">
        <f>VLOOKUP(C299,REGISTRE!B:G,2,FALSE)</f>
        <v>Nord-Kivu</v>
      </c>
      <c r="G299" s="1">
        <f>VLOOKUP(C299,REGISTRE!B:G,3,FALSE)</f>
        <v>-1.8555980000000001</v>
      </c>
      <c r="H299" s="1">
        <f>VLOOKUP(C299,REGISTRE!B:G,4,FALSE)</f>
        <v>30.421918000000002</v>
      </c>
      <c r="I299" s="1" t="str">
        <f>VLOOKUP(C299,REGISTRE!B:G,5,FALSE)</f>
        <v>3G</v>
      </c>
      <c r="J299" s="1" t="str">
        <f>VLOOKUP(C299,REGISTRE!B:G,6,FALSE)</f>
        <v>ZTE</v>
      </c>
      <c r="K299" s="1" t="str">
        <f>INT(LOGS_Rx5[[#This Row],[Duree_Panne_Min]]/60) &amp; " h " &amp; MOD(LOGS_Rx5[[#This Row],[Duree_Panne_Min]],60) &amp; " min " &amp; "0 s"</f>
        <v>0 h 15 min 0 s</v>
      </c>
    </row>
    <row r="300" spans="1:11" x14ac:dyDescent="0.35">
      <c r="A300" s="1" t="s">
        <v>864</v>
      </c>
      <c r="B300" s="2">
        <v>45230.486111111109</v>
      </c>
      <c r="C300" s="1" t="s">
        <v>903</v>
      </c>
      <c r="D300">
        <v>38</v>
      </c>
      <c r="E300" s="1" t="s">
        <v>735</v>
      </c>
      <c r="F300" s="1" t="str">
        <f>VLOOKUP(C300,REGISTRE!B:G,2,FALSE)</f>
        <v>Nord-Kivu</v>
      </c>
      <c r="G300" s="1">
        <f>VLOOKUP(C300,REGISTRE!B:G,3,FALSE)</f>
        <v>-12.336202</v>
      </c>
      <c r="H300" s="1">
        <f>VLOOKUP(C300,REGISTRE!B:G,4,FALSE)</f>
        <v>13.693683999999999</v>
      </c>
      <c r="I300" s="1" t="str">
        <f>VLOOKUP(C300,REGISTRE!B:G,5,FALSE)</f>
        <v>5G</v>
      </c>
      <c r="J300" s="1" t="str">
        <f>VLOOKUP(C300,REGISTRE!B:G,6,FALSE)</f>
        <v>Huawei</v>
      </c>
      <c r="K300" s="1" t="str">
        <f>INT(LOGS_Rx5[[#This Row],[Duree_Panne_Min]]/60) &amp; " h " &amp; MOD(LOGS_Rx5[[#This Row],[Duree_Panne_Min]],60) &amp; " min " &amp; "0 s"</f>
        <v>0 h 38 min 0 s</v>
      </c>
    </row>
    <row r="301" spans="1:11" x14ac:dyDescent="0.35">
      <c r="A301" s="1" t="s">
        <v>1120</v>
      </c>
      <c r="B301" s="2">
        <v>45207.960416666669</v>
      </c>
      <c r="C301" s="1" t="s">
        <v>903</v>
      </c>
      <c r="D301">
        <v>23</v>
      </c>
      <c r="E301" s="1" t="s">
        <v>740</v>
      </c>
      <c r="F301" s="1" t="str">
        <f>VLOOKUP(C301,REGISTRE!B:G,2,FALSE)</f>
        <v>Nord-Kivu</v>
      </c>
      <c r="G301" s="1">
        <f>VLOOKUP(C301,REGISTRE!B:G,3,FALSE)</f>
        <v>-12.336202</v>
      </c>
      <c r="H301" s="1">
        <f>VLOOKUP(C301,REGISTRE!B:G,4,FALSE)</f>
        <v>13.693683999999999</v>
      </c>
      <c r="I301" s="1" t="str">
        <f>VLOOKUP(C301,REGISTRE!B:G,5,FALSE)</f>
        <v>5G</v>
      </c>
      <c r="J301" s="1" t="str">
        <f>VLOOKUP(C301,REGISTRE!B:G,6,FALSE)</f>
        <v>Huawei</v>
      </c>
      <c r="K301" s="1" t="str">
        <f>INT(LOGS_Rx5[[#This Row],[Duree_Panne_Min]]/60) &amp; " h " &amp; MOD(LOGS_Rx5[[#This Row],[Duree_Panne_Min]],60) &amp; " min " &amp; "0 s"</f>
        <v>0 h 23 min 0 s</v>
      </c>
    </row>
    <row r="302" spans="1:11" x14ac:dyDescent="0.35">
      <c r="A302" s="1" t="s">
        <v>1199</v>
      </c>
      <c r="B302" s="2">
        <v>45204.53125</v>
      </c>
      <c r="C302" s="1" t="s">
        <v>903</v>
      </c>
      <c r="D302">
        <v>47</v>
      </c>
      <c r="E302" s="1" t="s">
        <v>735</v>
      </c>
      <c r="F302" s="1" t="str">
        <f>VLOOKUP(C302,REGISTRE!B:G,2,FALSE)</f>
        <v>Nord-Kivu</v>
      </c>
      <c r="G302" s="1">
        <f>VLOOKUP(C302,REGISTRE!B:G,3,FALSE)</f>
        <v>-12.336202</v>
      </c>
      <c r="H302" s="1">
        <f>VLOOKUP(C302,REGISTRE!B:G,4,FALSE)</f>
        <v>13.693683999999999</v>
      </c>
      <c r="I302" s="1" t="str">
        <f>VLOOKUP(C302,REGISTRE!B:G,5,FALSE)</f>
        <v>5G</v>
      </c>
      <c r="J302" s="1" t="str">
        <f>VLOOKUP(C302,REGISTRE!B:G,6,FALSE)</f>
        <v>Huawei</v>
      </c>
      <c r="K302" s="1" t="str">
        <f>INT(LOGS_Rx5[[#This Row],[Duree_Panne_Min]]/60) &amp; " h " &amp; MOD(LOGS_Rx5[[#This Row],[Duree_Panne_Min]],60) &amp; " min " &amp; "0 s"</f>
        <v>0 h 47 min 0 s</v>
      </c>
    </row>
    <row r="303" spans="1:11" x14ac:dyDescent="0.35">
      <c r="A303" s="1" t="s">
        <v>1389</v>
      </c>
      <c r="B303" s="2">
        <v>45201.877083333333</v>
      </c>
      <c r="C303" s="1" t="s">
        <v>903</v>
      </c>
      <c r="D303">
        <v>82</v>
      </c>
      <c r="E303" s="1" t="s">
        <v>740</v>
      </c>
      <c r="F303" s="1" t="str">
        <f>VLOOKUP(C303,REGISTRE!B:G,2,FALSE)</f>
        <v>Nord-Kivu</v>
      </c>
      <c r="G303" s="1">
        <f>VLOOKUP(C303,REGISTRE!B:G,3,FALSE)</f>
        <v>-12.336202</v>
      </c>
      <c r="H303" s="1">
        <f>VLOOKUP(C303,REGISTRE!B:G,4,FALSE)</f>
        <v>13.693683999999999</v>
      </c>
      <c r="I303" s="1" t="str">
        <f>VLOOKUP(C303,REGISTRE!B:G,5,FALSE)</f>
        <v>5G</v>
      </c>
      <c r="J303" s="1" t="str">
        <f>VLOOKUP(C303,REGISTRE!B:G,6,FALSE)</f>
        <v>Huawei</v>
      </c>
      <c r="K303" s="1" t="str">
        <f>INT(LOGS_Rx5[[#This Row],[Duree_Panne_Min]]/60) &amp; " h " &amp; MOD(LOGS_Rx5[[#This Row],[Duree_Panne_Min]],60) &amp; " min " &amp; "0 s"</f>
        <v>1 h 22 min 0 s</v>
      </c>
    </row>
    <row r="304" spans="1:11" x14ac:dyDescent="0.35">
      <c r="A304" s="1" t="s">
        <v>782</v>
      </c>
      <c r="B304" s="2">
        <v>45222.631249999999</v>
      </c>
      <c r="C304" s="1" t="s">
        <v>804</v>
      </c>
      <c r="D304">
        <v>90</v>
      </c>
      <c r="E304" s="1" t="s">
        <v>735</v>
      </c>
      <c r="F304" s="1" t="str">
        <f>VLOOKUP(C304,REGISTRE!B:G,2,FALSE)</f>
        <v>Tanganyika</v>
      </c>
      <c r="G304" s="1">
        <f>VLOOKUP(C304,REGISTRE!B:G,3,FALSE)</f>
        <v>-2.099631</v>
      </c>
      <c r="H304" s="1">
        <f>VLOOKUP(C304,REGISTRE!B:G,4,FALSE)</f>
        <v>13.974640000000001</v>
      </c>
      <c r="I304" s="1" t="str">
        <f>VLOOKUP(C304,REGISTRE!B:G,5,FALSE)</f>
        <v>3G</v>
      </c>
      <c r="J304" s="1" t="str">
        <f>VLOOKUP(C304,REGISTRE!B:G,6,FALSE)</f>
        <v>Nokia</v>
      </c>
      <c r="K304" s="1" t="str">
        <f>INT(LOGS_Rx5[[#This Row],[Duree_Panne_Min]]/60) &amp; " h " &amp; MOD(LOGS_Rx5[[#This Row],[Duree_Panne_Min]],60) &amp; " min " &amp; "0 s"</f>
        <v>1 h 30 min 0 s</v>
      </c>
    </row>
    <row r="305" spans="1:11" x14ac:dyDescent="0.35">
      <c r="A305" s="1" t="s">
        <v>1171</v>
      </c>
      <c r="B305" s="2">
        <v>45230.862500000003</v>
      </c>
      <c r="C305" s="1" t="s">
        <v>804</v>
      </c>
      <c r="D305">
        <v>67</v>
      </c>
      <c r="E305" s="1" t="s">
        <v>735</v>
      </c>
      <c r="F305" s="1" t="str">
        <f>VLOOKUP(C305,REGISTRE!B:G,2,FALSE)</f>
        <v>Tanganyika</v>
      </c>
      <c r="G305" s="1">
        <f>VLOOKUP(C305,REGISTRE!B:G,3,FALSE)</f>
        <v>-2.099631</v>
      </c>
      <c r="H305" s="1">
        <f>VLOOKUP(C305,REGISTRE!B:G,4,FALSE)</f>
        <v>13.974640000000001</v>
      </c>
      <c r="I305" s="1" t="str">
        <f>VLOOKUP(C305,REGISTRE!B:G,5,FALSE)</f>
        <v>3G</v>
      </c>
      <c r="J305" s="1" t="str">
        <f>VLOOKUP(C305,REGISTRE!B:G,6,FALSE)</f>
        <v>Nokia</v>
      </c>
      <c r="K305" s="1" t="str">
        <f>INT(LOGS_Rx5[[#This Row],[Duree_Panne_Min]]/60) &amp; " h " &amp; MOD(LOGS_Rx5[[#This Row],[Duree_Panne_Min]],60) &amp; " min " &amp; "0 s"</f>
        <v>1 h 7 min 0 s</v>
      </c>
    </row>
    <row r="306" spans="1:11" x14ac:dyDescent="0.35">
      <c r="A306" s="1" t="s">
        <v>782</v>
      </c>
      <c r="B306" s="2">
        <v>45222.427083333343</v>
      </c>
      <c r="C306" s="1" t="s">
        <v>820</v>
      </c>
      <c r="D306">
        <v>82</v>
      </c>
      <c r="E306" s="1" t="s">
        <v>735</v>
      </c>
      <c r="F306" s="1" t="str">
        <f>VLOOKUP(C306,REGISTRE!B:G,2,FALSE)</f>
        <v>Bas-Uele</v>
      </c>
      <c r="G306" s="1">
        <f>VLOOKUP(C306,REGISTRE!B:G,3,FALSE)</f>
        <v>-4.4697000000000001E-2</v>
      </c>
      <c r="H306" s="1">
        <f>VLOOKUP(C306,REGISTRE!B:G,4,FALSE)</f>
        <v>22.943373000000001</v>
      </c>
      <c r="I306" s="1" t="str">
        <f>VLOOKUP(C306,REGISTRE!B:G,5,FALSE)</f>
        <v>3G</v>
      </c>
      <c r="J306" s="1" t="str">
        <f>VLOOKUP(C306,REGISTRE!B:G,6,FALSE)</f>
        <v>Huawei</v>
      </c>
      <c r="K306" s="1" t="str">
        <f>INT(LOGS_Rx5[[#This Row],[Duree_Panne_Min]]/60) &amp; " h " &amp; MOD(LOGS_Rx5[[#This Row],[Duree_Panne_Min]],60) &amp; " min " &amp; "0 s"</f>
        <v>1 h 22 min 0 s</v>
      </c>
    </row>
    <row r="307" spans="1:11" x14ac:dyDescent="0.35">
      <c r="A307" s="1" t="s">
        <v>864</v>
      </c>
      <c r="B307" s="2">
        <v>45201.468055555553</v>
      </c>
      <c r="C307" s="1" t="s">
        <v>879</v>
      </c>
      <c r="D307">
        <v>80</v>
      </c>
      <c r="E307" s="1" t="s">
        <v>735</v>
      </c>
      <c r="F307" s="1" t="str">
        <f>VLOOKUP(C307,REGISTRE!B:G,2,FALSE)</f>
        <v>Haut-Katanga</v>
      </c>
      <c r="G307" s="1">
        <f>VLOOKUP(C307,REGISTRE!B:G,3,FALSE)</f>
        <v>-3.3890790000000002</v>
      </c>
      <c r="H307" s="1">
        <f>VLOOKUP(C307,REGISTRE!B:G,4,FALSE)</f>
        <v>18.374571</v>
      </c>
      <c r="I307" s="1" t="str">
        <f>VLOOKUP(C307,REGISTRE!B:G,5,FALSE)</f>
        <v>5G</v>
      </c>
      <c r="J307" s="1" t="str">
        <f>VLOOKUP(C307,REGISTRE!B:G,6,FALSE)</f>
        <v>ZTE</v>
      </c>
      <c r="K307" s="1" t="str">
        <f>INT(LOGS_Rx5[[#This Row],[Duree_Panne_Min]]/60) &amp; " h " &amp; MOD(LOGS_Rx5[[#This Row],[Duree_Panne_Min]],60) &amp; " min " &amp; "0 s"</f>
        <v>1 h 20 min 0 s</v>
      </c>
    </row>
    <row r="308" spans="1:11" x14ac:dyDescent="0.35">
      <c r="A308" s="1" t="s">
        <v>1368</v>
      </c>
      <c r="B308" s="2">
        <v>45208.961805555547</v>
      </c>
      <c r="C308" s="1" t="s">
        <v>1370</v>
      </c>
      <c r="D308">
        <v>68</v>
      </c>
      <c r="E308" s="1" t="s">
        <v>735</v>
      </c>
      <c r="F308" s="1" t="str">
        <f>VLOOKUP(C308,REGISTRE!B:G,2,FALSE)</f>
        <v>Bas-Uele</v>
      </c>
      <c r="G308" s="1">
        <f>VLOOKUP(C308,REGISTRE!B:G,3,FALSE)</f>
        <v>-2.3269820000000001</v>
      </c>
      <c r="H308" s="1">
        <f>VLOOKUP(C308,REGISTRE!B:G,4,FALSE)</f>
        <v>14.609259</v>
      </c>
      <c r="I308" s="1" t="str">
        <f>VLOOKUP(C308,REGISTRE!B:G,5,FALSE)</f>
        <v>3G</v>
      </c>
      <c r="J308" s="1" t="str">
        <f>VLOOKUP(C308,REGISTRE!B:G,6,FALSE)</f>
        <v>Nokia</v>
      </c>
      <c r="K308" s="1" t="str">
        <f>INT(LOGS_Rx5[[#This Row],[Duree_Panne_Min]]/60) &amp; " h " &amp; MOD(LOGS_Rx5[[#This Row],[Duree_Panne_Min]],60) &amp; " min " &amp; "0 s"</f>
        <v>1 h 8 min 0 s</v>
      </c>
    </row>
    <row r="309" spans="1:11" x14ac:dyDescent="0.35">
      <c r="A309" s="1" t="s">
        <v>826</v>
      </c>
      <c r="B309" s="2">
        <v>45230.004861111112</v>
      </c>
      <c r="C309" s="1" t="s">
        <v>827</v>
      </c>
      <c r="D309">
        <v>58</v>
      </c>
      <c r="E309" s="1" t="s">
        <v>735</v>
      </c>
      <c r="F309" s="1" t="str">
        <f>VLOOKUP(C309,REGISTRE!B:G,2,FALSE)</f>
        <v>Lualaba</v>
      </c>
      <c r="G309" s="1">
        <f>VLOOKUP(C309,REGISTRE!B:G,3,FALSE)</f>
        <v>-7.4608439999999998</v>
      </c>
      <c r="H309" s="1">
        <f>VLOOKUP(C309,REGISTRE!B:G,4,FALSE)</f>
        <v>23.268619999999999</v>
      </c>
      <c r="I309" s="1" t="str">
        <f>VLOOKUP(C309,REGISTRE!B:G,5,FALSE)</f>
        <v>4G</v>
      </c>
      <c r="J309" s="1" t="str">
        <f>VLOOKUP(C309,REGISTRE!B:G,6,FALSE)</f>
        <v>Huawei</v>
      </c>
      <c r="K309" s="1" t="str">
        <f>INT(LOGS_Rx5[[#This Row],[Duree_Panne_Min]]/60) &amp; " h " &amp; MOD(LOGS_Rx5[[#This Row],[Duree_Panne_Min]],60) &amp; " min " &amp; "0 s"</f>
        <v>0 h 58 min 0 s</v>
      </c>
    </row>
    <row r="310" spans="1:11" x14ac:dyDescent="0.35">
      <c r="A310" s="1" t="s">
        <v>1199</v>
      </c>
      <c r="B310" s="2">
        <v>45214.634722222218</v>
      </c>
      <c r="C310" s="1" t="s">
        <v>1206</v>
      </c>
      <c r="D310">
        <v>112</v>
      </c>
      <c r="E310" s="1" t="s">
        <v>738</v>
      </c>
      <c r="F310" s="1" t="str">
        <f>VLOOKUP(C310,REGISTRE!B:G,2,FALSE)</f>
        <v>Equateur</v>
      </c>
      <c r="G310" s="1">
        <f>VLOOKUP(C310,REGISTRE!B:G,3,FALSE)</f>
        <v>-6.1490739999999997</v>
      </c>
      <c r="H310" s="1">
        <f>VLOOKUP(C310,REGISTRE!B:G,4,FALSE)</f>
        <v>23.304411000000002</v>
      </c>
      <c r="I310" s="1" t="str">
        <f>VLOOKUP(C310,REGISTRE!B:G,5,FALSE)</f>
        <v>5G</v>
      </c>
      <c r="J310" s="1" t="str">
        <f>VLOOKUP(C310,REGISTRE!B:G,6,FALSE)</f>
        <v>ZTE</v>
      </c>
      <c r="K310" s="1" t="str">
        <f>INT(LOGS_Rx5[[#This Row],[Duree_Panne_Min]]/60) &amp; " h " &amp; MOD(LOGS_Rx5[[#This Row],[Duree_Panne_Min]],60) &amp; " min " &amp; "0 s"</f>
        <v>1 h 52 min 0 s</v>
      </c>
    </row>
    <row r="311" spans="1:11" x14ac:dyDescent="0.35">
      <c r="A311" s="1" t="s">
        <v>1294</v>
      </c>
      <c r="B311" s="2">
        <v>45204.122916666667</v>
      </c>
      <c r="C311" s="1" t="s">
        <v>1206</v>
      </c>
      <c r="D311">
        <v>34</v>
      </c>
      <c r="E311" s="1" t="s">
        <v>735</v>
      </c>
      <c r="F311" s="1" t="str">
        <f>VLOOKUP(C311,REGISTRE!B:G,2,FALSE)</f>
        <v>Equateur</v>
      </c>
      <c r="G311" s="1">
        <f>VLOOKUP(C311,REGISTRE!B:G,3,FALSE)</f>
        <v>-6.1490739999999997</v>
      </c>
      <c r="H311" s="1">
        <f>VLOOKUP(C311,REGISTRE!B:G,4,FALSE)</f>
        <v>23.304411000000002</v>
      </c>
      <c r="I311" s="1" t="str">
        <f>VLOOKUP(C311,REGISTRE!B:G,5,FALSE)</f>
        <v>5G</v>
      </c>
      <c r="J311" s="1" t="str">
        <f>VLOOKUP(C311,REGISTRE!B:G,6,FALSE)</f>
        <v>ZTE</v>
      </c>
      <c r="K311" s="1" t="str">
        <f>INT(LOGS_Rx5[[#This Row],[Duree_Panne_Min]]/60) &amp; " h " &amp; MOD(LOGS_Rx5[[#This Row],[Duree_Panne_Min]],60) &amp; " min " &amp; "0 s"</f>
        <v>0 h 34 min 0 s</v>
      </c>
    </row>
    <row r="312" spans="1:11" x14ac:dyDescent="0.35">
      <c r="A312" s="1" t="s">
        <v>1314</v>
      </c>
      <c r="B312" s="2">
        <v>45209.988888888889</v>
      </c>
      <c r="C312" s="1" t="s">
        <v>1206</v>
      </c>
      <c r="D312">
        <v>51</v>
      </c>
      <c r="E312" s="1" t="s">
        <v>738</v>
      </c>
      <c r="F312" s="1" t="str">
        <f>VLOOKUP(C312,REGISTRE!B:G,2,FALSE)</f>
        <v>Equateur</v>
      </c>
      <c r="G312" s="1">
        <f>VLOOKUP(C312,REGISTRE!B:G,3,FALSE)</f>
        <v>-6.1490739999999997</v>
      </c>
      <c r="H312" s="1">
        <f>VLOOKUP(C312,REGISTRE!B:G,4,FALSE)</f>
        <v>23.304411000000002</v>
      </c>
      <c r="I312" s="1" t="str">
        <f>VLOOKUP(C312,REGISTRE!B:G,5,FALSE)</f>
        <v>5G</v>
      </c>
      <c r="J312" s="1" t="str">
        <f>VLOOKUP(C312,REGISTRE!B:G,6,FALSE)</f>
        <v>ZTE</v>
      </c>
      <c r="K312" s="1" t="str">
        <f>INT(LOGS_Rx5[[#This Row],[Duree_Panne_Min]]/60) &amp; " h " &amp; MOD(LOGS_Rx5[[#This Row],[Duree_Panne_Min]],60) &amp; " min " &amp; "0 s"</f>
        <v>0 h 51 min 0 s</v>
      </c>
    </row>
    <row r="313" spans="1:11" x14ac:dyDescent="0.35">
      <c r="A313" s="1" t="s">
        <v>1171</v>
      </c>
      <c r="B313" s="2">
        <v>45204.011111111111</v>
      </c>
      <c r="C313" s="1" t="s">
        <v>1193</v>
      </c>
      <c r="D313">
        <v>12</v>
      </c>
      <c r="E313" s="1" t="s">
        <v>738</v>
      </c>
      <c r="F313" s="1" t="str">
        <f>VLOOKUP(C313,REGISTRE!B:G,2,FALSE)</f>
        <v>Maniema</v>
      </c>
      <c r="G313" s="1">
        <f>VLOOKUP(C313,REGISTRE!B:G,3,FALSE)</f>
        <v>-1.6488929999999999</v>
      </c>
      <c r="H313" s="1">
        <f>VLOOKUP(C313,REGISTRE!B:G,4,FALSE)</f>
        <v>27.284617000000001</v>
      </c>
      <c r="I313" s="1" t="str">
        <f>VLOOKUP(C313,REGISTRE!B:G,5,FALSE)</f>
        <v>5G</v>
      </c>
      <c r="J313" s="1" t="str">
        <f>VLOOKUP(C313,REGISTRE!B:G,6,FALSE)</f>
        <v>Nokia</v>
      </c>
      <c r="K313" s="1" t="str">
        <f>INT(LOGS_Rx5[[#This Row],[Duree_Panne_Min]]/60) &amp; " h " &amp; MOD(LOGS_Rx5[[#This Row],[Duree_Panne_Min]],60) &amp; " min " &amp; "0 s"</f>
        <v>0 h 12 min 0 s</v>
      </c>
    </row>
    <row r="314" spans="1:11" x14ac:dyDescent="0.35">
      <c r="A314" s="1" t="s">
        <v>1225</v>
      </c>
      <c r="B314" s="2">
        <v>45226.964583333327</v>
      </c>
      <c r="C314" s="1" t="s">
        <v>1229</v>
      </c>
      <c r="D314">
        <v>27</v>
      </c>
      <c r="E314" s="1" t="s">
        <v>738</v>
      </c>
      <c r="F314" s="1" t="str">
        <f>VLOOKUP(C314,REGISTRE!B:G,2,FALSE)</f>
        <v>Lualaba</v>
      </c>
      <c r="G314" s="1">
        <f>VLOOKUP(C314,REGISTRE!B:G,3,FALSE)</f>
        <v>-11.354772000000001</v>
      </c>
      <c r="H314" s="1">
        <f>VLOOKUP(C314,REGISTRE!B:G,4,FALSE)</f>
        <v>21.957325999999998</v>
      </c>
      <c r="I314" s="1" t="str">
        <f>VLOOKUP(C314,REGISTRE!B:G,5,FALSE)</f>
        <v>3G</v>
      </c>
      <c r="J314" s="1" t="str">
        <f>VLOOKUP(C314,REGISTRE!B:G,6,FALSE)</f>
        <v>Nokia</v>
      </c>
      <c r="K314" s="1" t="str">
        <f>INT(LOGS_Rx5[[#This Row],[Duree_Panne_Min]]/60) &amp; " h " &amp; MOD(LOGS_Rx5[[#This Row],[Duree_Panne_Min]],60) &amp; " min " &amp; "0 s"</f>
        <v>0 h 27 min 0 s</v>
      </c>
    </row>
    <row r="315" spans="1:11" x14ac:dyDescent="0.35">
      <c r="A315" s="1" t="s">
        <v>1267</v>
      </c>
      <c r="B315" s="2">
        <v>45208.10833333333</v>
      </c>
      <c r="C315" s="1" t="s">
        <v>1289</v>
      </c>
      <c r="D315">
        <v>102</v>
      </c>
      <c r="E315" s="1" t="s">
        <v>738</v>
      </c>
      <c r="F315" s="1" t="str">
        <f>VLOOKUP(C315,REGISTRE!B:G,2,FALSE)</f>
        <v>Sud-Kivu</v>
      </c>
      <c r="G315" s="1">
        <f>VLOOKUP(C315,REGISTRE!B:G,3,FALSE)</f>
        <v>-1.4700059999999999</v>
      </c>
      <c r="H315" s="1">
        <f>VLOOKUP(C315,REGISTRE!B:G,4,FALSE)</f>
        <v>18.680958</v>
      </c>
      <c r="I315" s="1" t="str">
        <f>VLOOKUP(C315,REGISTRE!B:G,5,FALSE)</f>
        <v>3G</v>
      </c>
      <c r="J315" s="1" t="str">
        <f>VLOOKUP(C315,REGISTRE!B:G,6,FALSE)</f>
        <v>Huawei</v>
      </c>
      <c r="K315" s="1" t="str">
        <f>INT(LOGS_Rx5[[#This Row],[Duree_Panne_Min]]/60) &amp; " h " &amp; MOD(LOGS_Rx5[[#This Row],[Duree_Panne_Min]],60) &amp; " min " &amp; "0 s"</f>
        <v>1 h 42 min 0 s</v>
      </c>
    </row>
    <row r="316" spans="1:11" x14ac:dyDescent="0.35">
      <c r="A316" s="1" t="s">
        <v>1294</v>
      </c>
      <c r="B316" s="2">
        <v>45220.618750000001</v>
      </c>
      <c r="C316" s="1" t="s">
        <v>1289</v>
      </c>
      <c r="D316">
        <v>79</v>
      </c>
      <c r="E316" s="1" t="s">
        <v>735</v>
      </c>
      <c r="F316" s="1" t="str">
        <f>VLOOKUP(C316,REGISTRE!B:G,2,FALSE)</f>
        <v>Sud-Kivu</v>
      </c>
      <c r="G316" s="1">
        <f>VLOOKUP(C316,REGISTRE!B:G,3,FALSE)</f>
        <v>-1.4700059999999999</v>
      </c>
      <c r="H316" s="1">
        <f>VLOOKUP(C316,REGISTRE!B:G,4,FALSE)</f>
        <v>18.680958</v>
      </c>
      <c r="I316" s="1" t="str">
        <f>VLOOKUP(C316,REGISTRE!B:G,5,FALSE)</f>
        <v>3G</v>
      </c>
      <c r="J316" s="1" t="str">
        <f>VLOOKUP(C316,REGISTRE!B:G,6,FALSE)</f>
        <v>Huawei</v>
      </c>
      <c r="K316" s="1" t="str">
        <f>INT(LOGS_Rx5[[#This Row],[Duree_Panne_Min]]/60) &amp; " h " &amp; MOD(LOGS_Rx5[[#This Row],[Duree_Panne_Min]],60) &amp; " min " &amp; "0 s"</f>
        <v>1 h 19 min 0 s</v>
      </c>
    </row>
    <row r="317" spans="1:11" x14ac:dyDescent="0.35">
      <c r="A317" s="1" t="s">
        <v>1225</v>
      </c>
      <c r="B317" s="2">
        <v>45200.445138888892</v>
      </c>
      <c r="C317" s="1" t="s">
        <v>1233</v>
      </c>
      <c r="D317">
        <v>112</v>
      </c>
      <c r="E317" s="1" t="s">
        <v>735</v>
      </c>
      <c r="F317" s="1" t="str">
        <f>VLOOKUP(C317,REGISTRE!B:G,2,FALSE)</f>
        <v>Haut-Katanga</v>
      </c>
      <c r="G317" s="1">
        <f>VLOOKUP(C317,REGISTRE!B:G,3,FALSE)</f>
        <v>-10.945031</v>
      </c>
      <c r="H317" s="1">
        <f>VLOOKUP(C317,REGISTRE!B:G,4,FALSE)</f>
        <v>27.922274000000002</v>
      </c>
      <c r="I317" s="1" t="str">
        <f>VLOOKUP(C317,REGISTRE!B:G,5,FALSE)</f>
        <v>4G</v>
      </c>
      <c r="J317" s="1" t="str">
        <f>VLOOKUP(C317,REGISTRE!B:G,6,FALSE)</f>
        <v>Ericsson</v>
      </c>
      <c r="K317" s="1" t="str">
        <f>INT(LOGS_Rx5[[#This Row],[Duree_Panne_Min]]/60) &amp; " h " &amp; MOD(LOGS_Rx5[[#This Row],[Duree_Panne_Min]],60) &amp; " min " &amp; "0 s"</f>
        <v>1 h 52 min 0 s</v>
      </c>
    </row>
    <row r="318" spans="1:11" x14ac:dyDescent="0.35">
      <c r="A318" s="1" t="s">
        <v>1314</v>
      </c>
      <c r="B318" s="2">
        <v>45230.12777777778</v>
      </c>
      <c r="C318" s="1" t="s">
        <v>1233</v>
      </c>
      <c r="D318">
        <v>87</v>
      </c>
      <c r="E318" s="1" t="s">
        <v>740</v>
      </c>
      <c r="F318" s="1" t="str">
        <f>VLOOKUP(C318,REGISTRE!B:G,2,FALSE)</f>
        <v>Haut-Katanga</v>
      </c>
      <c r="G318" s="1">
        <f>VLOOKUP(C318,REGISTRE!B:G,3,FALSE)</f>
        <v>-10.945031</v>
      </c>
      <c r="H318" s="1">
        <f>VLOOKUP(C318,REGISTRE!B:G,4,FALSE)</f>
        <v>27.922274000000002</v>
      </c>
      <c r="I318" s="1" t="str">
        <f>VLOOKUP(C318,REGISTRE!B:G,5,FALSE)</f>
        <v>4G</v>
      </c>
      <c r="J318" s="1" t="str">
        <f>VLOOKUP(C318,REGISTRE!B:G,6,FALSE)</f>
        <v>Ericsson</v>
      </c>
      <c r="K318" s="1" t="str">
        <f>INT(LOGS_Rx5[[#This Row],[Duree_Panne_Min]]/60) &amp; " h " &amp; MOD(LOGS_Rx5[[#This Row],[Duree_Panne_Min]],60) &amp; " min " &amp; "0 s"</f>
        <v>1 h 27 min 0 s</v>
      </c>
    </row>
    <row r="319" spans="1:11" x14ac:dyDescent="0.35">
      <c r="A319" s="1" t="s">
        <v>1389</v>
      </c>
      <c r="B319" s="2">
        <v>45200.506249999999</v>
      </c>
      <c r="C319" s="1" t="s">
        <v>1233</v>
      </c>
      <c r="D319">
        <v>99</v>
      </c>
      <c r="E319" s="1" t="s">
        <v>735</v>
      </c>
      <c r="F319" s="1" t="str">
        <f>VLOOKUP(C319,REGISTRE!B:G,2,FALSE)</f>
        <v>Haut-Katanga</v>
      </c>
      <c r="G319" s="1">
        <f>VLOOKUP(C319,REGISTRE!B:G,3,FALSE)</f>
        <v>-10.945031</v>
      </c>
      <c r="H319" s="1">
        <f>VLOOKUP(C319,REGISTRE!B:G,4,FALSE)</f>
        <v>27.922274000000002</v>
      </c>
      <c r="I319" s="1" t="str">
        <f>VLOOKUP(C319,REGISTRE!B:G,5,FALSE)</f>
        <v>4G</v>
      </c>
      <c r="J319" s="1" t="str">
        <f>VLOOKUP(C319,REGISTRE!B:G,6,FALSE)</f>
        <v>Ericsson</v>
      </c>
      <c r="K319" s="1" t="str">
        <f>INT(LOGS_Rx5[[#This Row],[Duree_Panne_Min]]/60) &amp; " h " &amp; MOD(LOGS_Rx5[[#This Row],[Duree_Panne_Min]],60) &amp; " min " &amp; "0 s"</f>
        <v>1 h 39 min 0 s</v>
      </c>
    </row>
    <row r="320" spans="1:11" x14ac:dyDescent="0.35">
      <c r="A320" s="1" t="s">
        <v>1120</v>
      </c>
      <c r="B320" s="2">
        <v>45217.384722222218</v>
      </c>
      <c r="C320" s="1" t="s">
        <v>1140</v>
      </c>
      <c r="D320">
        <v>99</v>
      </c>
      <c r="E320" s="1" t="s">
        <v>738</v>
      </c>
      <c r="F320" s="1" t="str">
        <f>VLOOKUP(C320,REGISTRE!B:G,2,FALSE)</f>
        <v>Haut-Lomami</v>
      </c>
      <c r="G320" s="1">
        <f>VLOOKUP(C320,REGISTRE!B:G,3,FALSE)</f>
        <v>-4.8157019999999999</v>
      </c>
      <c r="H320" s="1">
        <f>VLOOKUP(C320,REGISTRE!B:G,4,FALSE)</f>
        <v>27.679798000000002</v>
      </c>
      <c r="I320" s="1" t="str">
        <f>VLOOKUP(C320,REGISTRE!B:G,5,FALSE)</f>
        <v>3G</v>
      </c>
      <c r="J320" s="1" t="str">
        <f>VLOOKUP(C320,REGISTRE!B:G,6,FALSE)</f>
        <v>Ericsson</v>
      </c>
      <c r="K320" s="1" t="str">
        <f>INT(LOGS_Rx5[[#This Row],[Duree_Panne_Min]]/60) &amp; " h " &amp; MOD(LOGS_Rx5[[#This Row],[Duree_Panne_Min]],60) &amp; " min " &amp; "0 s"</f>
        <v>1 h 39 min 0 s</v>
      </c>
    </row>
    <row r="321" spans="1:11" x14ac:dyDescent="0.35">
      <c r="A321" s="1" t="s">
        <v>1091</v>
      </c>
      <c r="B321" s="2">
        <v>45228.736111111109</v>
      </c>
      <c r="C321" s="1" t="s">
        <v>1106</v>
      </c>
      <c r="D321">
        <v>66</v>
      </c>
      <c r="E321" s="1" t="s">
        <v>740</v>
      </c>
      <c r="F321" s="1" t="str">
        <f>VLOOKUP(C321,REGISTRE!B:G,2,FALSE)</f>
        <v>Kasai-Oriental</v>
      </c>
      <c r="G321" s="1">
        <f>VLOOKUP(C321,REGISTRE!B:G,3,FALSE)</f>
        <v>-4.4831099999999999</v>
      </c>
      <c r="H321" s="1">
        <f>VLOOKUP(C321,REGISTRE!B:G,4,FALSE)</f>
        <v>25.406548000000001</v>
      </c>
      <c r="I321" s="1" t="str">
        <f>VLOOKUP(C321,REGISTRE!B:G,5,FALSE)</f>
        <v>5G</v>
      </c>
      <c r="J321" s="1" t="str">
        <f>VLOOKUP(C321,REGISTRE!B:G,6,FALSE)</f>
        <v>Nokia</v>
      </c>
      <c r="K321" s="1" t="str">
        <f>INT(LOGS_Rx5[[#This Row],[Duree_Panne_Min]]/60) &amp; " h " &amp; MOD(LOGS_Rx5[[#This Row],[Duree_Panne_Min]],60) &amp; " min " &amp; "0 s"</f>
        <v>1 h 6 min 0 s</v>
      </c>
    </row>
    <row r="322" spans="1:11" x14ac:dyDescent="0.35">
      <c r="A322" s="1" t="s">
        <v>864</v>
      </c>
      <c r="B322" s="2">
        <v>45209.901388888888</v>
      </c>
      <c r="C322" s="1" t="s">
        <v>896</v>
      </c>
      <c r="D322">
        <v>68</v>
      </c>
      <c r="E322" s="1" t="s">
        <v>738</v>
      </c>
      <c r="F322" s="1" t="str">
        <f>VLOOKUP(C322,REGISTRE!B:G,2,FALSE)</f>
        <v>Sud-Ubangi</v>
      </c>
      <c r="G322" s="1">
        <f>VLOOKUP(C322,REGISTRE!B:G,3,FALSE)</f>
        <v>-8.3241560000000003</v>
      </c>
      <c r="H322" s="1">
        <f>VLOOKUP(C322,REGISTRE!B:G,4,FALSE)</f>
        <v>19.543866000000001</v>
      </c>
      <c r="I322" s="1" t="str">
        <f>VLOOKUP(C322,REGISTRE!B:G,5,FALSE)</f>
        <v>4G</v>
      </c>
      <c r="J322" s="1" t="str">
        <f>VLOOKUP(C322,REGISTRE!B:G,6,FALSE)</f>
        <v>ZTE</v>
      </c>
      <c r="K322" s="1" t="str">
        <f>INT(LOGS_Rx5[[#This Row],[Duree_Panne_Min]]/60) &amp; " h " &amp; MOD(LOGS_Rx5[[#This Row],[Duree_Panne_Min]],60) &amp; " min " &amp; "0 s"</f>
        <v>1 h 8 min 0 s</v>
      </c>
    </row>
    <row r="323" spans="1:11" x14ac:dyDescent="0.35">
      <c r="A323" s="1" t="s">
        <v>782</v>
      </c>
      <c r="B323" s="2">
        <v>45208.279166666667</v>
      </c>
      <c r="C323" s="1" t="s">
        <v>819</v>
      </c>
      <c r="D323">
        <v>41</v>
      </c>
      <c r="E323" s="1" t="s">
        <v>738</v>
      </c>
      <c r="F323" s="1" t="str">
        <f>VLOOKUP(C323,REGISTRE!B:G,2,FALSE)</f>
        <v>Nord-Ubangi</v>
      </c>
      <c r="G323" s="1">
        <f>VLOOKUP(C323,REGISTRE!B:G,3,FALSE)</f>
        <v>-9.3066320000000005</v>
      </c>
      <c r="H323" s="1">
        <f>VLOOKUP(C323,REGISTRE!B:G,4,FALSE)</f>
        <v>20.470889</v>
      </c>
      <c r="I323" s="1" t="str">
        <f>VLOOKUP(C323,REGISTRE!B:G,5,FALSE)</f>
        <v>5G</v>
      </c>
      <c r="J323" s="1" t="str">
        <f>VLOOKUP(C323,REGISTRE!B:G,6,FALSE)</f>
        <v>ZTE</v>
      </c>
      <c r="K323" s="1" t="str">
        <f>INT(LOGS_Rx5[[#This Row],[Duree_Panne_Min]]/60) &amp; " h " &amp; MOD(LOGS_Rx5[[#This Row],[Duree_Panne_Min]],60) &amp; " min " &amp; "0 s"</f>
        <v>0 h 41 min 0 s</v>
      </c>
    </row>
    <row r="324" spans="1:11" x14ac:dyDescent="0.35">
      <c r="A324" s="1" t="s">
        <v>981</v>
      </c>
      <c r="B324" s="2">
        <v>45221.27847222222</v>
      </c>
      <c r="C324" s="1" t="s">
        <v>994</v>
      </c>
      <c r="D324">
        <v>83</v>
      </c>
      <c r="E324" s="1" t="s">
        <v>740</v>
      </c>
      <c r="F324" s="1" t="str">
        <f>VLOOKUP(C324,REGISTRE!B:G,2,FALSE)</f>
        <v>Tshuapa</v>
      </c>
      <c r="G324" s="1">
        <f>VLOOKUP(C324,REGISTRE!B:G,3,FALSE)</f>
        <v>-12.292039000000001</v>
      </c>
      <c r="H324" s="1">
        <f>VLOOKUP(C324,REGISTRE!B:G,4,FALSE)</f>
        <v>27.538202999999999</v>
      </c>
      <c r="I324" s="1" t="str">
        <f>VLOOKUP(C324,REGISTRE!B:G,5,FALSE)</f>
        <v>3G</v>
      </c>
      <c r="J324" s="1" t="str">
        <f>VLOOKUP(C324,REGISTRE!B:G,6,FALSE)</f>
        <v>Huawei</v>
      </c>
      <c r="K324" s="1" t="str">
        <f>INT(LOGS_Rx5[[#This Row],[Duree_Panne_Min]]/60) &amp; " h " &amp; MOD(LOGS_Rx5[[#This Row],[Duree_Panne_Min]],60) &amp; " min " &amp; "0 s"</f>
        <v>1 h 23 min 0 s</v>
      </c>
    </row>
    <row r="325" spans="1:11" x14ac:dyDescent="0.35">
      <c r="A325" s="1" t="s">
        <v>1002</v>
      </c>
      <c r="B325" s="2">
        <v>45205.47152777778</v>
      </c>
      <c r="C325" s="1" t="s">
        <v>1017</v>
      </c>
      <c r="D325">
        <v>50</v>
      </c>
      <c r="E325" s="1" t="s">
        <v>738</v>
      </c>
      <c r="F325" s="1" t="str">
        <f>VLOOKUP(C325,REGISTRE!B:G,2,FALSE)</f>
        <v>Haut-Lomami</v>
      </c>
      <c r="G325" s="1">
        <f>VLOOKUP(C325,REGISTRE!B:G,3,FALSE)</f>
        <v>2.628638</v>
      </c>
      <c r="H325" s="1">
        <f>VLOOKUP(C325,REGISTRE!B:G,4,FALSE)</f>
        <v>28.420582</v>
      </c>
      <c r="I325" s="1" t="str">
        <f>VLOOKUP(C325,REGISTRE!B:G,5,FALSE)</f>
        <v>4G</v>
      </c>
      <c r="J325" s="1" t="str">
        <f>VLOOKUP(C325,REGISTRE!B:G,6,FALSE)</f>
        <v>Huawei</v>
      </c>
      <c r="K325" s="1" t="str">
        <f>INT(LOGS_Rx5[[#This Row],[Duree_Panne_Min]]/60) &amp; " h " &amp; MOD(LOGS_Rx5[[#This Row],[Duree_Panne_Min]],60) &amp; " min " &amp; "0 s"</f>
        <v>0 h 50 min 0 s</v>
      </c>
    </row>
    <row r="326" spans="1:11" x14ac:dyDescent="0.35">
      <c r="A326" s="1" t="s">
        <v>1314</v>
      </c>
      <c r="B326" s="2">
        <v>45200.342361111107</v>
      </c>
      <c r="C326" s="1" t="s">
        <v>1017</v>
      </c>
      <c r="D326">
        <v>86</v>
      </c>
      <c r="E326" s="1" t="s">
        <v>738</v>
      </c>
      <c r="F326" s="1" t="str">
        <f>VLOOKUP(C326,REGISTRE!B:G,2,FALSE)</f>
        <v>Haut-Lomami</v>
      </c>
      <c r="G326" s="1">
        <f>VLOOKUP(C326,REGISTRE!B:G,3,FALSE)</f>
        <v>2.628638</v>
      </c>
      <c r="H326" s="1">
        <f>VLOOKUP(C326,REGISTRE!B:G,4,FALSE)</f>
        <v>28.420582</v>
      </c>
      <c r="I326" s="1" t="str">
        <f>VLOOKUP(C326,REGISTRE!B:G,5,FALSE)</f>
        <v>4G</v>
      </c>
      <c r="J326" s="1" t="str">
        <f>VLOOKUP(C326,REGISTRE!B:G,6,FALSE)</f>
        <v>Huawei</v>
      </c>
      <c r="K326" s="1" t="str">
        <f>INT(LOGS_Rx5[[#This Row],[Duree_Panne_Min]]/60) &amp; " h " &amp; MOD(LOGS_Rx5[[#This Row],[Duree_Panne_Min]],60) &amp; " min " &amp; "0 s"</f>
        <v>1 h 26 min 0 s</v>
      </c>
    </row>
    <row r="327" spans="1:11" x14ac:dyDescent="0.35">
      <c r="A327" s="1" t="s">
        <v>1199</v>
      </c>
      <c r="B327" s="2">
        <v>45213.238194444442</v>
      </c>
      <c r="C327" s="1" t="s">
        <v>1207</v>
      </c>
      <c r="D327">
        <v>53</v>
      </c>
      <c r="E327" s="1" t="s">
        <v>738</v>
      </c>
      <c r="F327" s="1" t="str">
        <f>VLOOKUP(C327,REGISTRE!B:G,2,FALSE)</f>
        <v>Nord-Ubangi</v>
      </c>
      <c r="G327" s="1">
        <f>VLOOKUP(C327,REGISTRE!B:G,3,FALSE)</f>
        <v>-8.4985189999999999</v>
      </c>
      <c r="H327" s="1">
        <f>VLOOKUP(C327,REGISTRE!B:G,4,FALSE)</f>
        <v>12.929456999999999</v>
      </c>
      <c r="I327" s="1" t="str">
        <f>VLOOKUP(C327,REGISTRE!B:G,5,FALSE)</f>
        <v>4G</v>
      </c>
      <c r="J327" s="1" t="str">
        <f>VLOOKUP(C327,REGISTRE!B:G,6,FALSE)</f>
        <v>Ericsson</v>
      </c>
      <c r="K327" s="1" t="str">
        <f>INT(LOGS_Rx5[[#This Row],[Duree_Panne_Min]]/60) &amp; " h " &amp; MOD(LOGS_Rx5[[#This Row],[Duree_Panne_Min]],60) &amp; " min " &amp; "0 s"</f>
        <v>0 h 53 min 0 s</v>
      </c>
    </row>
    <row r="328" spans="1:11" x14ac:dyDescent="0.35">
      <c r="A328" s="1" t="s">
        <v>1267</v>
      </c>
      <c r="B328" s="2">
        <v>45229.972222222219</v>
      </c>
      <c r="C328" s="1" t="s">
        <v>1207</v>
      </c>
      <c r="D328">
        <v>5</v>
      </c>
      <c r="E328" s="1" t="s">
        <v>740</v>
      </c>
      <c r="F328" s="1" t="str">
        <f>VLOOKUP(C328,REGISTRE!B:G,2,FALSE)</f>
        <v>Nord-Ubangi</v>
      </c>
      <c r="G328" s="1">
        <f>VLOOKUP(C328,REGISTRE!B:G,3,FALSE)</f>
        <v>-8.4985189999999999</v>
      </c>
      <c r="H328" s="1">
        <f>VLOOKUP(C328,REGISTRE!B:G,4,FALSE)</f>
        <v>12.929456999999999</v>
      </c>
      <c r="I328" s="1" t="str">
        <f>VLOOKUP(C328,REGISTRE!B:G,5,FALSE)</f>
        <v>4G</v>
      </c>
      <c r="J328" s="1" t="str">
        <f>VLOOKUP(C328,REGISTRE!B:G,6,FALSE)</f>
        <v>Ericsson</v>
      </c>
      <c r="K328" s="1" t="str">
        <f>INT(LOGS_Rx5[[#This Row],[Duree_Panne_Min]]/60) &amp; " h " &amp; MOD(LOGS_Rx5[[#This Row],[Duree_Panne_Min]],60) &amp; " min " &amp; "0 s"</f>
        <v>0 h 5 min 0 s</v>
      </c>
    </row>
    <row r="329" spans="1:11" x14ac:dyDescent="0.35">
      <c r="A329" s="1" t="s">
        <v>1294</v>
      </c>
      <c r="B329" s="2">
        <v>45226.209027777782</v>
      </c>
      <c r="C329" s="1" t="s">
        <v>1207</v>
      </c>
      <c r="D329">
        <v>81</v>
      </c>
      <c r="E329" s="1" t="s">
        <v>740</v>
      </c>
      <c r="F329" s="1" t="str">
        <f>VLOOKUP(C329,REGISTRE!B:G,2,FALSE)</f>
        <v>Nord-Ubangi</v>
      </c>
      <c r="G329" s="1">
        <f>VLOOKUP(C329,REGISTRE!B:G,3,FALSE)</f>
        <v>-8.4985189999999999</v>
      </c>
      <c r="H329" s="1">
        <f>VLOOKUP(C329,REGISTRE!B:G,4,FALSE)</f>
        <v>12.929456999999999</v>
      </c>
      <c r="I329" s="1" t="str">
        <f>VLOOKUP(C329,REGISTRE!B:G,5,FALSE)</f>
        <v>4G</v>
      </c>
      <c r="J329" s="1" t="str">
        <f>VLOOKUP(C329,REGISTRE!B:G,6,FALSE)</f>
        <v>Ericsson</v>
      </c>
      <c r="K329" s="1" t="str">
        <f>INT(LOGS_Rx5[[#This Row],[Duree_Panne_Min]]/60) &amp; " h " &amp; MOD(LOGS_Rx5[[#This Row],[Duree_Panne_Min]],60) &amp; " min " &amp; "0 s"</f>
        <v>1 h 21 min 0 s</v>
      </c>
    </row>
    <row r="330" spans="1:11" x14ac:dyDescent="0.35">
      <c r="A330" s="1" t="s">
        <v>864</v>
      </c>
      <c r="B330" s="2">
        <v>45212.965277777781</v>
      </c>
      <c r="C330" s="1" t="s">
        <v>867</v>
      </c>
      <c r="D330">
        <v>27</v>
      </c>
      <c r="E330" s="1" t="s">
        <v>740</v>
      </c>
      <c r="F330" s="1" t="str">
        <f>VLOOKUP(C330,REGISTRE!B:G,2,FALSE)</f>
        <v>Kongo-Central</v>
      </c>
      <c r="G330" s="1">
        <f>VLOOKUP(C330,REGISTRE!B:G,3,FALSE)</f>
        <v>0.79124300000000003</v>
      </c>
      <c r="H330" s="1">
        <f>VLOOKUP(C330,REGISTRE!B:G,4,FALSE)</f>
        <v>25.273389000000002</v>
      </c>
      <c r="I330" s="1" t="str">
        <f>VLOOKUP(C330,REGISTRE!B:G,5,FALSE)</f>
        <v>4G</v>
      </c>
      <c r="J330" s="1" t="str">
        <f>VLOOKUP(C330,REGISTRE!B:G,6,FALSE)</f>
        <v>Nokia</v>
      </c>
      <c r="K330" s="1" t="str">
        <f>INT(LOGS_Rx5[[#This Row],[Duree_Panne_Min]]/60) &amp; " h " &amp; MOD(LOGS_Rx5[[#This Row],[Duree_Panne_Min]],60) &amp; " min " &amp; "0 s"</f>
        <v>0 h 27 min 0 s</v>
      </c>
    </row>
    <row r="331" spans="1:11" x14ac:dyDescent="0.35">
      <c r="A331" s="1" t="s">
        <v>981</v>
      </c>
      <c r="B331" s="2">
        <v>45218.286111111112</v>
      </c>
      <c r="C331" s="1" t="s">
        <v>997</v>
      </c>
      <c r="D331">
        <v>89</v>
      </c>
      <c r="E331" s="1" t="s">
        <v>735</v>
      </c>
      <c r="F331" s="1" t="str">
        <f>VLOOKUP(C331,REGISTRE!B:G,2,FALSE)</f>
        <v>Kwango</v>
      </c>
      <c r="G331" s="1">
        <f>VLOOKUP(C331,REGISTRE!B:G,3,FALSE)</f>
        <v>-7.5129409999999996</v>
      </c>
      <c r="H331" s="1">
        <f>VLOOKUP(C331,REGISTRE!B:G,4,FALSE)</f>
        <v>18.701522000000001</v>
      </c>
      <c r="I331" s="1" t="str">
        <f>VLOOKUP(C331,REGISTRE!B:G,5,FALSE)</f>
        <v>4G</v>
      </c>
      <c r="J331" s="1" t="str">
        <f>VLOOKUP(C331,REGISTRE!B:G,6,FALSE)</f>
        <v>Nokia</v>
      </c>
      <c r="K331" s="1" t="str">
        <f>INT(LOGS_Rx5[[#This Row],[Duree_Panne_Min]]/60) &amp; " h " &amp; MOD(LOGS_Rx5[[#This Row],[Duree_Panne_Min]],60) &amp; " min " &amp; "0 s"</f>
        <v>1 h 29 min 0 s</v>
      </c>
    </row>
    <row r="332" spans="1:11" x14ac:dyDescent="0.35">
      <c r="A332" s="1" t="s">
        <v>1389</v>
      </c>
      <c r="B332" s="2">
        <v>45221.197916666657</v>
      </c>
      <c r="C332" s="1" t="s">
        <v>997</v>
      </c>
      <c r="D332">
        <v>61</v>
      </c>
      <c r="E332" s="1" t="s">
        <v>740</v>
      </c>
      <c r="F332" s="1" t="str">
        <f>VLOOKUP(C332,REGISTRE!B:G,2,FALSE)</f>
        <v>Kwango</v>
      </c>
      <c r="G332" s="1">
        <f>VLOOKUP(C332,REGISTRE!B:G,3,FALSE)</f>
        <v>-7.5129409999999996</v>
      </c>
      <c r="H332" s="1">
        <f>VLOOKUP(C332,REGISTRE!B:G,4,FALSE)</f>
        <v>18.701522000000001</v>
      </c>
      <c r="I332" s="1" t="str">
        <f>VLOOKUP(C332,REGISTRE!B:G,5,FALSE)</f>
        <v>4G</v>
      </c>
      <c r="J332" s="1" t="str">
        <f>VLOOKUP(C332,REGISTRE!B:G,6,FALSE)</f>
        <v>Nokia</v>
      </c>
      <c r="K332" s="1" t="str">
        <f>INT(LOGS_Rx5[[#This Row],[Duree_Panne_Min]]/60) &amp; " h " &amp; MOD(LOGS_Rx5[[#This Row],[Duree_Panne_Min]],60) &amp; " min " &amp; "0 s"</f>
        <v>1 h 1 min 0 s</v>
      </c>
    </row>
    <row r="333" spans="1:11" x14ac:dyDescent="0.35">
      <c r="A333" s="1" t="s">
        <v>733</v>
      </c>
      <c r="B333" s="2">
        <v>45208.957638888889</v>
      </c>
      <c r="C333" s="1" t="s">
        <v>767</v>
      </c>
      <c r="D333">
        <v>115</v>
      </c>
      <c r="E333" s="1" t="s">
        <v>735</v>
      </c>
      <c r="F333" s="1" t="str">
        <f>VLOOKUP(C333,REGISTRE!B:G,2,FALSE)</f>
        <v>Tshopo</v>
      </c>
      <c r="G333" s="1">
        <f>VLOOKUP(C333,REGISTRE!B:G,3,FALSE)</f>
        <v>-6.1837850000000003</v>
      </c>
      <c r="H333" s="1">
        <f>VLOOKUP(C333,REGISTRE!B:G,4,FALSE)</f>
        <v>25.138759</v>
      </c>
      <c r="I333" s="1" t="str">
        <f>VLOOKUP(C333,REGISTRE!B:G,5,FALSE)</f>
        <v>3G</v>
      </c>
      <c r="J333" s="1" t="str">
        <f>VLOOKUP(C333,REGISTRE!B:G,6,FALSE)</f>
        <v>Ericsson</v>
      </c>
      <c r="K333" s="1" t="str">
        <f>INT(LOGS_Rx5[[#This Row],[Duree_Panne_Min]]/60) &amp; " h " &amp; MOD(LOGS_Rx5[[#This Row],[Duree_Panne_Min]],60) &amp; " min " &amp; "0 s"</f>
        <v>1 h 55 min 0 s</v>
      </c>
    </row>
    <row r="334" spans="1:11" x14ac:dyDescent="0.35">
      <c r="A334" s="1" t="s">
        <v>1294</v>
      </c>
      <c r="B334" s="2">
        <v>45200.534722222219</v>
      </c>
      <c r="C334" s="1" t="s">
        <v>1310</v>
      </c>
      <c r="D334">
        <v>50</v>
      </c>
      <c r="E334" s="1" t="s">
        <v>740</v>
      </c>
      <c r="F334" s="1" t="str">
        <f>VLOOKUP(C334,REGISTRE!B:G,2,FALSE)</f>
        <v>Tshuapa</v>
      </c>
      <c r="G334" s="1">
        <f>VLOOKUP(C334,REGISTRE!B:G,3,FALSE)</f>
        <v>-7.7587710000000003</v>
      </c>
      <c r="H334" s="1">
        <f>VLOOKUP(C334,REGISTRE!B:G,4,FALSE)</f>
        <v>17.880848</v>
      </c>
      <c r="I334" s="1" t="str">
        <f>VLOOKUP(C334,REGISTRE!B:G,5,FALSE)</f>
        <v>3G</v>
      </c>
      <c r="J334" s="1" t="str">
        <f>VLOOKUP(C334,REGISTRE!B:G,6,FALSE)</f>
        <v>Ericsson</v>
      </c>
      <c r="K334" s="1" t="str">
        <f>INT(LOGS_Rx5[[#This Row],[Duree_Panne_Min]]/60) &amp; " h " &amp; MOD(LOGS_Rx5[[#This Row],[Duree_Panne_Min]],60) &amp; " min " &amp; "0 s"</f>
        <v>0 h 50 min 0 s</v>
      </c>
    </row>
    <row r="335" spans="1:11" x14ac:dyDescent="0.35">
      <c r="A335" s="1" t="s">
        <v>1368</v>
      </c>
      <c r="B335" s="2">
        <v>45213.87222222222</v>
      </c>
      <c r="C335" s="1" t="s">
        <v>1373</v>
      </c>
      <c r="D335">
        <v>46</v>
      </c>
      <c r="E335" s="1" t="s">
        <v>738</v>
      </c>
      <c r="F335" s="1" t="str">
        <f>VLOOKUP(C335,REGISTRE!B:G,2,FALSE)</f>
        <v>Sankuru</v>
      </c>
      <c r="G335" s="1">
        <f>VLOOKUP(C335,REGISTRE!B:G,3,FALSE)</f>
        <v>-7.513261</v>
      </c>
      <c r="H335" s="1">
        <f>VLOOKUP(C335,REGISTRE!B:G,4,FALSE)</f>
        <v>24.338812000000001</v>
      </c>
      <c r="I335" s="1" t="str">
        <f>VLOOKUP(C335,REGISTRE!B:G,5,FALSE)</f>
        <v>5G</v>
      </c>
      <c r="J335" s="1" t="str">
        <f>VLOOKUP(C335,REGISTRE!B:G,6,FALSE)</f>
        <v>Huawei</v>
      </c>
      <c r="K335" s="1" t="str">
        <f>INT(LOGS_Rx5[[#This Row],[Duree_Panne_Min]]/60) &amp; " h " &amp; MOD(LOGS_Rx5[[#This Row],[Duree_Panne_Min]],60) &amp; " min " &amp; "0 s"</f>
        <v>0 h 46 min 0 s</v>
      </c>
    </row>
    <row r="336" spans="1:11" x14ac:dyDescent="0.35">
      <c r="A336" s="1" t="s">
        <v>981</v>
      </c>
      <c r="B336" s="2">
        <v>45217.368750000001</v>
      </c>
      <c r="C336" s="1" t="s">
        <v>998</v>
      </c>
      <c r="D336">
        <v>8</v>
      </c>
      <c r="E336" s="1" t="s">
        <v>735</v>
      </c>
      <c r="F336" s="1" t="str">
        <f>VLOOKUP(C336,REGISTRE!B:G,2,FALSE)</f>
        <v>Nord-Kivu</v>
      </c>
      <c r="G336" s="1">
        <f>VLOOKUP(C336,REGISTRE!B:G,3,FALSE)</f>
        <v>-4.1754939999999996</v>
      </c>
      <c r="H336" s="1">
        <f>VLOOKUP(C336,REGISTRE!B:G,4,FALSE)</f>
        <v>16.704664999999999</v>
      </c>
      <c r="I336" s="1" t="str">
        <f>VLOOKUP(C336,REGISTRE!B:G,5,FALSE)</f>
        <v>3G</v>
      </c>
      <c r="J336" s="1" t="str">
        <f>VLOOKUP(C336,REGISTRE!B:G,6,FALSE)</f>
        <v>Ericsson</v>
      </c>
      <c r="K336" s="1" t="str">
        <f>INT(LOGS_Rx5[[#This Row],[Duree_Panne_Min]]/60) &amp; " h " &amp; MOD(LOGS_Rx5[[#This Row],[Duree_Panne_Min]],60) &amp; " min " &amp; "0 s"</f>
        <v>0 h 8 min 0 s</v>
      </c>
    </row>
    <row r="337" spans="1:11" x14ac:dyDescent="0.35">
      <c r="A337" s="1" t="s">
        <v>1028</v>
      </c>
      <c r="B337" s="2">
        <v>45219.181250000001</v>
      </c>
      <c r="C337" s="1" t="s">
        <v>998</v>
      </c>
      <c r="D337">
        <v>97</v>
      </c>
      <c r="E337" s="1" t="s">
        <v>738</v>
      </c>
      <c r="F337" s="1" t="str">
        <f>VLOOKUP(C337,REGISTRE!B:G,2,FALSE)</f>
        <v>Nord-Kivu</v>
      </c>
      <c r="G337" s="1">
        <f>VLOOKUP(C337,REGISTRE!B:G,3,FALSE)</f>
        <v>-4.1754939999999996</v>
      </c>
      <c r="H337" s="1">
        <f>VLOOKUP(C337,REGISTRE!B:G,4,FALSE)</f>
        <v>16.704664999999999</v>
      </c>
      <c r="I337" s="1" t="str">
        <f>VLOOKUP(C337,REGISTRE!B:G,5,FALSE)</f>
        <v>3G</v>
      </c>
      <c r="J337" s="1" t="str">
        <f>VLOOKUP(C337,REGISTRE!B:G,6,FALSE)</f>
        <v>Ericsson</v>
      </c>
      <c r="K337" s="1" t="str">
        <f>INT(LOGS_Rx5[[#This Row],[Duree_Panne_Min]]/60) &amp; " h " &amp; MOD(LOGS_Rx5[[#This Row],[Duree_Panne_Min]],60) &amp; " min " &amp; "0 s"</f>
        <v>1 h 37 min 0 s</v>
      </c>
    </row>
    <row r="338" spans="1:11" x14ac:dyDescent="0.35">
      <c r="A338" s="1" t="s">
        <v>1351</v>
      </c>
      <c r="B338" s="2">
        <v>45206.974305555559</v>
      </c>
      <c r="C338" s="1" t="s">
        <v>1365</v>
      </c>
      <c r="D338">
        <v>53</v>
      </c>
      <c r="E338" s="1" t="s">
        <v>738</v>
      </c>
      <c r="F338" s="1" t="str">
        <f>VLOOKUP(C338,REGISTRE!B:G,2,FALSE)</f>
        <v>Haut-Katanga</v>
      </c>
      <c r="G338" s="1">
        <f>VLOOKUP(C338,REGISTRE!B:G,3,FALSE)</f>
        <v>-2.926736</v>
      </c>
      <c r="H338" s="1">
        <f>VLOOKUP(C338,REGISTRE!B:G,4,FALSE)</f>
        <v>18.170461</v>
      </c>
      <c r="I338" s="1" t="str">
        <f>VLOOKUP(C338,REGISTRE!B:G,5,FALSE)</f>
        <v>5G</v>
      </c>
      <c r="J338" s="1" t="str">
        <f>VLOOKUP(C338,REGISTRE!B:G,6,FALSE)</f>
        <v>Ericsson</v>
      </c>
      <c r="K338" s="1" t="str">
        <f>INT(LOGS_Rx5[[#This Row],[Duree_Panne_Min]]/60) &amp; " h " &amp; MOD(LOGS_Rx5[[#This Row],[Duree_Panne_Min]],60) &amp; " min " &amp; "0 s"</f>
        <v>0 h 53 min 0 s</v>
      </c>
    </row>
    <row r="339" spans="1:11" x14ac:dyDescent="0.35">
      <c r="A339" s="1" t="s">
        <v>1247</v>
      </c>
      <c r="B339" s="2">
        <v>45217.755555555559</v>
      </c>
      <c r="C339" s="1" t="s">
        <v>1253</v>
      </c>
      <c r="D339">
        <v>100</v>
      </c>
      <c r="E339" s="1" t="s">
        <v>735</v>
      </c>
      <c r="F339" s="1" t="str">
        <f>VLOOKUP(C339,REGISTRE!B:G,2,FALSE)</f>
        <v>Haut-Uele</v>
      </c>
      <c r="G339" s="1">
        <f>VLOOKUP(C339,REGISTRE!B:G,3,FALSE)</f>
        <v>-3.003879</v>
      </c>
      <c r="H339" s="1">
        <f>VLOOKUP(C339,REGISTRE!B:G,4,FALSE)</f>
        <v>23.633893</v>
      </c>
      <c r="I339" s="1" t="str">
        <f>VLOOKUP(C339,REGISTRE!B:G,5,FALSE)</f>
        <v>5G</v>
      </c>
      <c r="J339" s="1" t="str">
        <f>VLOOKUP(C339,REGISTRE!B:G,6,FALSE)</f>
        <v>Ericsson</v>
      </c>
      <c r="K339" s="1" t="str">
        <f>INT(LOGS_Rx5[[#This Row],[Duree_Panne_Min]]/60) &amp; " h " &amp; MOD(LOGS_Rx5[[#This Row],[Duree_Panne_Min]],60) &amp; " min " &amp; "0 s"</f>
        <v>1 h 40 min 0 s</v>
      </c>
    </row>
    <row r="340" spans="1:11" x14ac:dyDescent="0.35">
      <c r="A340" s="1" t="s">
        <v>733</v>
      </c>
      <c r="B340" s="2">
        <v>45214.713194444441</v>
      </c>
      <c r="C340" s="1" t="s">
        <v>756</v>
      </c>
      <c r="D340">
        <v>25</v>
      </c>
      <c r="E340" s="1" t="s">
        <v>735</v>
      </c>
      <c r="F340" s="1" t="str">
        <f>VLOOKUP(C340,REGISTRE!B:G,2,FALSE)</f>
        <v>Haut-Katanga</v>
      </c>
      <c r="G340" s="1">
        <f>VLOOKUP(C340,REGISTRE!B:G,3,FALSE)</f>
        <v>0.172153</v>
      </c>
      <c r="H340" s="1">
        <f>VLOOKUP(C340,REGISTRE!B:G,4,FALSE)</f>
        <v>21.091376</v>
      </c>
      <c r="I340" s="1" t="str">
        <f>VLOOKUP(C340,REGISTRE!B:G,5,FALSE)</f>
        <v>3G</v>
      </c>
      <c r="J340" s="1" t="str">
        <f>VLOOKUP(C340,REGISTRE!B:G,6,FALSE)</f>
        <v>Ericsson</v>
      </c>
      <c r="K340" s="1" t="str">
        <f>INT(LOGS_Rx5[[#This Row],[Duree_Panne_Min]]/60) &amp; " h " &amp; MOD(LOGS_Rx5[[#This Row],[Duree_Panne_Min]],60) &amp; " min " &amp; "0 s"</f>
        <v>0 h 25 min 0 s</v>
      </c>
    </row>
    <row r="341" spans="1:11" x14ac:dyDescent="0.35">
      <c r="A341" s="1" t="s">
        <v>905</v>
      </c>
      <c r="B341" s="2">
        <v>45201.574305555558</v>
      </c>
      <c r="C341" s="1" t="s">
        <v>756</v>
      </c>
      <c r="D341">
        <v>75</v>
      </c>
      <c r="E341" s="1" t="s">
        <v>740</v>
      </c>
      <c r="F341" s="1" t="str">
        <f>VLOOKUP(C341,REGISTRE!B:G,2,FALSE)</f>
        <v>Haut-Katanga</v>
      </c>
      <c r="G341" s="1">
        <f>VLOOKUP(C341,REGISTRE!B:G,3,FALSE)</f>
        <v>0.172153</v>
      </c>
      <c r="H341" s="1">
        <f>VLOOKUP(C341,REGISTRE!B:G,4,FALSE)</f>
        <v>21.091376</v>
      </c>
      <c r="I341" s="1" t="str">
        <f>VLOOKUP(C341,REGISTRE!B:G,5,FALSE)</f>
        <v>3G</v>
      </c>
      <c r="J341" s="1" t="str">
        <f>VLOOKUP(C341,REGISTRE!B:G,6,FALSE)</f>
        <v>Ericsson</v>
      </c>
      <c r="K341" s="1" t="str">
        <f>INT(LOGS_Rx5[[#This Row],[Duree_Panne_Min]]/60) &amp; " h " &amp; MOD(LOGS_Rx5[[#This Row],[Duree_Panne_Min]],60) &amp; " min " &amp; "0 s"</f>
        <v>1 h 15 min 0 s</v>
      </c>
    </row>
    <row r="342" spans="1:11" x14ac:dyDescent="0.35">
      <c r="A342" s="1" t="s">
        <v>1336</v>
      </c>
      <c r="B342" s="2">
        <v>45224.428472222222</v>
      </c>
      <c r="C342" s="1" t="s">
        <v>756</v>
      </c>
      <c r="D342">
        <v>65</v>
      </c>
      <c r="E342" s="1" t="s">
        <v>738</v>
      </c>
      <c r="F342" s="1" t="str">
        <f>VLOOKUP(C342,REGISTRE!B:G,2,FALSE)</f>
        <v>Haut-Katanga</v>
      </c>
      <c r="G342" s="1">
        <f>VLOOKUP(C342,REGISTRE!B:G,3,FALSE)</f>
        <v>0.172153</v>
      </c>
      <c r="H342" s="1">
        <f>VLOOKUP(C342,REGISTRE!B:G,4,FALSE)</f>
        <v>21.091376</v>
      </c>
      <c r="I342" s="1" t="str">
        <f>VLOOKUP(C342,REGISTRE!B:G,5,FALSE)</f>
        <v>3G</v>
      </c>
      <c r="J342" s="1" t="str">
        <f>VLOOKUP(C342,REGISTRE!B:G,6,FALSE)</f>
        <v>Ericsson</v>
      </c>
      <c r="K342" s="1" t="str">
        <f>INT(LOGS_Rx5[[#This Row],[Duree_Panne_Min]]/60) &amp; " h " &amp; MOD(LOGS_Rx5[[#This Row],[Duree_Panne_Min]],60) &amp; " min " &amp; "0 s"</f>
        <v>1 h 5 min 0 s</v>
      </c>
    </row>
    <row r="343" spans="1:11" x14ac:dyDescent="0.35">
      <c r="A343" s="1" t="s">
        <v>1063</v>
      </c>
      <c r="B343" s="2">
        <v>45213.027083333327</v>
      </c>
      <c r="C343" s="1" t="s">
        <v>1070</v>
      </c>
      <c r="D343">
        <v>68</v>
      </c>
      <c r="E343" s="1" t="s">
        <v>740</v>
      </c>
      <c r="F343" s="1" t="str">
        <f>VLOOKUP(C343,REGISTRE!B:G,2,FALSE)</f>
        <v>Kwango</v>
      </c>
      <c r="G343" s="1">
        <f>VLOOKUP(C343,REGISTRE!B:G,3,FALSE)</f>
        <v>-8.1210620000000002</v>
      </c>
      <c r="H343" s="1">
        <f>VLOOKUP(C343,REGISTRE!B:G,4,FALSE)</f>
        <v>21.094390000000001</v>
      </c>
      <c r="I343" s="1" t="str">
        <f>VLOOKUP(C343,REGISTRE!B:G,5,FALSE)</f>
        <v>5G</v>
      </c>
      <c r="J343" s="1" t="str">
        <f>VLOOKUP(C343,REGISTRE!B:G,6,FALSE)</f>
        <v>ZTE</v>
      </c>
      <c r="K343" s="1" t="str">
        <f>INT(LOGS_Rx5[[#This Row],[Duree_Panne_Min]]/60) &amp; " h " &amp; MOD(LOGS_Rx5[[#This Row],[Duree_Panne_Min]],60) &amp; " min " &amp; "0 s"</f>
        <v>1 h 8 min 0 s</v>
      </c>
    </row>
    <row r="344" spans="1:11" x14ac:dyDescent="0.35">
      <c r="A344" s="1" t="s">
        <v>1091</v>
      </c>
      <c r="B344" s="2">
        <v>45211.618750000001</v>
      </c>
      <c r="C344" s="1" t="s">
        <v>1099</v>
      </c>
      <c r="D344">
        <v>92</v>
      </c>
      <c r="E344" s="1" t="s">
        <v>735</v>
      </c>
      <c r="F344" s="1" t="str">
        <f>VLOOKUP(C344,REGISTRE!B:G,2,FALSE)</f>
        <v>Tshopo</v>
      </c>
      <c r="G344" s="1">
        <f>VLOOKUP(C344,REGISTRE!B:G,3,FALSE)</f>
        <v>-0.85624699999999998</v>
      </c>
      <c r="H344" s="1">
        <f>VLOOKUP(C344,REGISTRE!B:G,4,FALSE)</f>
        <v>28.624870000000001</v>
      </c>
      <c r="I344" s="1" t="str">
        <f>VLOOKUP(C344,REGISTRE!B:G,5,FALSE)</f>
        <v>3G</v>
      </c>
      <c r="J344" s="1" t="str">
        <f>VLOOKUP(C344,REGISTRE!B:G,6,FALSE)</f>
        <v>Ericsson</v>
      </c>
      <c r="K344" s="1" t="str">
        <f>INT(LOGS_Rx5[[#This Row],[Duree_Panne_Min]]/60) &amp; " h " &amp; MOD(LOGS_Rx5[[#This Row],[Duree_Panne_Min]],60) &amp; " min " &amp; "0 s"</f>
        <v>1 h 32 min 0 s</v>
      </c>
    </row>
    <row r="345" spans="1:11" x14ac:dyDescent="0.35">
      <c r="A345" s="1" t="s">
        <v>1389</v>
      </c>
      <c r="B345" s="2">
        <v>45215.775000000001</v>
      </c>
      <c r="C345" s="1" t="s">
        <v>1099</v>
      </c>
      <c r="D345">
        <v>95</v>
      </c>
      <c r="E345" s="1" t="s">
        <v>738</v>
      </c>
      <c r="F345" s="1" t="str">
        <f>VLOOKUP(C345,REGISTRE!B:G,2,FALSE)</f>
        <v>Tshopo</v>
      </c>
      <c r="G345" s="1">
        <f>VLOOKUP(C345,REGISTRE!B:G,3,FALSE)</f>
        <v>-0.85624699999999998</v>
      </c>
      <c r="H345" s="1">
        <f>VLOOKUP(C345,REGISTRE!B:G,4,FALSE)</f>
        <v>28.624870000000001</v>
      </c>
      <c r="I345" s="1" t="str">
        <f>VLOOKUP(C345,REGISTRE!B:G,5,FALSE)</f>
        <v>3G</v>
      </c>
      <c r="J345" s="1" t="str">
        <f>VLOOKUP(C345,REGISTRE!B:G,6,FALSE)</f>
        <v>Ericsson</v>
      </c>
      <c r="K345" s="1" t="str">
        <f>INT(LOGS_Rx5[[#This Row],[Duree_Panne_Min]]/60) &amp; " h " &amp; MOD(LOGS_Rx5[[#This Row],[Duree_Panne_Min]],60) &amp; " min " &amp; "0 s"</f>
        <v>1 h 35 min 0 s</v>
      </c>
    </row>
    <row r="346" spans="1:11" x14ac:dyDescent="0.35">
      <c r="A346" s="1" t="s">
        <v>1336</v>
      </c>
      <c r="B346" s="2">
        <v>45215.776388888888</v>
      </c>
      <c r="C346" s="1" t="s">
        <v>1337</v>
      </c>
      <c r="D346">
        <v>87</v>
      </c>
      <c r="E346" s="1" t="s">
        <v>740</v>
      </c>
      <c r="F346" s="1" t="str">
        <f>VLOOKUP(C346,REGISTRE!B:G,2,FALSE)</f>
        <v>Kasaï</v>
      </c>
      <c r="G346" s="1">
        <f>VLOOKUP(C346,REGISTRE!B:G,3,FALSE)</f>
        <v>2.5665840000000002</v>
      </c>
      <c r="H346" s="1">
        <f>VLOOKUP(C346,REGISTRE!B:G,4,FALSE)</f>
        <v>15.764796</v>
      </c>
      <c r="I346" s="1" t="str">
        <f>VLOOKUP(C346,REGISTRE!B:G,5,FALSE)</f>
        <v>3G</v>
      </c>
      <c r="J346" s="1" t="str">
        <f>VLOOKUP(C346,REGISTRE!B:G,6,FALSE)</f>
        <v>ZTE</v>
      </c>
      <c r="K346" s="1" t="str">
        <f>INT(LOGS_Rx5[[#This Row],[Duree_Panne_Min]]/60) &amp; " h " &amp; MOD(LOGS_Rx5[[#This Row],[Duree_Panne_Min]],60) &amp; " min " &amp; "0 s"</f>
        <v>1 h 27 min 0 s</v>
      </c>
    </row>
    <row r="347" spans="1:11" x14ac:dyDescent="0.35">
      <c r="A347" s="1" t="s">
        <v>733</v>
      </c>
      <c r="B347" s="2">
        <v>45204.283333333333</v>
      </c>
      <c r="C347" s="1" t="s">
        <v>752</v>
      </c>
      <c r="D347">
        <v>11</v>
      </c>
      <c r="E347" s="1" t="s">
        <v>740</v>
      </c>
      <c r="F347" s="1" t="str">
        <f>VLOOKUP(C347,REGISTRE!B:G,2,FALSE)</f>
        <v>Lomami</v>
      </c>
      <c r="G347" s="1">
        <f>VLOOKUP(C347,REGISTRE!B:G,3,FALSE)</f>
        <v>-2.2371569999999998</v>
      </c>
      <c r="H347" s="1">
        <f>VLOOKUP(C347,REGISTRE!B:G,4,FALSE)</f>
        <v>25.926188</v>
      </c>
      <c r="I347" s="1" t="str">
        <f>VLOOKUP(C347,REGISTRE!B:G,5,FALSE)</f>
        <v>3G</v>
      </c>
      <c r="J347" s="1" t="str">
        <f>VLOOKUP(C347,REGISTRE!B:G,6,FALSE)</f>
        <v>Nokia</v>
      </c>
      <c r="K347" s="1" t="str">
        <f>INT(LOGS_Rx5[[#This Row],[Duree_Panne_Min]]/60) &amp; " h " &amp; MOD(LOGS_Rx5[[#This Row],[Duree_Panne_Min]],60) &amp; " min " &amp; "0 s"</f>
        <v>0 h 11 min 0 s</v>
      </c>
    </row>
    <row r="348" spans="1:11" x14ac:dyDescent="0.35">
      <c r="A348" s="1" t="s">
        <v>905</v>
      </c>
      <c r="B348" s="2">
        <v>45215.376388888893</v>
      </c>
      <c r="C348" s="1" t="s">
        <v>752</v>
      </c>
      <c r="D348">
        <v>65</v>
      </c>
      <c r="E348" s="1" t="s">
        <v>740</v>
      </c>
      <c r="F348" s="1" t="str">
        <f>VLOOKUP(C348,REGISTRE!B:G,2,FALSE)</f>
        <v>Lomami</v>
      </c>
      <c r="G348" s="1">
        <f>VLOOKUP(C348,REGISTRE!B:G,3,FALSE)</f>
        <v>-2.2371569999999998</v>
      </c>
      <c r="H348" s="1">
        <f>VLOOKUP(C348,REGISTRE!B:G,4,FALSE)</f>
        <v>25.926188</v>
      </c>
      <c r="I348" s="1" t="str">
        <f>VLOOKUP(C348,REGISTRE!B:G,5,FALSE)</f>
        <v>3G</v>
      </c>
      <c r="J348" s="1" t="str">
        <f>VLOOKUP(C348,REGISTRE!B:G,6,FALSE)</f>
        <v>Nokia</v>
      </c>
      <c r="K348" s="1" t="str">
        <f>INT(LOGS_Rx5[[#This Row],[Duree_Panne_Min]]/60) &amp; " h " &amp; MOD(LOGS_Rx5[[#This Row],[Duree_Panne_Min]],60) &amp; " min " &amp; "0 s"</f>
        <v>1 h 5 min 0 s</v>
      </c>
    </row>
    <row r="349" spans="1:11" x14ac:dyDescent="0.35">
      <c r="A349" s="1" t="s">
        <v>1389</v>
      </c>
      <c r="B349" s="2">
        <v>45224.482638888891</v>
      </c>
      <c r="C349" s="1" t="s">
        <v>752</v>
      </c>
      <c r="D349">
        <v>95</v>
      </c>
      <c r="E349" s="1" t="s">
        <v>738</v>
      </c>
      <c r="F349" s="1" t="str">
        <f>VLOOKUP(C349,REGISTRE!B:G,2,FALSE)</f>
        <v>Lomami</v>
      </c>
      <c r="G349" s="1">
        <f>VLOOKUP(C349,REGISTRE!B:G,3,FALSE)</f>
        <v>-2.2371569999999998</v>
      </c>
      <c r="H349" s="1">
        <f>VLOOKUP(C349,REGISTRE!B:G,4,FALSE)</f>
        <v>25.926188</v>
      </c>
      <c r="I349" s="1" t="str">
        <f>VLOOKUP(C349,REGISTRE!B:G,5,FALSE)</f>
        <v>3G</v>
      </c>
      <c r="J349" s="1" t="str">
        <f>VLOOKUP(C349,REGISTRE!B:G,6,FALSE)</f>
        <v>Nokia</v>
      </c>
      <c r="K349" s="1" t="str">
        <f>INT(LOGS_Rx5[[#This Row],[Duree_Panne_Min]]/60) &amp; " h " &amp; MOD(LOGS_Rx5[[#This Row],[Duree_Panne_Min]],60) &amp; " min " &amp; "0 s"</f>
        <v>1 h 35 min 0 s</v>
      </c>
    </row>
    <row r="350" spans="1:11" x14ac:dyDescent="0.35">
      <c r="A350" s="1" t="s">
        <v>826</v>
      </c>
      <c r="B350" s="2">
        <v>45216.902777777781</v>
      </c>
      <c r="C350" s="1" t="s">
        <v>857</v>
      </c>
      <c r="D350">
        <v>20</v>
      </c>
      <c r="E350" s="1" t="s">
        <v>740</v>
      </c>
      <c r="F350" s="1" t="str">
        <f>VLOOKUP(C350,REGISTRE!B:G,2,FALSE)</f>
        <v>Kwilu</v>
      </c>
      <c r="G350" s="1">
        <f>VLOOKUP(C350,REGISTRE!B:G,3,FALSE)</f>
        <v>-4.2408359999999998</v>
      </c>
      <c r="H350" s="1">
        <f>VLOOKUP(C350,REGISTRE!B:G,4,FALSE)</f>
        <v>26.210014000000001</v>
      </c>
      <c r="I350" s="1" t="str">
        <f>VLOOKUP(C350,REGISTRE!B:G,5,FALSE)</f>
        <v>4G</v>
      </c>
      <c r="J350" s="1" t="str">
        <f>VLOOKUP(C350,REGISTRE!B:G,6,FALSE)</f>
        <v>Huawei</v>
      </c>
      <c r="K350" s="1" t="str">
        <f>INT(LOGS_Rx5[[#This Row],[Duree_Panne_Min]]/60) &amp; " h " &amp; MOD(LOGS_Rx5[[#This Row],[Duree_Panne_Min]],60) &amp; " min " &amp; "0 s"</f>
        <v>0 h 20 min 0 s</v>
      </c>
    </row>
    <row r="351" spans="1:11" x14ac:dyDescent="0.35">
      <c r="A351" s="1" t="s">
        <v>981</v>
      </c>
      <c r="B351" s="2">
        <v>45226.586805555547</v>
      </c>
      <c r="C351" s="1" t="s">
        <v>993</v>
      </c>
      <c r="D351">
        <v>33</v>
      </c>
      <c r="E351" s="1" t="s">
        <v>740</v>
      </c>
      <c r="F351" s="1" t="str">
        <f>VLOOKUP(C351,REGISTRE!B:G,2,FALSE)</f>
        <v>Nord-Ubangi</v>
      </c>
      <c r="G351" s="1">
        <f>VLOOKUP(C351,REGISTRE!B:G,3,FALSE)</f>
        <v>-7.7839049999999999</v>
      </c>
      <c r="H351" s="1">
        <f>VLOOKUP(C351,REGISTRE!B:G,4,FALSE)</f>
        <v>14.114281999999999</v>
      </c>
      <c r="I351" s="1" t="str">
        <f>VLOOKUP(C351,REGISTRE!B:G,5,FALSE)</f>
        <v>3G</v>
      </c>
      <c r="J351" s="1" t="str">
        <f>VLOOKUP(C351,REGISTRE!B:G,6,FALSE)</f>
        <v>ZTE</v>
      </c>
      <c r="K351" s="1" t="str">
        <f>INT(LOGS_Rx5[[#This Row],[Duree_Panne_Min]]/60) &amp; " h " &amp; MOD(LOGS_Rx5[[#This Row],[Duree_Panne_Min]],60) &amp; " min " &amp; "0 s"</f>
        <v>0 h 33 min 0 s</v>
      </c>
    </row>
    <row r="352" spans="1:11" x14ac:dyDescent="0.35">
      <c r="A352" s="1" t="s">
        <v>1002</v>
      </c>
      <c r="B352" s="2">
        <v>45201.009027777778</v>
      </c>
      <c r="C352" s="1" t="s">
        <v>993</v>
      </c>
      <c r="D352">
        <v>56</v>
      </c>
      <c r="E352" s="1" t="s">
        <v>738</v>
      </c>
      <c r="F352" s="1" t="str">
        <f>VLOOKUP(C352,REGISTRE!B:G,2,FALSE)</f>
        <v>Nord-Ubangi</v>
      </c>
      <c r="G352" s="1">
        <f>VLOOKUP(C352,REGISTRE!B:G,3,FALSE)</f>
        <v>-7.7839049999999999</v>
      </c>
      <c r="H352" s="1">
        <f>VLOOKUP(C352,REGISTRE!B:G,4,FALSE)</f>
        <v>14.114281999999999</v>
      </c>
      <c r="I352" s="1" t="str">
        <f>VLOOKUP(C352,REGISTRE!B:G,5,FALSE)</f>
        <v>3G</v>
      </c>
      <c r="J352" s="1" t="str">
        <f>VLOOKUP(C352,REGISTRE!B:G,6,FALSE)</f>
        <v>ZTE</v>
      </c>
      <c r="K352" s="1" t="str">
        <f>INT(LOGS_Rx5[[#This Row],[Duree_Panne_Min]]/60) &amp; " h " &amp; MOD(LOGS_Rx5[[#This Row],[Duree_Panne_Min]],60) &amp; " min " &amp; "0 s"</f>
        <v>0 h 56 min 0 s</v>
      </c>
    </row>
    <row r="353" spans="1:11" x14ac:dyDescent="0.35">
      <c r="A353" s="1" t="s">
        <v>1199</v>
      </c>
      <c r="B353" s="2">
        <v>45209.659722222219</v>
      </c>
      <c r="C353" s="1" t="s">
        <v>993</v>
      </c>
      <c r="D353">
        <v>67</v>
      </c>
      <c r="E353" s="1" t="s">
        <v>740</v>
      </c>
      <c r="F353" s="1" t="str">
        <f>VLOOKUP(C353,REGISTRE!B:G,2,FALSE)</f>
        <v>Nord-Ubangi</v>
      </c>
      <c r="G353" s="1">
        <f>VLOOKUP(C353,REGISTRE!B:G,3,FALSE)</f>
        <v>-7.7839049999999999</v>
      </c>
      <c r="H353" s="1">
        <f>VLOOKUP(C353,REGISTRE!B:G,4,FALSE)</f>
        <v>14.114281999999999</v>
      </c>
      <c r="I353" s="1" t="str">
        <f>VLOOKUP(C353,REGISTRE!B:G,5,FALSE)</f>
        <v>3G</v>
      </c>
      <c r="J353" s="1" t="str">
        <f>VLOOKUP(C353,REGISTRE!B:G,6,FALSE)</f>
        <v>ZTE</v>
      </c>
      <c r="K353" s="1" t="str">
        <f>INT(LOGS_Rx5[[#This Row],[Duree_Panne_Min]]/60) &amp; " h " &amp; MOD(LOGS_Rx5[[#This Row],[Duree_Panne_Min]],60) &amp; " min " &amp; "0 s"</f>
        <v>1 h 7 min 0 s</v>
      </c>
    </row>
    <row r="354" spans="1:11" x14ac:dyDescent="0.35">
      <c r="A354" s="1" t="s">
        <v>782</v>
      </c>
      <c r="B354" s="2">
        <v>45201.224999999999</v>
      </c>
      <c r="C354" s="1" t="s">
        <v>800</v>
      </c>
      <c r="D354">
        <v>83</v>
      </c>
      <c r="E354" s="1" t="s">
        <v>738</v>
      </c>
      <c r="F354" s="1" t="str">
        <f>VLOOKUP(C354,REGISTRE!B:G,2,FALSE)</f>
        <v>Nord-Kivu</v>
      </c>
      <c r="G354" s="1">
        <f>VLOOKUP(C354,REGISTRE!B:G,3,FALSE)</f>
        <v>0.82868600000000003</v>
      </c>
      <c r="H354" s="1">
        <f>VLOOKUP(C354,REGISTRE!B:G,4,FALSE)</f>
        <v>26.958843999999999</v>
      </c>
      <c r="I354" s="1" t="str">
        <f>VLOOKUP(C354,REGISTRE!B:G,5,FALSE)</f>
        <v>5G</v>
      </c>
      <c r="J354" s="1" t="str">
        <f>VLOOKUP(C354,REGISTRE!B:G,6,FALSE)</f>
        <v>ZTE</v>
      </c>
      <c r="K354" s="1" t="str">
        <f>INT(LOGS_Rx5[[#This Row],[Duree_Panne_Min]]/60) &amp; " h " &amp; MOD(LOGS_Rx5[[#This Row],[Duree_Panne_Min]],60) &amp; " min " &amp; "0 s"</f>
        <v>1 h 23 min 0 s</v>
      </c>
    </row>
    <row r="355" spans="1:11" x14ac:dyDescent="0.35">
      <c r="A355" s="1" t="s">
        <v>826</v>
      </c>
      <c r="B355" s="2">
        <v>45225.776388888888</v>
      </c>
      <c r="C355" s="1" t="s">
        <v>800</v>
      </c>
      <c r="D355">
        <v>71</v>
      </c>
      <c r="E355" s="1" t="s">
        <v>735</v>
      </c>
      <c r="F355" s="1" t="str">
        <f>VLOOKUP(C355,REGISTRE!B:G,2,FALSE)</f>
        <v>Nord-Kivu</v>
      </c>
      <c r="G355" s="1">
        <f>VLOOKUP(C355,REGISTRE!B:G,3,FALSE)</f>
        <v>0.82868600000000003</v>
      </c>
      <c r="H355" s="1">
        <f>VLOOKUP(C355,REGISTRE!B:G,4,FALSE)</f>
        <v>26.958843999999999</v>
      </c>
      <c r="I355" s="1" t="str">
        <f>VLOOKUP(C355,REGISTRE!B:G,5,FALSE)</f>
        <v>5G</v>
      </c>
      <c r="J355" s="1" t="str">
        <f>VLOOKUP(C355,REGISTRE!B:G,6,FALSE)</f>
        <v>ZTE</v>
      </c>
      <c r="K355" s="1" t="str">
        <f>INT(LOGS_Rx5[[#This Row],[Duree_Panne_Min]]/60) &amp; " h " &amp; MOD(LOGS_Rx5[[#This Row],[Duree_Panne_Min]],60) &amp; " min " &amp; "0 s"</f>
        <v>1 h 11 min 0 s</v>
      </c>
    </row>
    <row r="356" spans="1:11" x14ac:dyDescent="0.35">
      <c r="A356" s="1" t="s">
        <v>1063</v>
      </c>
      <c r="B356" s="2">
        <v>45208.959027777782</v>
      </c>
      <c r="C356" s="1" t="s">
        <v>800</v>
      </c>
      <c r="D356">
        <v>98</v>
      </c>
      <c r="E356" s="1" t="s">
        <v>740</v>
      </c>
      <c r="F356" s="1" t="str">
        <f>VLOOKUP(C356,REGISTRE!B:G,2,FALSE)</f>
        <v>Nord-Kivu</v>
      </c>
      <c r="G356" s="1">
        <f>VLOOKUP(C356,REGISTRE!B:G,3,FALSE)</f>
        <v>0.82868600000000003</v>
      </c>
      <c r="H356" s="1">
        <f>VLOOKUP(C356,REGISTRE!B:G,4,FALSE)</f>
        <v>26.958843999999999</v>
      </c>
      <c r="I356" s="1" t="str">
        <f>VLOOKUP(C356,REGISTRE!B:G,5,FALSE)</f>
        <v>5G</v>
      </c>
      <c r="J356" s="1" t="str">
        <f>VLOOKUP(C356,REGISTRE!B:G,6,FALSE)</f>
        <v>ZTE</v>
      </c>
      <c r="K356" s="1" t="str">
        <f>INT(LOGS_Rx5[[#This Row],[Duree_Panne_Min]]/60) &amp; " h " &amp; MOD(LOGS_Rx5[[#This Row],[Duree_Panne_Min]],60) &amp; " min " &amp; "0 s"</f>
        <v>1 h 38 min 0 s</v>
      </c>
    </row>
    <row r="357" spans="1:11" x14ac:dyDescent="0.35">
      <c r="A357" s="1" t="s">
        <v>1267</v>
      </c>
      <c r="B357" s="2">
        <v>45229.065972222219</v>
      </c>
      <c r="C357" s="1" t="s">
        <v>800</v>
      </c>
      <c r="D357">
        <v>93</v>
      </c>
      <c r="E357" s="1" t="s">
        <v>735</v>
      </c>
      <c r="F357" s="1" t="str">
        <f>VLOOKUP(C357,REGISTRE!B:G,2,FALSE)</f>
        <v>Nord-Kivu</v>
      </c>
      <c r="G357" s="1">
        <f>VLOOKUP(C357,REGISTRE!B:G,3,FALSE)</f>
        <v>0.82868600000000003</v>
      </c>
      <c r="H357" s="1">
        <f>VLOOKUP(C357,REGISTRE!B:G,4,FALSE)</f>
        <v>26.958843999999999</v>
      </c>
      <c r="I357" s="1" t="str">
        <f>VLOOKUP(C357,REGISTRE!B:G,5,FALSE)</f>
        <v>5G</v>
      </c>
      <c r="J357" s="1" t="str">
        <f>VLOOKUP(C357,REGISTRE!B:G,6,FALSE)</f>
        <v>ZTE</v>
      </c>
      <c r="K357" s="1" t="str">
        <f>INT(LOGS_Rx5[[#This Row],[Duree_Panne_Min]]/60) &amp; " h " &amp; MOD(LOGS_Rx5[[#This Row],[Duree_Panne_Min]],60) &amp; " min " &amp; "0 s"</f>
        <v>1 h 33 min 0 s</v>
      </c>
    </row>
    <row r="358" spans="1:11" x14ac:dyDescent="0.35">
      <c r="A358" s="1" t="s">
        <v>1368</v>
      </c>
      <c r="B358" s="2">
        <v>45201.212500000001</v>
      </c>
      <c r="C358" s="1" t="s">
        <v>800</v>
      </c>
      <c r="D358">
        <v>40</v>
      </c>
      <c r="E358" s="1" t="s">
        <v>738</v>
      </c>
      <c r="F358" s="1" t="str">
        <f>VLOOKUP(C358,REGISTRE!B:G,2,FALSE)</f>
        <v>Nord-Kivu</v>
      </c>
      <c r="G358" s="1">
        <f>VLOOKUP(C358,REGISTRE!B:G,3,FALSE)</f>
        <v>0.82868600000000003</v>
      </c>
      <c r="H358" s="1">
        <f>VLOOKUP(C358,REGISTRE!B:G,4,FALSE)</f>
        <v>26.958843999999999</v>
      </c>
      <c r="I358" s="1" t="str">
        <f>VLOOKUP(C358,REGISTRE!B:G,5,FALSE)</f>
        <v>5G</v>
      </c>
      <c r="J358" s="1" t="str">
        <f>VLOOKUP(C358,REGISTRE!B:G,6,FALSE)</f>
        <v>ZTE</v>
      </c>
      <c r="K358" s="1" t="str">
        <f>INT(LOGS_Rx5[[#This Row],[Duree_Panne_Min]]/60) &amp; " h " &amp; MOD(LOGS_Rx5[[#This Row],[Duree_Panne_Min]],60) &amp; " min " &amp; "0 s"</f>
        <v>0 h 40 min 0 s</v>
      </c>
    </row>
    <row r="359" spans="1:11" x14ac:dyDescent="0.35">
      <c r="A359" s="1" t="s">
        <v>864</v>
      </c>
      <c r="B359" s="2">
        <v>45204.297222222223</v>
      </c>
      <c r="C359" s="1" t="s">
        <v>882</v>
      </c>
      <c r="D359">
        <v>111</v>
      </c>
      <c r="E359" s="1" t="s">
        <v>738</v>
      </c>
      <c r="F359" s="1" t="str">
        <f>VLOOKUP(C359,REGISTRE!B:G,2,FALSE)</f>
        <v>Nord-Ubangi</v>
      </c>
      <c r="G359" s="1">
        <f>VLOOKUP(C359,REGISTRE!B:G,3,FALSE)</f>
        <v>-1.342476</v>
      </c>
      <c r="H359" s="1">
        <f>VLOOKUP(C359,REGISTRE!B:G,4,FALSE)</f>
        <v>15.986086</v>
      </c>
      <c r="I359" s="1" t="str">
        <f>VLOOKUP(C359,REGISTRE!B:G,5,FALSE)</f>
        <v>4G</v>
      </c>
      <c r="J359" s="1" t="str">
        <f>VLOOKUP(C359,REGISTRE!B:G,6,FALSE)</f>
        <v>Ericsson</v>
      </c>
      <c r="K359" s="1" t="str">
        <f>INT(LOGS_Rx5[[#This Row],[Duree_Panne_Min]]/60) &amp; " h " &amp; MOD(LOGS_Rx5[[#This Row],[Duree_Panne_Min]],60) &amp; " min " &amp; "0 s"</f>
        <v>1 h 51 min 0 s</v>
      </c>
    </row>
    <row r="360" spans="1:11" x14ac:dyDescent="0.35">
      <c r="A360" s="1" t="s">
        <v>942</v>
      </c>
      <c r="B360" s="2">
        <v>45227.587500000001</v>
      </c>
      <c r="C360" s="1" t="s">
        <v>882</v>
      </c>
      <c r="D360">
        <v>50</v>
      </c>
      <c r="E360" s="1" t="s">
        <v>738</v>
      </c>
      <c r="F360" s="1" t="str">
        <f>VLOOKUP(C360,REGISTRE!B:G,2,FALSE)</f>
        <v>Nord-Ubangi</v>
      </c>
      <c r="G360" s="1">
        <f>VLOOKUP(C360,REGISTRE!B:G,3,FALSE)</f>
        <v>-1.342476</v>
      </c>
      <c r="H360" s="1">
        <f>VLOOKUP(C360,REGISTRE!B:G,4,FALSE)</f>
        <v>15.986086</v>
      </c>
      <c r="I360" s="1" t="str">
        <f>VLOOKUP(C360,REGISTRE!B:G,5,FALSE)</f>
        <v>4G</v>
      </c>
      <c r="J360" s="1" t="str">
        <f>VLOOKUP(C360,REGISTRE!B:G,6,FALSE)</f>
        <v>Ericsson</v>
      </c>
      <c r="K360" s="1" t="str">
        <f>INT(LOGS_Rx5[[#This Row],[Duree_Panne_Min]]/60) &amp; " h " &amp; MOD(LOGS_Rx5[[#This Row],[Duree_Panne_Min]],60) &amp; " min " &amp; "0 s"</f>
        <v>0 h 50 min 0 s</v>
      </c>
    </row>
    <row r="361" spans="1:11" x14ac:dyDescent="0.35">
      <c r="A361" s="1" t="s">
        <v>1120</v>
      </c>
      <c r="B361" s="2">
        <v>45229.722916666673</v>
      </c>
      <c r="C361" s="1" t="s">
        <v>882</v>
      </c>
      <c r="D361">
        <v>76</v>
      </c>
      <c r="E361" s="1" t="s">
        <v>738</v>
      </c>
      <c r="F361" s="1" t="str">
        <f>VLOOKUP(C361,REGISTRE!B:G,2,FALSE)</f>
        <v>Nord-Ubangi</v>
      </c>
      <c r="G361" s="1">
        <f>VLOOKUP(C361,REGISTRE!B:G,3,FALSE)</f>
        <v>-1.342476</v>
      </c>
      <c r="H361" s="1">
        <f>VLOOKUP(C361,REGISTRE!B:G,4,FALSE)</f>
        <v>15.986086</v>
      </c>
      <c r="I361" s="1" t="str">
        <f>VLOOKUP(C361,REGISTRE!B:G,5,FALSE)</f>
        <v>4G</v>
      </c>
      <c r="J361" s="1" t="str">
        <f>VLOOKUP(C361,REGISTRE!B:G,6,FALSE)</f>
        <v>Ericsson</v>
      </c>
      <c r="K361" s="1" t="str">
        <f>INT(LOGS_Rx5[[#This Row],[Duree_Panne_Min]]/60) &amp; " h " &amp; MOD(LOGS_Rx5[[#This Row],[Duree_Panne_Min]],60) &amp; " min " &amp; "0 s"</f>
        <v>1 h 16 min 0 s</v>
      </c>
    </row>
    <row r="362" spans="1:11" x14ac:dyDescent="0.35">
      <c r="A362" s="1" t="s">
        <v>1247</v>
      </c>
      <c r="B362" s="2">
        <v>45214.018750000003</v>
      </c>
      <c r="C362" s="1" t="s">
        <v>882</v>
      </c>
      <c r="D362">
        <v>115</v>
      </c>
      <c r="E362" s="1" t="s">
        <v>738</v>
      </c>
      <c r="F362" s="1" t="str">
        <f>VLOOKUP(C362,REGISTRE!B:G,2,FALSE)</f>
        <v>Nord-Ubangi</v>
      </c>
      <c r="G362" s="1">
        <f>VLOOKUP(C362,REGISTRE!B:G,3,FALSE)</f>
        <v>-1.342476</v>
      </c>
      <c r="H362" s="1">
        <f>VLOOKUP(C362,REGISTRE!B:G,4,FALSE)</f>
        <v>15.986086</v>
      </c>
      <c r="I362" s="1" t="str">
        <f>VLOOKUP(C362,REGISTRE!B:G,5,FALSE)</f>
        <v>4G</v>
      </c>
      <c r="J362" s="1" t="str">
        <f>VLOOKUP(C362,REGISTRE!B:G,6,FALSE)</f>
        <v>Ericsson</v>
      </c>
      <c r="K362" s="1" t="str">
        <f>INT(LOGS_Rx5[[#This Row],[Duree_Panne_Min]]/60) &amp; " h " &amp; MOD(LOGS_Rx5[[#This Row],[Duree_Panne_Min]],60) &amp; " min " &amp; "0 s"</f>
        <v>1 h 55 min 0 s</v>
      </c>
    </row>
    <row r="363" spans="1:11" x14ac:dyDescent="0.35">
      <c r="A363" s="1" t="s">
        <v>1336</v>
      </c>
      <c r="B363" s="2">
        <v>45227.297222222223</v>
      </c>
      <c r="C363" s="1" t="s">
        <v>1343</v>
      </c>
      <c r="D363">
        <v>92</v>
      </c>
      <c r="E363" s="1" t="s">
        <v>740</v>
      </c>
      <c r="F363" s="1" t="str">
        <f>VLOOKUP(C363,REGISTRE!B:G,2,FALSE)</f>
        <v>Haut-Lomami</v>
      </c>
      <c r="G363" s="1">
        <f>VLOOKUP(C363,REGISTRE!B:G,3,FALSE)</f>
        <v>-5.5559329999999996</v>
      </c>
      <c r="H363" s="1">
        <f>VLOOKUP(C363,REGISTRE!B:G,4,FALSE)</f>
        <v>13.508692999999999</v>
      </c>
      <c r="I363" s="1" t="str">
        <f>VLOOKUP(C363,REGISTRE!B:G,5,FALSE)</f>
        <v>3G</v>
      </c>
      <c r="J363" s="1" t="str">
        <f>VLOOKUP(C363,REGISTRE!B:G,6,FALSE)</f>
        <v>Nokia</v>
      </c>
      <c r="K363" s="1" t="str">
        <f>INT(LOGS_Rx5[[#This Row],[Duree_Panne_Min]]/60) &amp; " h " &amp; MOD(LOGS_Rx5[[#This Row],[Duree_Panne_Min]],60) &amp; " min " &amp; "0 s"</f>
        <v>1 h 32 min 0 s</v>
      </c>
    </row>
    <row r="364" spans="1:11" x14ac:dyDescent="0.35">
      <c r="A364" s="1" t="s">
        <v>1120</v>
      </c>
      <c r="B364" s="2">
        <v>45230.303472222222</v>
      </c>
      <c r="C364" s="1" t="s">
        <v>1139</v>
      </c>
      <c r="D364">
        <v>83</v>
      </c>
      <c r="E364" s="1" t="s">
        <v>740</v>
      </c>
      <c r="F364" s="1" t="str">
        <f>VLOOKUP(C364,REGISTRE!B:G,2,FALSE)</f>
        <v>Kongo-Central</v>
      </c>
      <c r="G364" s="1">
        <f>VLOOKUP(C364,REGISTRE!B:G,3,FALSE)</f>
        <v>-9.8208710000000004</v>
      </c>
      <c r="H364" s="1">
        <f>VLOOKUP(C364,REGISTRE!B:G,4,FALSE)</f>
        <v>23.229807000000001</v>
      </c>
      <c r="I364" s="1" t="str">
        <f>VLOOKUP(C364,REGISTRE!B:G,5,FALSE)</f>
        <v>5G</v>
      </c>
      <c r="J364" s="1" t="str">
        <f>VLOOKUP(C364,REGISTRE!B:G,6,FALSE)</f>
        <v>Nokia</v>
      </c>
      <c r="K364" s="1" t="str">
        <f>INT(LOGS_Rx5[[#This Row],[Duree_Panne_Min]]/60) &amp; " h " &amp; MOD(LOGS_Rx5[[#This Row],[Duree_Panne_Min]],60) &amp; " min " &amp; "0 s"</f>
        <v>1 h 23 min 0 s</v>
      </c>
    </row>
    <row r="365" spans="1:11" x14ac:dyDescent="0.35">
      <c r="A365" s="1" t="s">
        <v>1336</v>
      </c>
      <c r="B365" s="2">
        <v>45220.154861111107</v>
      </c>
      <c r="C365" s="1" t="s">
        <v>1139</v>
      </c>
      <c r="D365">
        <v>53</v>
      </c>
      <c r="E365" s="1" t="s">
        <v>735</v>
      </c>
      <c r="F365" s="1" t="str">
        <f>VLOOKUP(C365,REGISTRE!B:G,2,FALSE)</f>
        <v>Kongo-Central</v>
      </c>
      <c r="G365" s="1">
        <f>VLOOKUP(C365,REGISTRE!B:G,3,FALSE)</f>
        <v>-9.8208710000000004</v>
      </c>
      <c r="H365" s="1">
        <f>VLOOKUP(C365,REGISTRE!B:G,4,FALSE)</f>
        <v>23.229807000000001</v>
      </c>
      <c r="I365" s="1" t="str">
        <f>VLOOKUP(C365,REGISTRE!B:G,5,FALSE)</f>
        <v>5G</v>
      </c>
      <c r="J365" s="1" t="str">
        <f>VLOOKUP(C365,REGISTRE!B:G,6,FALSE)</f>
        <v>Nokia</v>
      </c>
      <c r="K365" s="1" t="str">
        <f>INT(LOGS_Rx5[[#This Row],[Duree_Panne_Min]]/60) &amp; " h " &amp; MOD(LOGS_Rx5[[#This Row],[Duree_Panne_Min]],60) &amp; " min " &amp; "0 s"</f>
        <v>0 h 53 min 0 s</v>
      </c>
    </row>
    <row r="366" spans="1:11" x14ac:dyDescent="0.35">
      <c r="A366" s="1" t="s">
        <v>1144</v>
      </c>
      <c r="B366" s="2">
        <v>45202.529166666667</v>
      </c>
      <c r="C366" s="1" t="s">
        <v>1145</v>
      </c>
      <c r="D366">
        <v>109</v>
      </c>
      <c r="E366" s="1" t="s">
        <v>738</v>
      </c>
      <c r="F366" s="1" t="str">
        <f>VLOOKUP(C366,REGISTRE!B:G,2,FALSE)</f>
        <v>Haut-Uele</v>
      </c>
      <c r="G366" s="1">
        <f>VLOOKUP(C366,REGISTRE!B:G,3,FALSE)</f>
        <v>-7.1483749999999997</v>
      </c>
      <c r="H366" s="1">
        <f>VLOOKUP(C366,REGISTRE!B:G,4,FALSE)</f>
        <v>26.014271000000001</v>
      </c>
      <c r="I366" s="1" t="str">
        <f>VLOOKUP(C366,REGISTRE!B:G,5,FALSE)</f>
        <v>5G</v>
      </c>
      <c r="J366" s="1" t="str">
        <f>VLOOKUP(C366,REGISTRE!B:G,6,FALSE)</f>
        <v>Huawei</v>
      </c>
      <c r="K366" s="1" t="str">
        <f>INT(LOGS_Rx5[[#This Row],[Duree_Panne_Min]]/60) &amp; " h " &amp; MOD(LOGS_Rx5[[#This Row],[Duree_Panne_Min]],60) &amp; " min " &amp; "0 s"</f>
        <v>1 h 49 min 0 s</v>
      </c>
    </row>
    <row r="367" spans="1:11" x14ac:dyDescent="0.35">
      <c r="A367" s="1" t="s">
        <v>1225</v>
      </c>
      <c r="B367" s="2">
        <v>45219.527083333327</v>
      </c>
      <c r="C367" s="1" t="s">
        <v>1145</v>
      </c>
      <c r="D367">
        <v>95</v>
      </c>
      <c r="E367" s="1" t="s">
        <v>735</v>
      </c>
      <c r="F367" s="1" t="str">
        <f>VLOOKUP(C367,REGISTRE!B:G,2,FALSE)</f>
        <v>Haut-Uele</v>
      </c>
      <c r="G367" s="1">
        <f>VLOOKUP(C367,REGISTRE!B:G,3,FALSE)</f>
        <v>-7.1483749999999997</v>
      </c>
      <c r="H367" s="1">
        <f>VLOOKUP(C367,REGISTRE!B:G,4,FALSE)</f>
        <v>26.014271000000001</v>
      </c>
      <c r="I367" s="1" t="str">
        <f>VLOOKUP(C367,REGISTRE!B:G,5,FALSE)</f>
        <v>5G</v>
      </c>
      <c r="J367" s="1" t="str">
        <f>VLOOKUP(C367,REGISTRE!B:G,6,FALSE)</f>
        <v>Huawei</v>
      </c>
      <c r="K367" s="1" t="str">
        <f>INT(LOGS_Rx5[[#This Row],[Duree_Panne_Min]]/60) &amp; " h " &amp; MOD(LOGS_Rx5[[#This Row],[Duree_Panne_Min]],60) &amp; " min " &amp; "0 s"</f>
        <v>1 h 35 min 0 s</v>
      </c>
    </row>
    <row r="368" spans="1:11" x14ac:dyDescent="0.35">
      <c r="A368" s="1" t="s">
        <v>1368</v>
      </c>
      <c r="B368" s="2">
        <v>45211.888888888891</v>
      </c>
      <c r="C368" s="1" t="s">
        <v>1145</v>
      </c>
      <c r="D368">
        <v>87</v>
      </c>
      <c r="E368" s="1" t="s">
        <v>738</v>
      </c>
      <c r="F368" s="1" t="str">
        <f>VLOOKUP(C368,REGISTRE!B:G,2,FALSE)</f>
        <v>Haut-Uele</v>
      </c>
      <c r="G368" s="1">
        <f>VLOOKUP(C368,REGISTRE!B:G,3,FALSE)</f>
        <v>-7.1483749999999997</v>
      </c>
      <c r="H368" s="1">
        <f>VLOOKUP(C368,REGISTRE!B:G,4,FALSE)</f>
        <v>26.014271000000001</v>
      </c>
      <c r="I368" s="1" t="str">
        <f>VLOOKUP(C368,REGISTRE!B:G,5,FALSE)</f>
        <v>5G</v>
      </c>
      <c r="J368" s="1" t="str">
        <f>VLOOKUP(C368,REGISTRE!B:G,6,FALSE)</f>
        <v>Huawei</v>
      </c>
      <c r="K368" s="1" t="str">
        <f>INT(LOGS_Rx5[[#This Row],[Duree_Panne_Min]]/60) &amp; " h " &amp; MOD(LOGS_Rx5[[#This Row],[Duree_Panne_Min]],60) &amp; " min " &amp; "0 s"</f>
        <v>1 h 27 min 0 s</v>
      </c>
    </row>
    <row r="369" spans="1:11" x14ac:dyDescent="0.35">
      <c r="A369" s="1" t="s">
        <v>1368</v>
      </c>
      <c r="B369" s="2">
        <v>45226.997916666667</v>
      </c>
      <c r="C369" s="1" t="s">
        <v>1381</v>
      </c>
      <c r="D369">
        <v>53</v>
      </c>
      <c r="E369" s="1" t="s">
        <v>740</v>
      </c>
      <c r="F369" s="1" t="str">
        <f>VLOOKUP(C369,REGISTRE!B:G,2,FALSE)</f>
        <v>Nord-Ubangi</v>
      </c>
      <c r="G369" s="1">
        <f>VLOOKUP(C369,REGISTRE!B:G,3,FALSE)</f>
        <v>-7.8373179999999998</v>
      </c>
      <c r="H369" s="1">
        <f>VLOOKUP(C369,REGISTRE!B:G,4,FALSE)</f>
        <v>20.527591999999999</v>
      </c>
      <c r="I369" s="1" t="str">
        <f>VLOOKUP(C369,REGISTRE!B:G,5,FALSE)</f>
        <v>4G</v>
      </c>
      <c r="J369" s="1" t="str">
        <f>VLOOKUP(C369,REGISTRE!B:G,6,FALSE)</f>
        <v>Ericsson</v>
      </c>
      <c r="K369" s="1" t="str">
        <f>INT(LOGS_Rx5[[#This Row],[Duree_Panne_Min]]/60) &amp; " h " &amp; MOD(LOGS_Rx5[[#This Row],[Duree_Panne_Min]],60) &amp; " min " &amp; "0 s"</f>
        <v>0 h 53 min 0 s</v>
      </c>
    </row>
    <row r="370" spans="1:11" x14ac:dyDescent="0.35">
      <c r="A370" s="1" t="s">
        <v>905</v>
      </c>
      <c r="B370" s="2">
        <v>45219.801388888889</v>
      </c>
      <c r="C370" s="1" t="s">
        <v>915</v>
      </c>
      <c r="D370">
        <v>65</v>
      </c>
      <c r="E370" s="1" t="s">
        <v>738</v>
      </c>
      <c r="F370" s="1" t="str">
        <f>VLOOKUP(C370,REGISTRE!B:G,2,FALSE)</f>
        <v>Tshuapa</v>
      </c>
      <c r="G370" s="1">
        <f>VLOOKUP(C370,REGISTRE!B:G,3,FALSE)</f>
        <v>0.52897499999999997</v>
      </c>
      <c r="H370" s="1">
        <f>VLOOKUP(C370,REGISTRE!B:G,4,FALSE)</f>
        <v>13.849651</v>
      </c>
      <c r="I370" s="1" t="str">
        <f>VLOOKUP(C370,REGISTRE!B:G,5,FALSE)</f>
        <v>3G</v>
      </c>
      <c r="J370" s="1" t="str">
        <f>VLOOKUP(C370,REGISTRE!B:G,6,FALSE)</f>
        <v>ZTE</v>
      </c>
      <c r="K370" s="1" t="str">
        <f>INT(LOGS_Rx5[[#This Row],[Duree_Panne_Min]]/60) &amp; " h " &amp; MOD(LOGS_Rx5[[#This Row],[Duree_Panne_Min]],60) &amp; " min " &amp; "0 s"</f>
        <v>1 h 5 min 0 s</v>
      </c>
    </row>
    <row r="371" spans="1:11" x14ac:dyDescent="0.35">
      <c r="A371" s="1" t="s">
        <v>1144</v>
      </c>
      <c r="B371" s="2">
        <v>45225.406944444447</v>
      </c>
      <c r="C371" s="1" t="s">
        <v>1169</v>
      </c>
      <c r="D371">
        <v>74</v>
      </c>
      <c r="E371" s="1" t="s">
        <v>735</v>
      </c>
      <c r="F371" s="1" t="str">
        <f>VLOOKUP(C371,REGISTRE!B:G,2,FALSE)</f>
        <v>Kwango</v>
      </c>
      <c r="G371" s="1">
        <f>VLOOKUP(C371,REGISTRE!B:G,3,FALSE)</f>
        <v>-4.6957509999999996</v>
      </c>
      <c r="H371" s="1">
        <f>VLOOKUP(C371,REGISTRE!B:G,4,FALSE)</f>
        <v>14.233525999999999</v>
      </c>
      <c r="I371" s="1" t="str">
        <f>VLOOKUP(C371,REGISTRE!B:G,5,FALSE)</f>
        <v>4G</v>
      </c>
      <c r="J371" s="1" t="str">
        <f>VLOOKUP(C371,REGISTRE!B:G,6,FALSE)</f>
        <v>Nokia</v>
      </c>
      <c r="K371" s="1" t="str">
        <f>INT(LOGS_Rx5[[#This Row],[Duree_Panne_Min]]/60) &amp; " h " &amp; MOD(LOGS_Rx5[[#This Row],[Duree_Panne_Min]],60) &amp; " min " &amp; "0 s"</f>
        <v>1 h 14 min 0 s</v>
      </c>
    </row>
    <row r="372" spans="1:11" x14ac:dyDescent="0.35">
      <c r="A372" s="1" t="s">
        <v>1351</v>
      </c>
      <c r="B372" s="2">
        <v>45224.229861111111</v>
      </c>
      <c r="C372" s="1" t="s">
        <v>1362</v>
      </c>
      <c r="D372">
        <v>20</v>
      </c>
      <c r="E372" s="1" t="s">
        <v>735</v>
      </c>
      <c r="F372" s="1" t="str">
        <f>VLOOKUP(C372,REGISTRE!B:G,2,FALSE)</f>
        <v>Nord-Kivu</v>
      </c>
      <c r="G372" s="1">
        <f>VLOOKUP(C372,REGISTRE!B:G,3,FALSE)</f>
        <v>-10.298385</v>
      </c>
      <c r="H372" s="1">
        <f>VLOOKUP(C372,REGISTRE!B:G,4,FALSE)</f>
        <v>29.698117</v>
      </c>
      <c r="I372" s="1" t="str">
        <f>VLOOKUP(C372,REGISTRE!B:G,5,FALSE)</f>
        <v>5G</v>
      </c>
      <c r="J372" s="1" t="str">
        <f>VLOOKUP(C372,REGISTRE!B:G,6,FALSE)</f>
        <v>Nokia</v>
      </c>
      <c r="K372" s="1" t="str">
        <f>INT(LOGS_Rx5[[#This Row],[Duree_Panne_Min]]/60) &amp; " h " &amp; MOD(LOGS_Rx5[[#This Row],[Duree_Panne_Min]],60) &amp; " min " &amp; "0 s"</f>
        <v>0 h 20 min 0 s</v>
      </c>
    </row>
    <row r="373" spans="1:11" x14ac:dyDescent="0.35">
      <c r="A373" s="1" t="s">
        <v>1389</v>
      </c>
      <c r="B373" s="2">
        <v>45213.907638888893</v>
      </c>
      <c r="C373" s="1" t="s">
        <v>1362</v>
      </c>
      <c r="D373">
        <v>52</v>
      </c>
      <c r="E373" s="1" t="s">
        <v>735</v>
      </c>
      <c r="F373" s="1" t="str">
        <f>VLOOKUP(C373,REGISTRE!B:G,2,FALSE)</f>
        <v>Nord-Kivu</v>
      </c>
      <c r="G373" s="1">
        <f>VLOOKUP(C373,REGISTRE!B:G,3,FALSE)</f>
        <v>-10.298385</v>
      </c>
      <c r="H373" s="1">
        <f>VLOOKUP(C373,REGISTRE!B:G,4,FALSE)</f>
        <v>29.698117</v>
      </c>
      <c r="I373" s="1" t="str">
        <f>VLOOKUP(C373,REGISTRE!B:G,5,FALSE)</f>
        <v>5G</v>
      </c>
      <c r="J373" s="1" t="str">
        <f>VLOOKUP(C373,REGISTRE!B:G,6,FALSE)</f>
        <v>Nokia</v>
      </c>
      <c r="K373" s="1" t="str">
        <f>INT(LOGS_Rx5[[#This Row],[Duree_Panne_Min]]/60) &amp; " h " &amp; MOD(LOGS_Rx5[[#This Row],[Duree_Panne_Min]],60) &amp; " min " &amp; "0 s"</f>
        <v>0 h 52 min 0 s</v>
      </c>
    </row>
    <row r="374" spans="1:11" x14ac:dyDescent="0.35">
      <c r="A374" s="1" t="s">
        <v>1267</v>
      </c>
      <c r="B374" s="2">
        <v>45207.668055555558</v>
      </c>
      <c r="C374" s="1" t="s">
        <v>1291</v>
      </c>
      <c r="D374">
        <v>113</v>
      </c>
      <c r="E374" s="1" t="s">
        <v>735</v>
      </c>
      <c r="F374" s="1" t="str">
        <f>VLOOKUP(C374,REGISTRE!B:G,2,FALSE)</f>
        <v>Kongo-Central</v>
      </c>
      <c r="G374" s="1">
        <f>VLOOKUP(C374,REGISTRE!B:G,3,FALSE)</f>
        <v>-7.1587569999999996</v>
      </c>
      <c r="H374" s="1">
        <f>VLOOKUP(C374,REGISTRE!B:G,4,FALSE)</f>
        <v>18.975141000000001</v>
      </c>
      <c r="I374" s="1" t="str">
        <f>VLOOKUP(C374,REGISTRE!B:G,5,FALSE)</f>
        <v>5G</v>
      </c>
      <c r="J374" s="1" t="str">
        <f>VLOOKUP(C374,REGISTRE!B:G,6,FALSE)</f>
        <v>Ericsson</v>
      </c>
      <c r="K374" s="1" t="str">
        <f>INT(LOGS_Rx5[[#This Row],[Duree_Panne_Min]]/60) &amp; " h " &amp; MOD(LOGS_Rx5[[#This Row],[Duree_Panne_Min]],60) &amp; " min " &amp; "0 s"</f>
        <v>1 h 53 min 0 s</v>
      </c>
    </row>
    <row r="375" spans="1:11" x14ac:dyDescent="0.35">
      <c r="A375" s="1" t="s">
        <v>1336</v>
      </c>
      <c r="B375" s="2">
        <v>45207.074305555558</v>
      </c>
      <c r="C375" s="1" t="s">
        <v>1291</v>
      </c>
      <c r="D375">
        <v>57</v>
      </c>
      <c r="E375" s="1" t="s">
        <v>735</v>
      </c>
      <c r="F375" s="1" t="str">
        <f>VLOOKUP(C375,REGISTRE!B:G,2,FALSE)</f>
        <v>Kongo-Central</v>
      </c>
      <c r="G375" s="1">
        <f>VLOOKUP(C375,REGISTRE!B:G,3,FALSE)</f>
        <v>-7.1587569999999996</v>
      </c>
      <c r="H375" s="1">
        <f>VLOOKUP(C375,REGISTRE!B:G,4,FALSE)</f>
        <v>18.975141000000001</v>
      </c>
      <c r="I375" s="1" t="str">
        <f>VLOOKUP(C375,REGISTRE!B:G,5,FALSE)</f>
        <v>5G</v>
      </c>
      <c r="J375" s="1" t="str">
        <f>VLOOKUP(C375,REGISTRE!B:G,6,FALSE)</f>
        <v>Ericsson</v>
      </c>
      <c r="K375" s="1" t="str">
        <f>INT(LOGS_Rx5[[#This Row],[Duree_Panne_Min]]/60) &amp; " h " &amp; MOD(LOGS_Rx5[[#This Row],[Duree_Panne_Min]],60) &amp; " min " &amp; "0 s"</f>
        <v>0 h 57 min 0 s</v>
      </c>
    </row>
    <row r="376" spans="1:11" x14ac:dyDescent="0.35">
      <c r="A376" s="1" t="s">
        <v>1351</v>
      </c>
      <c r="B376" s="2">
        <v>45219.569444444453</v>
      </c>
      <c r="C376" s="1" t="s">
        <v>1291</v>
      </c>
      <c r="D376">
        <v>96</v>
      </c>
      <c r="E376" s="1" t="s">
        <v>735</v>
      </c>
      <c r="F376" s="1" t="str">
        <f>VLOOKUP(C376,REGISTRE!B:G,2,FALSE)</f>
        <v>Kongo-Central</v>
      </c>
      <c r="G376" s="1">
        <f>VLOOKUP(C376,REGISTRE!B:G,3,FALSE)</f>
        <v>-7.1587569999999996</v>
      </c>
      <c r="H376" s="1">
        <f>VLOOKUP(C376,REGISTRE!B:G,4,FALSE)</f>
        <v>18.975141000000001</v>
      </c>
      <c r="I376" s="1" t="str">
        <f>VLOOKUP(C376,REGISTRE!B:G,5,FALSE)</f>
        <v>5G</v>
      </c>
      <c r="J376" s="1" t="str">
        <f>VLOOKUP(C376,REGISTRE!B:G,6,FALSE)</f>
        <v>Ericsson</v>
      </c>
      <c r="K376" s="1" t="str">
        <f>INT(LOGS_Rx5[[#This Row],[Duree_Panne_Min]]/60) &amp; " h " &amp; MOD(LOGS_Rx5[[#This Row],[Duree_Panne_Min]],60) &amp; " min " &amp; "0 s"</f>
        <v>1 h 36 min 0 s</v>
      </c>
    </row>
    <row r="377" spans="1:11" x14ac:dyDescent="0.35">
      <c r="A377" s="1" t="s">
        <v>864</v>
      </c>
      <c r="B377" s="2">
        <v>45203.950694444437</v>
      </c>
      <c r="C377" s="1" t="s">
        <v>895</v>
      </c>
      <c r="D377">
        <v>8</v>
      </c>
      <c r="E377" s="1" t="s">
        <v>738</v>
      </c>
      <c r="F377" s="1" t="str">
        <f>VLOOKUP(C377,REGISTRE!B:G,2,FALSE)</f>
        <v>Tshuapa</v>
      </c>
      <c r="G377" s="1">
        <f>VLOOKUP(C377,REGISTRE!B:G,3,FALSE)</f>
        <v>-0.79406600000000005</v>
      </c>
      <c r="H377" s="1">
        <f>VLOOKUP(C377,REGISTRE!B:G,4,FALSE)</f>
        <v>12.534793000000001</v>
      </c>
      <c r="I377" s="1" t="str">
        <f>VLOOKUP(C377,REGISTRE!B:G,5,FALSE)</f>
        <v>3G</v>
      </c>
      <c r="J377" s="1" t="str">
        <f>VLOOKUP(C377,REGISTRE!B:G,6,FALSE)</f>
        <v>Huawei</v>
      </c>
      <c r="K377" s="1" t="str">
        <f>INT(LOGS_Rx5[[#This Row],[Duree_Panne_Min]]/60) &amp; " h " &amp; MOD(LOGS_Rx5[[#This Row],[Duree_Panne_Min]],60) &amp; " min " &amp; "0 s"</f>
        <v>0 h 8 min 0 s</v>
      </c>
    </row>
    <row r="378" spans="1:11" x14ac:dyDescent="0.35">
      <c r="A378" s="1" t="s">
        <v>1314</v>
      </c>
      <c r="B378" s="2">
        <v>45229.631249999999</v>
      </c>
      <c r="C378" s="1" t="s">
        <v>1319</v>
      </c>
      <c r="D378">
        <v>81</v>
      </c>
      <c r="E378" s="1" t="s">
        <v>735</v>
      </c>
      <c r="F378" s="1" t="str">
        <f>VLOOKUP(C378,REGISTRE!B:G,2,FALSE)</f>
        <v>Tshuapa</v>
      </c>
      <c r="G378" s="1">
        <f>VLOOKUP(C378,REGISTRE!B:G,3,FALSE)</f>
        <v>-10.574821</v>
      </c>
      <c r="H378" s="1">
        <f>VLOOKUP(C378,REGISTRE!B:G,4,FALSE)</f>
        <v>25.324966</v>
      </c>
      <c r="I378" s="1" t="str">
        <f>VLOOKUP(C378,REGISTRE!B:G,5,FALSE)</f>
        <v>5G</v>
      </c>
      <c r="J378" s="1" t="str">
        <f>VLOOKUP(C378,REGISTRE!B:G,6,FALSE)</f>
        <v>Ericsson</v>
      </c>
      <c r="K378" s="1" t="str">
        <f>INT(LOGS_Rx5[[#This Row],[Duree_Panne_Min]]/60) &amp; " h " &amp; MOD(LOGS_Rx5[[#This Row],[Duree_Panne_Min]],60) &amp; " min " &amp; "0 s"</f>
        <v>1 h 21 min 0 s</v>
      </c>
    </row>
    <row r="379" spans="1:11" x14ac:dyDescent="0.35">
      <c r="A379" s="1" t="s">
        <v>1144</v>
      </c>
      <c r="B379" s="2">
        <v>45204.615972222222</v>
      </c>
      <c r="C379" s="1" t="s">
        <v>1154</v>
      </c>
      <c r="D379">
        <v>41</v>
      </c>
      <c r="E379" s="1" t="s">
        <v>740</v>
      </c>
      <c r="F379" s="1" t="str">
        <f>VLOOKUP(C379,REGISTRE!B:G,2,FALSE)</f>
        <v>Kinshasa</v>
      </c>
      <c r="G379" s="1">
        <f>VLOOKUP(C379,REGISTRE!B:G,3,FALSE)</f>
        <v>1.3006180000000001</v>
      </c>
      <c r="H379" s="1">
        <f>VLOOKUP(C379,REGISTRE!B:G,4,FALSE)</f>
        <v>29.060970999999999</v>
      </c>
      <c r="I379" s="1" t="str">
        <f>VLOOKUP(C379,REGISTRE!B:G,5,FALSE)</f>
        <v>3G</v>
      </c>
      <c r="J379" s="1" t="str">
        <f>VLOOKUP(C379,REGISTRE!B:G,6,FALSE)</f>
        <v>ZTE</v>
      </c>
      <c r="K379" s="1" t="str">
        <f>INT(LOGS_Rx5[[#This Row],[Duree_Panne_Min]]/60) &amp; " h " &amp; MOD(LOGS_Rx5[[#This Row],[Duree_Panne_Min]],60) &amp; " min " &amp; "0 s"</f>
        <v>0 h 41 min 0 s</v>
      </c>
    </row>
    <row r="380" spans="1:11" x14ac:dyDescent="0.35">
      <c r="A380" s="1" t="s">
        <v>1199</v>
      </c>
      <c r="B380" s="2">
        <v>45209.354861111111</v>
      </c>
      <c r="C380" s="1" t="s">
        <v>1154</v>
      </c>
      <c r="D380">
        <v>99</v>
      </c>
      <c r="E380" s="1" t="s">
        <v>738</v>
      </c>
      <c r="F380" s="1" t="str">
        <f>VLOOKUP(C380,REGISTRE!B:G,2,FALSE)</f>
        <v>Kinshasa</v>
      </c>
      <c r="G380" s="1">
        <f>VLOOKUP(C380,REGISTRE!B:G,3,FALSE)</f>
        <v>1.3006180000000001</v>
      </c>
      <c r="H380" s="1">
        <f>VLOOKUP(C380,REGISTRE!B:G,4,FALSE)</f>
        <v>29.060970999999999</v>
      </c>
      <c r="I380" s="1" t="str">
        <f>VLOOKUP(C380,REGISTRE!B:G,5,FALSE)</f>
        <v>3G</v>
      </c>
      <c r="J380" s="1" t="str">
        <f>VLOOKUP(C380,REGISTRE!B:G,6,FALSE)</f>
        <v>ZTE</v>
      </c>
      <c r="K380" s="1" t="str">
        <f>INT(LOGS_Rx5[[#This Row],[Duree_Panne_Min]]/60) &amp; " h " &amp; MOD(LOGS_Rx5[[#This Row],[Duree_Panne_Min]],60) &amp; " min " &amp; "0 s"</f>
        <v>1 h 39 min 0 s</v>
      </c>
    </row>
    <row r="381" spans="1:11" x14ac:dyDescent="0.35">
      <c r="A381" s="1" t="s">
        <v>1171</v>
      </c>
      <c r="B381" s="2">
        <v>45229.620833333327</v>
      </c>
      <c r="C381" s="1" t="s">
        <v>1180</v>
      </c>
      <c r="D381">
        <v>74</v>
      </c>
      <c r="E381" s="1" t="s">
        <v>740</v>
      </c>
      <c r="F381" s="1" t="str">
        <f>VLOOKUP(C381,REGISTRE!B:G,2,FALSE)</f>
        <v>Haut-Uele</v>
      </c>
      <c r="G381" s="1">
        <f>VLOOKUP(C381,REGISTRE!B:G,3,FALSE)</f>
        <v>-12.488033</v>
      </c>
      <c r="H381" s="1">
        <f>VLOOKUP(C381,REGISTRE!B:G,4,FALSE)</f>
        <v>16.139648000000001</v>
      </c>
      <c r="I381" s="1" t="str">
        <f>VLOOKUP(C381,REGISTRE!B:G,5,FALSE)</f>
        <v>4G</v>
      </c>
      <c r="J381" s="1" t="str">
        <f>VLOOKUP(C381,REGISTRE!B:G,6,FALSE)</f>
        <v>Huawei</v>
      </c>
      <c r="K381" s="1" t="str">
        <f>INT(LOGS_Rx5[[#This Row],[Duree_Panne_Min]]/60) &amp; " h " &amp; MOD(LOGS_Rx5[[#This Row],[Duree_Panne_Min]],60) &amp; " min " &amp; "0 s"</f>
        <v>1 h 14 min 0 s</v>
      </c>
    </row>
    <row r="382" spans="1:11" x14ac:dyDescent="0.35">
      <c r="A382" s="1" t="s">
        <v>1028</v>
      </c>
      <c r="B382" s="2">
        <v>45206.443055555559</v>
      </c>
      <c r="C382" s="1" t="s">
        <v>1036</v>
      </c>
      <c r="D382">
        <v>48</v>
      </c>
      <c r="E382" s="1" t="s">
        <v>740</v>
      </c>
      <c r="F382" s="1" t="str">
        <f>VLOOKUP(C382,REGISTRE!B:G,2,FALSE)</f>
        <v>Haut-Lomami</v>
      </c>
      <c r="G382" s="1">
        <f>VLOOKUP(C382,REGISTRE!B:G,3,FALSE)</f>
        <v>0.16327700000000001</v>
      </c>
      <c r="H382" s="1">
        <f>VLOOKUP(C382,REGISTRE!B:G,4,FALSE)</f>
        <v>14.871577</v>
      </c>
      <c r="I382" s="1" t="str">
        <f>VLOOKUP(C382,REGISTRE!B:G,5,FALSE)</f>
        <v>4G</v>
      </c>
      <c r="J382" s="1" t="str">
        <f>VLOOKUP(C382,REGISTRE!B:G,6,FALSE)</f>
        <v>Huawei</v>
      </c>
      <c r="K382" s="1" t="str">
        <f>INT(LOGS_Rx5[[#This Row],[Duree_Panne_Min]]/60) &amp; " h " &amp; MOD(LOGS_Rx5[[#This Row],[Duree_Panne_Min]],60) &amp; " min " &amp; "0 s"</f>
        <v>0 h 48 min 0 s</v>
      </c>
    </row>
    <row r="383" spans="1:11" x14ac:dyDescent="0.35">
      <c r="A383" s="1" t="s">
        <v>1063</v>
      </c>
      <c r="B383" s="2">
        <v>45225.288888888892</v>
      </c>
      <c r="C383" s="1" t="s">
        <v>1036</v>
      </c>
      <c r="D383">
        <v>89</v>
      </c>
      <c r="E383" s="1" t="s">
        <v>735</v>
      </c>
      <c r="F383" s="1" t="str">
        <f>VLOOKUP(C383,REGISTRE!B:G,2,FALSE)</f>
        <v>Haut-Lomami</v>
      </c>
      <c r="G383" s="1">
        <f>VLOOKUP(C383,REGISTRE!B:G,3,FALSE)</f>
        <v>0.16327700000000001</v>
      </c>
      <c r="H383" s="1">
        <f>VLOOKUP(C383,REGISTRE!B:G,4,FALSE)</f>
        <v>14.871577</v>
      </c>
      <c r="I383" s="1" t="str">
        <f>VLOOKUP(C383,REGISTRE!B:G,5,FALSE)</f>
        <v>4G</v>
      </c>
      <c r="J383" s="1" t="str">
        <f>VLOOKUP(C383,REGISTRE!B:G,6,FALSE)</f>
        <v>Huawei</v>
      </c>
      <c r="K383" s="1" t="str">
        <f>INT(LOGS_Rx5[[#This Row],[Duree_Panne_Min]]/60) &amp; " h " &amp; MOD(LOGS_Rx5[[#This Row],[Duree_Panne_Min]],60) &amp; " min " &amp; "0 s"</f>
        <v>1 h 29 min 0 s</v>
      </c>
    </row>
    <row r="384" spans="1:11" x14ac:dyDescent="0.35">
      <c r="A384" s="1" t="s">
        <v>1063</v>
      </c>
      <c r="B384" s="2">
        <v>45211.722916666673</v>
      </c>
      <c r="C384" s="1" t="s">
        <v>1080</v>
      </c>
      <c r="D384">
        <v>28</v>
      </c>
      <c r="E384" s="1" t="s">
        <v>735</v>
      </c>
      <c r="F384" s="1" t="str">
        <f>VLOOKUP(C384,REGISTRE!B:G,2,FALSE)</f>
        <v>Haut-Uele</v>
      </c>
      <c r="G384" s="1">
        <f>VLOOKUP(C384,REGISTRE!B:G,3,FALSE)</f>
        <v>-6.9624990000000002</v>
      </c>
      <c r="H384" s="1">
        <f>VLOOKUP(C384,REGISTRE!B:G,4,FALSE)</f>
        <v>20.759834999999999</v>
      </c>
      <c r="I384" s="1" t="str">
        <f>VLOOKUP(C384,REGISTRE!B:G,5,FALSE)</f>
        <v>4G</v>
      </c>
      <c r="J384" s="1" t="str">
        <f>VLOOKUP(C384,REGISTRE!B:G,6,FALSE)</f>
        <v>Huawei</v>
      </c>
      <c r="K384" s="1" t="str">
        <f>INT(LOGS_Rx5[[#This Row],[Duree_Panne_Min]]/60) &amp; " h " &amp; MOD(LOGS_Rx5[[#This Row],[Duree_Panne_Min]],60) &amp; " min " &amp; "0 s"</f>
        <v>0 h 28 min 0 s</v>
      </c>
    </row>
    <row r="385" spans="1:11" x14ac:dyDescent="0.35">
      <c r="A385" s="1" t="s">
        <v>1171</v>
      </c>
      <c r="B385" s="2">
        <v>45226.313194444447</v>
      </c>
      <c r="C385" s="1" t="s">
        <v>1196</v>
      </c>
      <c r="D385">
        <v>66</v>
      </c>
      <c r="E385" s="1" t="s">
        <v>740</v>
      </c>
      <c r="F385" s="1" t="str">
        <f>VLOOKUP(C385,REGISTRE!B:G,2,FALSE)</f>
        <v>Equateur</v>
      </c>
      <c r="G385" s="1">
        <f>VLOOKUP(C385,REGISTRE!B:G,3,FALSE)</f>
        <v>-12.839263000000001</v>
      </c>
      <c r="H385" s="1">
        <f>VLOOKUP(C385,REGISTRE!B:G,4,FALSE)</f>
        <v>12.355677</v>
      </c>
      <c r="I385" s="1" t="str">
        <f>VLOOKUP(C385,REGISTRE!B:G,5,FALSE)</f>
        <v>3G</v>
      </c>
      <c r="J385" s="1" t="str">
        <f>VLOOKUP(C385,REGISTRE!B:G,6,FALSE)</f>
        <v>Huawei</v>
      </c>
      <c r="K385" s="1" t="str">
        <f>INT(LOGS_Rx5[[#This Row],[Duree_Panne_Min]]/60) &amp; " h " &amp; MOD(LOGS_Rx5[[#This Row],[Duree_Panne_Min]],60) &amp; " min " &amp; "0 s"</f>
        <v>1 h 6 min 0 s</v>
      </c>
    </row>
    <row r="386" spans="1:11" x14ac:dyDescent="0.35">
      <c r="A386" s="1" t="s">
        <v>1336</v>
      </c>
      <c r="B386" s="2">
        <v>45214.290277777778</v>
      </c>
      <c r="C386" s="1" t="s">
        <v>1196</v>
      </c>
      <c r="D386">
        <v>27</v>
      </c>
      <c r="E386" s="1" t="s">
        <v>738</v>
      </c>
      <c r="F386" s="1" t="str">
        <f>VLOOKUP(C386,REGISTRE!B:G,2,FALSE)</f>
        <v>Equateur</v>
      </c>
      <c r="G386" s="1">
        <f>VLOOKUP(C386,REGISTRE!B:G,3,FALSE)</f>
        <v>-12.839263000000001</v>
      </c>
      <c r="H386" s="1">
        <f>VLOOKUP(C386,REGISTRE!B:G,4,FALSE)</f>
        <v>12.355677</v>
      </c>
      <c r="I386" s="1" t="str">
        <f>VLOOKUP(C386,REGISTRE!B:G,5,FALSE)</f>
        <v>3G</v>
      </c>
      <c r="J386" s="1" t="str">
        <f>VLOOKUP(C386,REGISTRE!B:G,6,FALSE)</f>
        <v>Huawei</v>
      </c>
      <c r="K386" s="1" t="str">
        <f>INT(LOGS_Rx5[[#This Row],[Duree_Panne_Min]]/60) &amp; " h " &amp; MOD(LOGS_Rx5[[#This Row],[Duree_Panne_Min]],60) &amp; " min " &amp; "0 s"</f>
        <v>0 h 27 min 0 s</v>
      </c>
    </row>
    <row r="387" spans="1:11" x14ac:dyDescent="0.35">
      <c r="A387" s="1" t="s">
        <v>1351</v>
      </c>
      <c r="B387" s="2">
        <v>45224.104861111111</v>
      </c>
      <c r="C387" s="1" t="s">
        <v>1360</v>
      </c>
      <c r="D387">
        <v>98</v>
      </c>
      <c r="E387" s="1" t="s">
        <v>740</v>
      </c>
      <c r="F387" s="1" t="str">
        <f>VLOOKUP(C387,REGISTRE!B:G,2,FALSE)</f>
        <v>Tanganyika</v>
      </c>
      <c r="G387" s="1">
        <f>VLOOKUP(C387,REGISTRE!B:G,3,FALSE)</f>
        <v>-7.0007840000000003</v>
      </c>
      <c r="H387" s="1">
        <f>VLOOKUP(C387,REGISTRE!B:G,4,FALSE)</f>
        <v>22.787997000000001</v>
      </c>
      <c r="I387" s="1" t="str">
        <f>VLOOKUP(C387,REGISTRE!B:G,5,FALSE)</f>
        <v>5G</v>
      </c>
      <c r="J387" s="1" t="str">
        <f>VLOOKUP(C387,REGISTRE!B:G,6,FALSE)</f>
        <v>ZTE</v>
      </c>
      <c r="K387" s="1" t="str">
        <f>INT(LOGS_Rx5[[#This Row],[Duree_Panne_Min]]/60) &amp; " h " &amp; MOD(LOGS_Rx5[[#This Row],[Duree_Panne_Min]],60) &amp; " min " &amp; "0 s"</f>
        <v>1 h 38 min 0 s</v>
      </c>
    </row>
    <row r="388" spans="1:11" x14ac:dyDescent="0.35">
      <c r="A388" s="1" t="s">
        <v>782</v>
      </c>
      <c r="B388" s="2">
        <v>45219.113194444442</v>
      </c>
      <c r="C388" s="1" t="s">
        <v>812</v>
      </c>
      <c r="D388">
        <v>19</v>
      </c>
      <c r="E388" s="1" t="s">
        <v>735</v>
      </c>
      <c r="F388" s="1" t="str">
        <f>VLOOKUP(C388,REGISTRE!B:G,2,FALSE)</f>
        <v>Kwango</v>
      </c>
      <c r="G388" s="1">
        <f>VLOOKUP(C388,REGISTRE!B:G,3,FALSE)</f>
        <v>-9.7712979999999998</v>
      </c>
      <c r="H388" s="1">
        <f>VLOOKUP(C388,REGISTRE!B:G,4,FALSE)</f>
        <v>19.827895999999999</v>
      </c>
      <c r="I388" s="1" t="str">
        <f>VLOOKUP(C388,REGISTRE!B:G,5,FALSE)</f>
        <v>3G</v>
      </c>
      <c r="J388" s="1" t="str">
        <f>VLOOKUP(C388,REGISTRE!B:G,6,FALSE)</f>
        <v>ZTE</v>
      </c>
      <c r="K388" s="1" t="str">
        <f>INT(LOGS_Rx5[[#This Row],[Duree_Panne_Min]]/60) &amp; " h " &amp; MOD(LOGS_Rx5[[#This Row],[Duree_Panne_Min]],60) &amp; " min " &amp; "0 s"</f>
        <v>0 h 19 min 0 s</v>
      </c>
    </row>
    <row r="389" spans="1:11" x14ac:dyDescent="0.35">
      <c r="A389" s="1" t="s">
        <v>864</v>
      </c>
      <c r="B389" s="2">
        <v>45224.010416666657</v>
      </c>
      <c r="C389" s="1" t="s">
        <v>812</v>
      </c>
      <c r="D389">
        <v>114</v>
      </c>
      <c r="E389" s="1" t="s">
        <v>740</v>
      </c>
      <c r="F389" s="1" t="str">
        <f>VLOOKUP(C389,REGISTRE!B:G,2,FALSE)</f>
        <v>Kwango</v>
      </c>
      <c r="G389" s="1">
        <f>VLOOKUP(C389,REGISTRE!B:G,3,FALSE)</f>
        <v>-9.7712979999999998</v>
      </c>
      <c r="H389" s="1">
        <f>VLOOKUP(C389,REGISTRE!B:G,4,FALSE)</f>
        <v>19.827895999999999</v>
      </c>
      <c r="I389" s="1" t="str">
        <f>VLOOKUP(C389,REGISTRE!B:G,5,FALSE)</f>
        <v>3G</v>
      </c>
      <c r="J389" s="1" t="str">
        <f>VLOOKUP(C389,REGISTRE!B:G,6,FALSE)</f>
        <v>ZTE</v>
      </c>
      <c r="K389" s="1" t="str">
        <f>INT(LOGS_Rx5[[#This Row],[Duree_Panne_Min]]/60) &amp; " h " &amp; MOD(LOGS_Rx5[[#This Row],[Duree_Panne_Min]],60) &amp; " min " &amp; "0 s"</f>
        <v>1 h 54 min 0 s</v>
      </c>
    </row>
    <row r="390" spans="1:11" x14ac:dyDescent="0.35">
      <c r="A390" s="1" t="s">
        <v>1247</v>
      </c>
      <c r="B390" s="2">
        <v>45218.038194444453</v>
      </c>
      <c r="C390" s="1" t="s">
        <v>812</v>
      </c>
      <c r="D390">
        <v>6</v>
      </c>
      <c r="E390" s="1" t="s">
        <v>735</v>
      </c>
      <c r="F390" s="1" t="str">
        <f>VLOOKUP(C390,REGISTRE!B:G,2,FALSE)</f>
        <v>Kwango</v>
      </c>
      <c r="G390" s="1">
        <f>VLOOKUP(C390,REGISTRE!B:G,3,FALSE)</f>
        <v>-9.7712979999999998</v>
      </c>
      <c r="H390" s="1">
        <f>VLOOKUP(C390,REGISTRE!B:G,4,FALSE)</f>
        <v>19.827895999999999</v>
      </c>
      <c r="I390" s="1" t="str">
        <f>VLOOKUP(C390,REGISTRE!B:G,5,FALSE)</f>
        <v>3G</v>
      </c>
      <c r="J390" s="1" t="str">
        <f>VLOOKUP(C390,REGISTRE!B:G,6,FALSE)</f>
        <v>ZTE</v>
      </c>
      <c r="K390" s="1" t="str">
        <f>INT(LOGS_Rx5[[#This Row],[Duree_Panne_Min]]/60) &amp; " h " &amp; MOD(LOGS_Rx5[[#This Row],[Duree_Panne_Min]],60) &amp; " min " &amp; "0 s"</f>
        <v>0 h 6 min 0 s</v>
      </c>
    </row>
    <row r="391" spans="1:11" x14ac:dyDescent="0.35">
      <c r="A391" s="1" t="s">
        <v>1171</v>
      </c>
      <c r="B391" s="2">
        <v>45223.554166666669</v>
      </c>
      <c r="C391" s="1" t="s">
        <v>1194</v>
      </c>
      <c r="D391">
        <v>86</v>
      </c>
      <c r="E391" s="1" t="s">
        <v>738</v>
      </c>
      <c r="F391" s="1" t="str">
        <f>VLOOKUP(C391,REGISTRE!B:G,2,FALSE)</f>
        <v>Sud-Ubangi</v>
      </c>
      <c r="G391" s="1">
        <f>VLOOKUP(C391,REGISTRE!B:G,3,FALSE)</f>
        <v>-12.050063</v>
      </c>
      <c r="H391" s="1">
        <f>VLOOKUP(C391,REGISTRE!B:G,4,FALSE)</f>
        <v>26.636987999999999</v>
      </c>
      <c r="I391" s="1" t="str">
        <f>VLOOKUP(C391,REGISTRE!B:G,5,FALSE)</f>
        <v>3G</v>
      </c>
      <c r="J391" s="1" t="str">
        <f>VLOOKUP(C391,REGISTRE!B:G,6,FALSE)</f>
        <v>Nokia</v>
      </c>
      <c r="K391" s="1" t="str">
        <f>INT(LOGS_Rx5[[#This Row],[Duree_Panne_Min]]/60) &amp; " h " &amp; MOD(LOGS_Rx5[[#This Row],[Duree_Panne_Min]],60) &amp; " min " &amp; "0 s"</f>
        <v>1 h 26 min 0 s</v>
      </c>
    </row>
    <row r="392" spans="1:11" x14ac:dyDescent="0.35">
      <c r="A392" s="1" t="s">
        <v>1314</v>
      </c>
      <c r="B392" s="2">
        <v>45227.751388888893</v>
      </c>
      <c r="C392" s="1" t="s">
        <v>1194</v>
      </c>
      <c r="D392">
        <v>42</v>
      </c>
      <c r="E392" s="1" t="s">
        <v>735</v>
      </c>
      <c r="F392" s="1" t="str">
        <f>VLOOKUP(C392,REGISTRE!B:G,2,FALSE)</f>
        <v>Sud-Ubangi</v>
      </c>
      <c r="G392" s="1">
        <f>VLOOKUP(C392,REGISTRE!B:G,3,FALSE)</f>
        <v>-12.050063</v>
      </c>
      <c r="H392" s="1">
        <f>VLOOKUP(C392,REGISTRE!B:G,4,FALSE)</f>
        <v>26.636987999999999</v>
      </c>
      <c r="I392" s="1" t="str">
        <f>VLOOKUP(C392,REGISTRE!B:G,5,FALSE)</f>
        <v>3G</v>
      </c>
      <c r="J392" s="1" t="str">
        <f>VLOOKUP(C392,REGISTRE!B:G,6,FALSE)</f>
        <v>Nokia</v>
      </c>
      <c r="K392" s="1" t="str">
        <f>INT(LOGS_Rx5[[#This Row],[Duree_Panne_Min]]/60) &amp; " h " &amp; MOD(LOGS_Rx5[[#This Row],[Duree_Panne_Min]],60) &amp; " min " &amp; "0 s"</f>
        <v>0 h 42 min 0 s</v>
      </c>
    </row>
    <row r="393" spans="1:11" x14ac:dyDescent="0.35">
      <c r="A393" s="1" t="s">
        <v>1171</v>
      </c>
      <c r="B393" s="2">
        <v>45210.836805555547</v>
      </c>
      <c r="C393" s="1" t="s">
        <v>1179</v>
      </c>
      <c r="D393">
        <v>118</v>
      </c>
      <c r="E393" s="1" t="s">
        <v>735</v>
      </c>
      <c r="F393" s="1" t="str">
        <f>VLOOKUP(C393,REGISTRE!B:G,2,FALSE)</f>
        <v>Mongala</v>
      </c>
      <c r="G393" s="1">
        <f>VLOOKUP(C393,REGISTRE!B:G,3,FALSE)</f>
        <v>-11.407966</v>
      </c>
      <c r="H393" s="1">
        <f>VLOOKUP(C393,REGISTRE!B:G,4,FALSE)</f>
        <v>28.378274000000001</v>
      </c>
      <c r="I393" s="1" t="str">
        <f>VLOOKUP(C393,REGISTRE!B:G,5,FALSE)</f>
        <v>4G</v>
      </c>
      <c r="J393" s="1" t="str">
        <f>VLOOKUP(C393,REGISTRE!B:G,6,FALSE)</f>
        <v>ZTE</v>
      </c>
      <c r="K393" s="1" t="str">
        <f>INT(LOGS_Rx5[[#This Row],[Duree_Panne_Min]]/60) &amp; " h " &amp; MOD(LOGS_Rx5[[#This Row],[Duree_Panne_Min]],60) &amp; " min " &amp; "0 s"</f>
        <v>1 h 58 min 0 s</v>
      </c>
    </row>
    <row r="394" spans="1:11" x14ac:dyDescent="0.35">
      <c r="A394" s="1" t="s">
        <v>1294</v>
      </c>
      <c r="B394" s="2">
        <v>45214.160416666673</v>
      </c>
      <c r="C394" s="1" t="s">
        <v>1179</v>
      </c>
      <c r="D394">
        <v>108</v>
      </c>
      <c r="E394" s="1" t="s">
        <v>740</v>
      </c>
      <c r="F394" s="1" t="str">
        <f>VLOOKUP(C394,REGISTRE!B:G,2,FALSE)</f>
        <v>Mongala</v>
      </c>
      <c r="G394" s="1">
        <f>VLOOKUP(C394,REGISTRE!B:G,3,FALSE)</f>
        <v>-11.407966</v>
      </c>
      <c r="H394" s="1">
        <f>VLOOKUP(C394,REGISTRE!B:G,4,FALSE)</f>
        <v>28.378274000000001</v>
      </c>
      <c r="I394" s="1" t="str">
        <f>VLOOKUP(C394,REGISTRE!B:G,5,FALSE)</f>
        <v>4G</v>
      </c>
      <c r="J394" s="1" t="str">
        <f>VLOOKUP(C394,REGISTRE!B:G,6,FALSE)</f>
        <v>ZTE</v>
      </c>
      <c r="K394" s="1" t="str">
        <f>INT(LOGS_Rx5[[#This Row],[Duree_Panne_Min]]/60) &amp; " h " &amp; MOD(LOGS_Rx5[[#This Row],[Duree_Panne_Min]],60) &amp; " min " &amp; "0 s"</f>
        <v>1 h 48 min 0 s</v>
      </c>
    </row>
    <row r="395" spans="1:11" x14ac:dyDescent="0.35">
      <c r="A395" s="1" t="s">
        <v>905</v>
      </c>
      <c r="B395" s="2">
        <v>45226.790277777778</v>
      </c>
      <c r="C395" s="1" t="s">
        <v>935</v>
      </c>
      <c r="D395">
        <v>68</v>
      </c>
      <c r="E395" s="1" t="s">
        <v>740</v>
      </c>
      <c r="F395" s="1" t="str">
        <f>VLOOKUP(C395,REGISTRE!B:G,2,FALSE)</f>
        <v>Equateur</v>
      </c>
      <c r="G395" s="1">
        <f>VLOOKUP(C395,REGISTRE!B:G,3,FALSE)</f>
        <v>-0.37665700000000002</v>
      </c>
      <c r="H395" s="1">
        <f>VLOOKUP(C395,REGISTRE!B:G,4,FALSE)</f>
        <v>25.154807999999999</v>
      </c>
      <c r="I395" s="1" t="str">
        <f>VLOOKUP(C395,REGISTRE!B:G,5,FALSE)</f>
        <v>3G</v>
      </c>
      <c r="J395" s="1" t="str">
        <f>VLOOKUP(C395,REGISTRE!B:G,6,FALSE)</f>
        <v>Nokia</v>
      </c>
      <c r="K395" s="1" t="str">
        <f>INT(LOGS_Rx5[[#This Row],[Duree_Panne_Min]]/60) &amp; " h " &amp; MOD(LOGS_Rx5[[#This Row],[Duree_Panne_Min]],60) &amp; " min " &amp; "0 s"</f>
        <v>1 h 8 min 0 s</v>
      </c>
    </row>
    <row r="396" spans="1:11" x14ac:dyDescent="0.35">
      <c r="A396" s="1" t="s">
        <v>1267</v>
      </c>
      <c r="B396" s="2">
        <v>45202.645138888889</v>
      </c>
      <c r="C396" s="1" t="s">
        <v>1278</v>
      </c>
      <c r="D396">
        <v>106</v>
      </c>
      <c r="E396" s="1" t="s">
        <v>740</v>
      </c>
      <c r="F396" s="1" t="str">
        <f>VLOOKUP(C396,REGISTRE!B:G,2,FALSE)</f>
        <v>Kongo-Central</v>
      </c>
      <c r="G396" s="1">
        <f>VLOOKUP(C396,REGISTRE!B:G,3,FALSE)</f>
        <v>1.981107</v>
      </c>
      <c r="H396" s="1">
        <f>VLOOKUP(C396,REGISTRE!B:G,4,FALSE)</f>
        <v>23.932569000000001</v>
      </c>
      <c r="I396" s="1" t="str">
        <f>VLOOKUP(C396,REGISTRE!B:G,5,FALSE)</f>
        <v>3G</v>
      </c>
      <c r="J396" s="1" t="str">
        <f>VLOOKUP(C396,REGISTRE!B:G,6,FALSE)</f>
        <v>Nokia</v>
      </c>
      <c r="K396" s="1" t="str">
        <f>INT(LOGS_Rx5[[#This Row],[Duree_Panne_Min]]/60) &amp; " h " &amp; MOD(LOGS_Rx5[[#This Row],[Duree_Panne_Min]],60) &amp; " min " &amp; "0 s"</f>
        <v>1 h 46 min 0 s</v>
      </c>
    </row>
    <row r="397" spans="1:11" x14ac:dyDescent="0.35">
      <c r="A397" s="1" t="s">
        <v>1294</v>
      </c>
      <c r="B397" s="2">
        <v>45202.775694444441</v>
      </c>
      <c r="C397" s="1" t="s">
        <v>1278</v>
      </c>
      <c r="D397">
        <v>72</v>
      </c>
      <c r="E397" s="1" t="s">
        <v>735</v>
      </c>
      <c r="F397" s="1" t="str">
        <f>VLOOKUP(C397,REGISTRE!B:G,2,FALSE)</f>
        <v>Kongo-Central</v>
      </c>
      <c r="G397" s="1">
        <f>VLOOKUP(C397,REGISTRE!B:G,3,FALSE)</f>
        <v>1.981107</v>
      </c>
      <c r="H397" s="1">
        <f>VLOOKUP(C397,REGISTRE!B:G,4,FALSE)</f>
        <v>23.932569000000001</v>
      </c>
      <c r="I397" s="1" t="str">
        <f>VLOOKUP(C397,REGISTRE!B:G,5,FALSE)</f>
        <v>3G</v>
      </c>
      <c r="J397" s="1" t="str">
        <f>VLOOKUP(C397,REGISTRE!B:G,6,FALSE)</f>
        <v>Nokia</v>
      </c>
      <c r="K397" s="1" t="str">
        <f>INT(LOGS_Rx5[[#This Row],[Duree_Panne_Min]]/60) &amp; " h " &amp; MOD(LOGS_Rx5[[#This Row],[Duree_Panne_Min]],60) &amp; " min " &amp; "0 s"</f>
        <v>1 h 12 min 0 s</v>
      </c>
    </row>
    <row r="398" spans="1:11" x14ac:dyDescent="0.35">
      <c r="A398" s="1" t="s">
        <v>1351</v>
      </c>
      <c r="B398" s="2">
        <v>45230.039583333331</v>
      </c>
      <c r="C398" s="1" t="s">
        <v>1278</v>
      </c>
      <c r="D398">
        <v>117</v>
      </c>
      <c r="E398" s="1" t="s">
        <v>738</v>
      </c>
      <c r="F398" s="1" t="str">
        <f>VLOOKUP(C398,REGISTRE!B:G,2,FALSE)</f>
        <v>Kongo-Central</v>
      </c>
      <c r="G398" s="1">
        <f>VLOOKUP(C398,REGISTRE!B:G,3,FALSE)</f>
        <v>1.981107</v>
      </c>
      <c r="H398" s="1">
        <f>VLOOKUP(C398,REGISTRE!B:G,4,FALSE)</f>
        <v>23.932569000000001</v>
      </c>
      <c r="I398" s="1" t="str">
        <f>VLOOKUP(C398,REGISTRE!B:G,5,FALSE)</f>
        <v>3G</v>
      </c>
      <c r="J398" s="1" t="str">
        <f>VLOOKUP(C398,REGISTRE!B:G,6,FALSE)</f>
        <v>Nokia</v>
      </c>
      <c r="K398" s="1" t="str">
        <f>INT(LOGS_Rx5[[#This Row],[Duree_Panne_Min]]/60) &amp; " h " &amp; MOD(LOGS_Rx5[[#This Row],[Duree_Panne_Min]],60) &amp; " min " &amp; "0 s"</f>
        <v>1 h 57 min 0 s</v>
      </c>
    </row>
    <row r="399" spans="1:11" x14ac:dyDescent="0.35">
      <c r="A399" s="1" t="s">
        <v>864</v>
      </c>
      <c r="B399" s="2">
        <v>45226.623611111107</v>
      </c>
      <c r="C399" s="1" t="s">
        <v>868</v>
      </c>
      <c r="D399">
        <v>98</v>
      </c>
      <c r="E399" s="1" t="s">
        <v>740</v>
      </c>
      <c r="F399" s="1" t="str">
        <f>VLOOKUP(C399,REGISTRE!B:G,2,FALSE)</f>
        <v>Nord-Ubangi</v>
      </c>
      <c r="G399" s="1">
        <f>VLOOKUP(C399,REGISTRE!B:G,3,FALSE)</f>
        <v>-7.9987219999999999</v>
      </c>
      <c r="H399" s="1">
        <f>VLOOKUP(C399,REGISTRE!B:G,4,FALSE)</f>
        <v>12.779335</v>
      </c>
      <c r="I399" s="1" t="str">
        <f>VLOOKUP(C399,REGISTRE!B:G,5,FALSE)</f>
        <v>5G</v>
      </c>
      <c r="J399" s="1" t="str">
        <f>VLOOKUP(C399,REGISTRE!B:G,6,FALSE)</f>
        <v>Nokia</v>
      </c>
      <c r="K399" s="1" t="str">
        <f>INT(LOGS_Rx5[[#This Row],[Duree_Panne_Min]]/60) &amp; " h " &amp; MOD(LOGS_Rx5[[#This Row],[Duree_Panne_Min]],60) &amp; " min " &amp; "0 s"</f>
        <v>1 h 38 min 0 s</v>
      </c>
    </row>
    <row r="400" spans="1:11" x14ac:dyDescent="0.35">
      <c r="A400" s="1" t="s">
        <v>981</v>
      </c>
      <c r="B400" s="2">
        <v>45225.317361111112</v>
      </c>
      <c r="C400" s="1" t="s">
        <v>868</v>
      </c>
      <c r="D400">
        <v>56</v>
      </c>
      <c r="E400" s="1" t="s">
        <v>738</v>
      </c>
      <c r="F400" s="1" t="str">
        <f>VLOOKUP(C400,REGISTRE!B:G,2,FALSE)</f>
        <v>Nord-Ubangi</v>
      </c>
      <c r="G400" s="1">
        <f>VLOOKUP(C400,REGISTRE!B:G,3,FALSE)</f>
        <v>-7.9987219999999999</v>
      </c>
      <c r="H400" s="1">
        <f>VLOOKUP(C400,REGISTRE!B:G,4,FALSE)</f>
        <v>12.779335</v>
      </c>
      <c r="I400" s="1" t="str">
        <f>VLOOKUP(C400,REGISTRE!B:G,5,FALSE)</f>
        <v>5G</v>
      </c>
      <c r="J400" s="1" t="str">
        <f>VLOOKUP(C400,REGISTRE!B:G,6,FALSE)</f>
        <v>Nokia</v>
      </c>
      <c r="K400" s="1" t="str">
        <f>INT(LOGS_Rx5[[#This Row],[Duree_Panne_Min]]/60) &amp; " h " &amp; MOD(LOGS_Rx5[[#This Row],[Duree_Panne_Min]],60) &amp; " min " &amp; "0 s"</f>
        <v>0 h 56 min 0 s</v>
      </c>
    </row>
    <row r="401" spans="1:11" x14ac:dyDescent="0.35">
      <c r="A401" s="1" t="s">
        <v>1351</v>
      </c>
      <c r="B401" s="2">
        <v>45201.172222222223</v>
      </c>
      <c r="C401" s="1" t="s">
        <v>1358</v>
      </c>
      <c r="D401">
        <v>33</v>
      </c>
      <c r="E401" s="1" t="s">
        <v>740</v>
      </c>
      <c r="F401" s="1" t="str">
        <f>VLOOKUP(C401,REGISTRE!B:G,2,FALSE)</f>
        <v>Nord-Ubangi</v>
      </c>
      <c r="G401" s="1">
        <f>VLOOKUP(C401,REGISTRE!B:G,3,FALSE)</f>
        <v>-7.9987219999999999</v>
      </c>
      <c r="H401" s="1">
        <f>VLOOKUP(C401,REGISTRE!B:G,4,FALSE)</f>
        <v>12.779335</v>
      </c>
      <c r="I401" s="1" t="str">
        <f>VLOOKUP(C401,REGISTRE!B:G,5,FALSE)</f>
        <v>5G</v>
      </c>
      <c r="J401" s="1" t="str">
        <f>VLOOKUP(C401,REGISTRE!B:G,6,FALSE)</f>
        <v>Nokia</v>
      </c>
      <c r="K401" s="1" t="str">
        <f>INT(LOGS_Rx5[[#This Row],[Duree_Panne_Min]]/60) &amp; " h " &amp; MOD(LOGS_Rx5[[#This Row],[Duree_Panne_Min]],60) &amp; " min " &amp; "0 s"</f>
        <v>0 h 33 min 0 s</v>
      </c>
    </row>
    <row r="402" spans="1:11" x14ac:dyDescent="0.35">
      <c r="A402" s="1" t="s">
        <v>1294</v>
      </c>
      <c r="B402" s="2">
        <v>45221.861805555563</v>
      </c>
      <c r="C402" s="1" t="s">
        <v>1300</v>
      </c>
      <c r="D402">
        <v>65</v>
      </c>
      <c r="E402" s="1" t="s">
        <v>735</v>
      </c>
      <c r="F402" s="1" t="str">
        <f>VLOOKUP(C402,REGISTRE!B:G,2,FALSE)</f>
        <v>Tanganyika</v>
      </c>
      <c r="G402" s="1">
        <f>VLOOKUP(C402,REGISTRE!B:G,3,FALSE)</f>
        <v>-3.9148719999999999</v>
      </c>
      <c r="H402" s="1">
        <f>VLOOKUP(C402,REGISTRE!B:G,4,FALSE)</f>
        <v>12.260933</v>
      </c>
      <c r="I402" s="1" t="str">
        <f>VLOOKUP(C402,REGISTRE!B:G,5,FALSE)</f>
        <v>4G</v>
      </c>
      <c r="J402" s="1" t="str">
        <f>VLOOKUP(C402,REGISTRE!B:G,6,FALSE)</f>
        <v>Ericsson</v>
      </c>
      <c r="K402" s="1" t="str">
        <f>INT(LOGS_Rx5[[#This Row],[Duree_Panne_Min]]/60) &amp; " h " &amp; MOD(LOGS_Rx5[[#This Row],[Duree_Panne_Min]],60) &amp; " min " &amp; "0 s"</f>
        <v>1 h 5 min 0 s</v>
      </c>
    </row>
    <row r="403" spans="1:11" x14ac:dyDescent="0.35">
      <c r="A403" s="1" t="s">
        <v>826</v>
      </c>
      <c r="B403" s="2">
        <v>45201.3125</v>
      </c>
      <c r="C403" s="1" t="s">
        <v>862</v>
      </c>
      <c r="D403">
        <v>90</v>
      </c>
      <c r="E403" s="1" t="s">
        <v>738</v>
      </c>
      <c r="F403" s="1" t="str">
        <f>VLOOKUP(C403,REGISTRE!B:G,2,FALSE)</f>
        <v>Kasai-Oriental</v>
      </c>
      <c r="G403" s="1">
        <f>VLOOKUP(C403,REGISTRE!B:G,3,FALSE)</f>
        <v>-12.333232000000001</v>
      </c>
      <c r="H403" s="1">
        <f>VLOOKUP(C403,REGISTRE!B:G,4,FALSE)</f>
        <v>25.229620000000001</v>
      </c>
      <c r="I403" s="1" t="str">
        <f>VLOOKUP(C403,REGISTRE!B:G,5,FALSE)</f>
        <v>5G</v>
      </c>
      <c r="J403" s="1" t="str">
        <f>VLOOKUP(C403,REGISTRE!B:G,6,FALSE)</f>
        <v>Nokia</v>
      </c>
      <c r="K403" s="1" t="str">
        <f>INT(LOGS_Rx5[[#This Row],[Duree_Panne_Min]]/60) &amp; " h " &amp; MOD(LOGS_Rx5[[#This Row],[Duree_Panne_Min]],60) &amp; " min " &amp; "0 s"</f>
        <v>1 h 30 min 0 s</v>
      </c>
    </row>
    <row r="404" spans="1:11" x14ac:dyDescent="0.35">
      <c r="A404" s="1" t="s">
        <v>1120</v>
      </c>
      <c r="B404" s="2">
        <v>45215.015972222223</v>
      </c>
      <c r="C404" s="1" t="s">
        <v>1127</v>
      </c>
      <c r="D404">
        <v>74</v>
      </c>
      <c r="E404" s="1" t="s">
        <v>735</v>
      </c>
      <c r="F404" s="1" t="str">
        <f>VLOOKUP(C404,REGISTRE!B:G,2,FALSE)</f>
        <v>Kasai-Central</v>
      </c>
      <c r="G404" s="1">
        <f>VLOOKUP(C404,REGISTRE!B:G,3,FALSE)</f>
        <v>-5.8352820000000003</v>
      </c>
      <c r="H404" s="1">
        <f>VLOOKUP(C404,REGISTRE!B:G,4,FALSE)</f>
        <v>26.603978000000001</v>
      </c>
      <c r="I404" s="1" t="str">
        <f>VLOOKUP(C404,REGISTRE!B:G,5,FALSE)</f>
        <v>4G</v>
      </c>
      <c r="J404" s="1" t="str">
        <f>VLOOKUP(C404,REGISTRE!B:G,6,FALSE)</f>
        <v>Huawei</v>
      </c>
      <c r="K404" s="1" t="str">
        <f>INT(LOGS_Rx5[[#This Row],[Duree_Panne_Min]]/60) &amp; " h " &amp; MOD(LOGS_Rx5[[#This Row],[Duree_Panne_Min]],60) &amp; " min " &amp; "0 s"</f>
        <v>1 h 14 min 0 s</v>
      </c>
    </row>
    <row r="405" spans="1:11" x14ac:dyDescent="0.35">
      <c r="A405" s="1" t="s">
        <v>733</v>
      </c>
      <c r="B405" s="2">
        <v>45213.042361111111</v>
      </c>
      <c r="C405" s="1" t="s">
        <v>742</v>
      </c>
      <c r="D405">
        <v>119</v>
      </c>
      <c r="E405" s="1" t="s">
        <v>738</v>
      </c>
      <c r="F405" s="1" t="str">
        <f>VLOOKUP(C405,REGISTRE!B:G,2,FALSE)</f>
        <v>Kongo-Central</v>
      </c>
      <c r="G405" s="1">
        <f>VLOOKUP(C405,REGISTRE!B:G,3,FALSE)</f>
        <v>-2.8211520000000001</v>
      </c>
      <c r="H405" s="1">
        <f>VLOOKUP(C405,REGISTRE!B:G,4,FALSE)</f>
        <v>20.651419000000001</v>
      </c>
      <c r="I405" s="1" t="str">
        <f>VLOOKUP(C405,REGISTRE!B:G,5,FALSE)</f>
        <v>5G</v>
      </c>
      <c r="J405" s="1" t="str">
        <f>VLOOKUP(C405,REGISTRE!B:G,6,FALSE)</f>
        <v>Ericsson</v>
      </c>
      <c r="K405" s="1" t="str">
        <f>INT(LOGS_Rx5[[#This Row],[Duree_Panne_Min]]/60) &amp; " h " &amp; MOD(LOGS_Rx5[[#This Row],[Duree_Panne_Min]],60) &amp; " min " &amp; "0 s"</f>
        <v>1 h 59 min 0 s</v>
      </c>
    </row>
    <row r="406" spans="1:11" x14ac:dyDescent="0.35">
      <c r="A406" s="1" t="s">
        <v>826</v>
      </c>
      <c r="B406" s="2">
        <v>45213.022916666669</v>
      </c>
      <c r="C406" s="1" t="s">
        <v>742</v>
      </c>
      <c r="D406">
        <v>56</v>
      </c>
      <c r="E406" s="1" t="s">
        <v>740</v>
      </c>
      <c r="F406" s="1" t="str">
        <f>VLOOKUP(C406,REGISTRE!B:G,2,FALSE)</f>
        <v>Kongo-Central</v>
      </c>
      <c r="G406" s="1">
        <f>VLOOKUP(C406,REGISTRE!B:G,3,FALSE)</f>
        <v>-2.8211520000000001</v>
      </c>
      <c r="H406" s="1">
        <f>VLOOKUP(C406,REGISTRE!B:G,4,FALSE)</f>
        <v>20.651419000000001</v>
      </c>
      <c r="I406" s="1" t="str">
        <f>VLOOKUP(C406,REGISTRE!B:G,5,FALSE)</f>
        <v>5G</v>
      </c>
      <c r="J406" s="1" t="str">
        <f>VLOOKUP(C406,REGISTRE!B:G,6,FALSE)</f>
        <v>Ericsson</v>
      </c>
      <c r="K406" s="1" t="str">
        <f>INT(LOGS_Rx5[[#This Row],[Duree_Panne_Min]]/60) &amp; " h " &amp; MOD(LOGS_Rx5[[#This Row],[Duree_Panne_Min]],60) &amp; " min " &amp; "0 s"</f>
        <v>0 h 56 min 0 s</v>
      </c>
    </row>
    <row r="407" spans="1:11" x14ac:dyDescent="0.35">
      <c r="A407" s="1" t="s">
        <v>1144</v>
      </c>
      <c r="B407" s="2">
        <v>45219.476388888892</v>
      </c>
      <c r="C407" s="1" t="s">
        <v>742</v>
      </c>
      <c r="D407">
        <v>57</v>
      </c>
      <c r="E407" s="1" t="s">
        <v>735</v>
      </c>
      <c r="F407" s="1" t="str">
        <f>VLOOKUP(C407,REGISTRE!B:G,2,FALSE)</f>
        <v>Kongo-Central</v>
      </c>
      <c r="G407" s="1">
        <f>VLOOKUP(C407,REGISTRE!B:G,3,FALSE)</f>
        <v>-2.8211520000000001</v>
      </c>
      <c r="H407" s="1">
        <f>VLOOKUP(C407,REGISTRE!B:G,4,FALSE)</f>
        <v>20.651419000000001</v>
      </c>
      <c r="I407" s="1" t="str">
        <f>VLOOKUP(C407,REGISTRE!B:G,5,FALSE)</f>
        <v>5G</v>
      </c>
      <c r="J407" s="1" t="str">
        <f>VLOOKUP(C407,REGISTRE!B:G,6,FALSE)</f>
        <v>Ericsson</v>
      </c>
      <c r="K407" s="1" t="str">
        <f>INT(LOGS_Rx5[[#This Row],[Duree_Panne_Min]]/60) &amp; " h " &amp; MOD(LOGS_Rx5[[#This Row],[Duree_Panne_Min]],60) &amp; " min " &amp; "0 s"</f>
        <v>0 h 57 min 0 s</v>
      </c>
    </row>
    <row r="408" spans="1:11" x14ac:dyDescent="0.35">
      <c r="A408" s="1" t="s">
        <v>1225</v>
      </c>
      <c r="B408" s="2">
        <v>45200.925694444442</v>
      </c>
      <c r="C408" s="1" t="s">
        <v>742</v>
      </c>
      <c r="D408">
        <v>76</v>
      </c>
      <c r="E408" s="1" t="s">
        <v>740</v>
      </c>
      <c r="F408" s="1" t="str">
        <f>VLOOKUP(C408,REGISTRE!B:G,2,FALSE)</f>
        <v>Kongo-Central</v>
      </c>
      <c r="G408" s="1">
        <f>VLOOKUP(C408,REGISTRE!B:G,3,FALSE)</f>
        <v>-2.8211520000000001</v>
      </c>
      <c r="H408" s="1">
        <f>VLOOKUP(C408,REGISTRE!B:G,4,FALSE)</f>
        <v>20.651419000000001</v>
      </c>
      <c r="I408" s="1" t="str">
        <f>VLOOKUP(C408,REGISTRE!B:G,5,FALSE)</f>
        <v>5G</v>
      </c>
      <c r="J408" s="1" t="str">
        <f>VLOOKUP(C408,REGISTRE!B:G,6,FALSE)</f>
        <v>Ericsson</v>
      </c>
      <c r="K408" s="1" t="str">
        <f>INT(LOGS_Rx5[[#This Row],[Duree_Panne_Min]]/60) &amp; " h " &amp; MOD(LOGS_Rx5[[#This Row],[Duree_Panne_Min]],60) &amp; " min " &amp; "0 s"</f>
        <v>1 h 16 min 0 s</v>
      </c>
    </row>
    <row r="409" spans="1:11" x14ac:dyDescent="0.35">
      <c r="A409" s="1" t="s">
        <v>1351</v>
      </c>
      <c r="B409" s="2">
        <v>45218.381944444453</v>
      </c>
      <c r="C409" s="1" t="s">
        <v>742</v>
      </c>
      <c r="D409">
        <v>81</v>
      </c>
      <c r="E409" s="1" t="s">
        <v>738</v>
      </c>
      <c r="F409" s="1" t="str">
        <f>VLOOKUP(C409,REGISTRE!B:G,2,FALSE)</f>
        <v>Kongo-Central</v>
      </c>
      <c r="G409" s="1">
        <f>VLOOKUP(C409,REGISTRE!B:G,3,FALSE)</f>
        <v>-2.8211520000000001</v>
      </c>
      <c r="H409" s="1">
        <f>VLOOKUP(C409,REGISTRE!B:G,4,FALSE)</f>
        <v>20.651419000000001</v>
      </c>
      <c r="I409" s="1" t="str">
        <f>VLOOKUP(C409,REGISTRE!B:G,5,FALSE)</f>
        <v>5G</v>
      </c>
      <c r="J409" s="1" t="str">
        <f>VLOOKUP(C409,REGISTRE!B:G,6,FALSE)</f>
        <v>Ericsson</v>
      </c>
      <c r="K409" s="1" t="str">
        <f>INT(LOGS_Rx5[[#This Row],[Duree_Panne_Min]]/60) &amp; " h " &amp; MOD(LOGS_Rx5[[#This Row],[Duree_Panne_Min]],60) &amp; " min " &amp; "0 s"</f>
        <v>1 h 21 min 0 s</v>
      </c>
    </row>
    <row r="410" spans="1:11" x14ac:dyDescent="0.35">
      <c r="A410" s="1" t="s">
        <v>864</v>
      </c>
      <c r="B410" s="2">
        <v>45224.552777777782</v>
      </c>
      <c r="C410" s="1" t="s">
        <v>877</v>
      </c>
      <c r="D410">
        <v>60</v>
      </c>
      <c r="E410" s="1" t="s">
        <v>738</v>
      </c>
      <c r="F410" s="1" t="str">
        <f>VLOOKUP(C410,REGISTRE!B:G,2,FALSE)</f>
        <v>Tanganyika</v>
      </c>
      <c r="G410" s="1">
        <f>VLOOKUP(C410,REGISTRE!B:G,3,FALSE)</f>
        <v>-10.439686999999999</v>
      </c>
      <c r="H410" s="1">
        <f>VLOOKUP(C410,REGISTRE!B:G,4,FALSE)</f>
        <v>20.714210000000001</v>
      </c>
      <c r="I410" s="1" t="str">
        <f>VLOOKUP(C410,REGISTRE!B:G,5,FALSE)</f>
        <v>4G</v>
      </c>
      <c r="J410" s="1" t="str">
        <f>VLOOKUP(C410,REGISTRE!B:G,6,FALSE)</f>
        <v>ZTE</v>
      </c>
      <c r="K410" s="1" t="str">
        <f>INT(LOGS_Rx5[[#This Row],[Duree_Panne_Min]]/60) &amp; " h " &amp; MOD(LOGS_Rx5[[#This Row],[Duree_Panne_Min]],60) &amp; " min " &amp; "0 s"</f>
        <v>1 h 0 min 0 s</v>
      </c>
    </row>
    <row r="411" spans="1:11" x14ac:dyDescent="0.35">
      <c r="A411" s="1" t="s">
        <v>1063</v>
      </c>
      <c r="B411" s="2">
        <v>45228.651388888888</v>
      </c>
      <c r="C411" s="1" t="s">
        <v>1067</v>
      </c>
      <c r="D411">
        <v>119</v>
      </c>
      <c r="E411" s="1" t="s">
        <v>735</v>
      </c>
      <c r="F411" s="1" t="str">
        <f>VLOOKUP(C411,REGISTRE!B:G,2,FALSE)</f>
        <v>Sud-Kivu</v>
      </c>
      <c r="G411" s="1">
        <f>VLOOKUP(C411,REGISTRE!B:G,3,FALSE)</f>
        <v>2.453036</v>
      </c>
      <c r="H411" s="1">
        <f>VLOOKUP(C411,REGISTRE!B:G,4,FALSE)</f>
        <v>20.555484</v>
      </c>
      <c r="I411" s="1" t="str">
        <f>VLOOKUP(C411,REGISTRE!B:G,5,FALSE)</f>
        <v>5G</v>
      </c>
      <c r="J411" s="1" t="str">
        <f>VLOOKUP(C411,REGISTRE!B:G,6,FALSE)</f>
        <v>Ericsson</v>
      </c>
      <c r="K411" s="1" t="str">
        <f>INT(LOGS_Rx5[[#This Row],[Duree_Panne_Min]]/60) &amp; " h " &amp; MOD(LOGS_Rx5[[#This Row],[Duree_Panne_Min]],60) &amp; " min " &amp; "0 s"</f>
        <v>1 h 59 min 0 s</v>
      </c>
    </row>
    <row r="412" spans="1:11" x14ac:dyDescent="0.35">
      <c r="A412" s="1" t="s">
        <v>1199</v>
      </c>
      <c r="B412" s="2">
        <v>45211.128472222219</v>
      </c>
      <c r="C412" s="1" t="s">
        <v>1212</v>
      </c>
      <c r="D412">
        <v>110</v>
      </c>
      <c r="E412" s="1" t="s">
        <v>738</v>
      </c>
      <c r="F412" s="1" t="str">
        <f>VLOOKUP(C412,REGISTRE!B:G,2,FALSE)</f>
        <v>Sud-Kivu</v>
      </c>
      <c r="G412" s="1">
        <f>VLOOKUP(C412,REGISTRE!B:G,3,FALSE)</f>
        <v>2.453036</v>
      </c>
      <c r="H412" s="1">
        <f>VLOOKUP(C412,REGISTRE!B:G,4,FALSE)</f>
        <v>20.555484</v>
      </c>
      <c r="I412" s="1" t="str">
        <f>VLOOKUP(C412,REGISTRE!B:G,5,FALSE)</f>
        <v>5G</v>
      </c>
      <c r="J412" s="1" t="str">
        <f>VLOOKUP(C412,REGISTRE!B:G,6,FALSE)</f>
        <v>Ericsson</v>
      </c>
      <c r="K412" s="1" t="str">
        <f>INT(LOGS_Rx5[[#This Row],[Duree_Panne_Min]]/60) &amp; " h " &amp; MOD(LOGS_Rx5[[#This Row],[Duree_Panne_Min]],60) &amp; " min " &amp; "0 s"</f>
        <v>1 h 50 min 0 s</v>
      </c>
    </row>
    <row r="413" spans="1:11" x14ac:dyDescent="0.35">
      <c r="A413" s="1" t="s">
        <v>1144</v>
      </c>
      <c r="B413" s="2">
        <v>45207.070833333331</v>
      </c>
      <c r="C413" s="1" t="s">
        <v>1151</v>
      </c>
      <c r="D413">
        <v>94</v>
      </c>
      <c r="E413" s="1" t="s">
        <v>738</v>
      </c>
      <c r="F413" s="1" t="str">
        <f>VLOOKUP(C413,REGISTRE!B:G,2,FALSE)</f>
        <v>Equateur</v>
      </c>
      <c r="G413" s="1">
        <f>VLOOKUP(C413,REGISTRE!B:G,3,FALSE)</f>
        <v>-1.1284540000000001</v>
      </c>
      <c r="H413" s="1">
        <f>VLOOKUP(C413,REGISTRE!B:G,4,FALSE)</f>
        <v>23.000360000000001</v>
      </c>
      <c r="I413" s="1" t="str">
        <f>VLOOKUP(C413,REGISTRE!B:G,5,FALSE)</f>
        <v>5G</v>
      </c>
      <c r="J413" s="1" t="str">
        <f>VLOOKUP(C413,REGISTRE!B:G,6,FALSE)</f>
        <v>Ericsson</v>
      </c>
      <c r="K413" s="1" t="str">
        <f>INT(LOGS_Rx5[[#This Row],[Duree_Panne_Min]]/60) &amp; " h " &amp; MOD(LOGS_Rx5[[#This Row],[Duree_Panne_Min]],60) &amp; " min " &amp; "0 s"</f>
        <v>1 h 34 min 0 s</v>
      </c>
    </row>
    <row r="414" spans="1:11" x14ac:dyDescent="0.35">
      <c r="A414" s="1" t="s">
        <v>942</v>
      </c>
      <c r="B414" s="2">
        <v>45221.724999999999</v>
      </c>
      <c r="C414" s="1" t="s">
        <v>958</v>
      </c>
      <c r="D414">
        <v>55</v>
      </c>
      <c r="E414" s="1" t="s">
        <v>738</v>
      </c>
      <c r="F414" s="1" t="str">
        <f>VLOOKUP(C414,REGISTRE!B:G,2,FALSE)</f>
        <v>Kasai-Oriental</v>
      </c>
      <c r="G414" s="1">
        <f>VLOOKUP(C414,REGISTRE!B:G,3,FALSE)</f>
        <v>-1.3976519999999999</v>
      </c>
      <c r="H414" s="1">
        <f>VLOOKUP(C414,REGISTRE!B:G,4,FALSE)</f>
        <v>14.098819000000001</v>
      </c>
      <c r="I414" s="1" t="str">
        <f>VLOOKUP(C414,REGISTRE!B:G,5,FALSE)</f>
        <v>3G</v>
      </c>
      <c r="J414" s="1" t="str">
        <f>VLOOKUP(C414,REGISTRE!B:G,6,FALSE)</f>
        <v>Ericsson</v>
      </c>
      <c r="K414" s="1" t="str">
        <f>INT(LOGS_Rx5[[#This Row],[Duree_Panne_Min]]/60) &amp; " h " &amp; MOD(LOGS_Rx5[[#This Row],[Duree_Panne_Min]],60) &amp; " min " &amp; "0 s"</f>
        <v>0 h 55 min 0 s</v>
      </c>
    </row>
    <row r="415" spans="1:11" x14ac:dyDescent="0.35">
      <c r="A415" s="1" t="s">
        <v>1389</v>
      </c>
      <c r="B415" s="2">
        <v>45203.603472222218</v>
      </c>
      <c r="C415" s="1" t="s">
        <v>1390</v>
      </c>
      <c r="D415">
        <v>106</v>
      </c>
      <c r="E415" s="1" t="s">
        <v>738</v>
      </c>
      <c r="F415" s="1" t="str">
        <f>VLOOKUP(C415,REGISTRE!B:G,2,FALSE)</f>
        <v>Haut-Katanga</v>
      </c>
      <c r="G415" s="1">
        <f>VLOOKUP(C415,REGISTRE!B:G,3,FALSE)</f>
        <v>-5.1507670000000001</v>
      </c>
      <c r="H415" s="1">
        <f>VLOOKUP(C415,REGISTRE!B:G,4,FALSE)</f>
        <v>28.075324999999999</v>
      </c>
      <c r="I415" s="1" t="str">
        <f>VLOOKUP(C415,REGISTRE!B:G,5,FALSE)</f>
        <v>5G</v>
      </c>
      <c r="J415" s="1" t="str">
        <f>VLOOKUP(C415,REGISTRE!B:G,6,FALSE)</f>
        <v>Huawei</v>
      </c>
      <c r="K415" s="1" t="str">
        <f>INT(LOGS_Rx5[[#This Row],[Duree_Panne_Min]]/60) &amp; " h " &amp; MOD(LOGS_Rx5[[#This Row],[Duree_Panne_Min]],60) &amp; " min " &amp; "0 s"</f>
        <v>1 h 46 min 0 s</v>
      </c>
    </row>
    <row r="416" spans="1:11" x14ac:dyDescent="0.35">
      <c r="A416" s="1" t="s">
        <v>1225</v>
      </c>
      <c r="B416" s="2">
        <v>45221.647916666669</v>
      </c>
      <c r="C416" s="1" t="s">
        <v>1242</v>
      </c>
      <c r="D416">
        <v>67</v>
      </c>
      <c r="E416" s="1" t="s">
        <v>735</v>
      </c>
      <c r="F416" s="1" t="str">
        <f>VLOOKUP(C416,REGISTRE!B:G,2,FALSE)</f>
        <v>Haut-Uele</v>
      </c>
      <c r="G416" s="1">
        <f>VLOOKUP(C416,REGISTRE!B:G,3,FALSE)</f>
        <v>-11.924048000000001</v>
      </c>
      <c r="H416" s="1">
        <f>VLOOKUP(C416,REGISTRE!B:G,4,FALSE)</f>
        <v>24.177174999999998</v>
      </c>
      <c r="I416" s="1" t="str">
        <f>VLOOKUP(C416,REGISTRE!B:G,5,FALSE)</f>
        <v>3G</v>
      </c>
      <c r="J416" s="1" t="str">
        <f>VLOOKUP(C416,REGISTRE!B:G,6,FALSE)</f>
        <v>Nokia</v>
      </c>
      <c r="K416" s="1" t="str">
        <f>INT(LOGS_Rx5[[#This Row],[Duree_Panne_Min]]/60) &amp; " h " &amp; MOD(LOGS_Rx5[[#This Row],[Duree_Panne_Min]],60) &amp; " min " &amp; "0 s"</f>
        <v>1 h 7 min 0 s</v>
      </c>
    </row>
    <row r="417" spans="1:11" x14ac:dyDescent="0.35">
      <c r="A417" s="1" t="s">
        <v>782</v>
      </c>
      <c r="B417" s="2">
        <v>45213.948611111111</v>
      </c>
      <c r="C417" s="1" t="s">
        <v>802</v>
      </c>
      <c r="D417">
        <v>72</v>
      </c>
      <c r="E417" s="1" t="s">
        <v>738</v>
      </c>
      <c r="F417" s="1" t="str">
        <f>VLOOKUP(C417,REGISTRE!B:G,2,FALSE)</f>
        <v>Sankuru</v>
      </c>
      <c r="G417" s="1">
        <f>VLOOKUP(C417,REGISTRE!B:G,3,FALSE)</f>
        <v>-2.7140689999999998</v>
      </c>
      <c r="H417" s="1">
        <f>VLOOKUP(C417,REGISTRE!B:G,4,FALSE)</f>
        <v>22.222104000000002</v>
      </c>
      <c r="I417" s="1" t="str">
        <f>VLOOKUP(C417,REGISTRE!B:G,5,FALSE)</f>
        <v>4G</v>
      </c>
      <c r="J417" s="1" t="str">
        <f>VLOOKUP(C417,REGISTRE!B:G,6,FALSE)</f>
        <v>Nokia</v>
      </c>
      <c r="K417" s="1" t="str">
        <f>INT(LOGS_Rx5[[#This Row],[Duree_Panne_Min]]/60) &amp; " h " &amp; MOD(LOGS_Rx5[[#This Row],[Duree_Panne_Min]],60) &amp; " min " &amp; "0 s"</f>
        <v>1 h 12 min 0 s</v>
      </c>
    </row>
    <row r="418" spans="1:11" x14ac:dyDescent="0.35">
      <c r="A418" s="1" t="s">
        <v>1063</v>
      </c>
      <c r="B418" s="2">
        <v>45210.168055555558</v>
      </c>
      <c r="C418" s="1" t="s">
        <v>1079</v>
      </c>
      <c r="D418">
        <v>110</v>
      </c>
      <c r="E418" s="1" t="s">
        <v>735</v>
      </c>
      <c r="F418" s="1" t="str">
        <f>VLOOKUP(C418,REGISTRE!B:G,2,FALSE)</f>
        <v>Tanganyika</v>
      </c>
      <c r="G418" s="1">
        <f>VLOOKUP(C418,REGISTRE!B:G,3,FALSE)</f>
        <v>-9.9565739999999998</v>
      </c>
      <c r="H418" s="1">
        <f>VLOOKUP(C418,REGISTRE!B:G,4,FALSE)</f>
        <v>21.017202000000001</v>
      </c>
      <c r="I418" s="1" t="str">
        <f>VLOOKUP(C418,REGISTRE!B:G,5,FALSE)</f>
        <v>4G</v>
      </c>
      <c r="J418" s="1" t="str">
        <f>VLOOKUP(C418,REGISTRE!B:G,6,FALSE)</f>
        <v>Huawei</v>
      </c>
      <c r="K418" s="1" t="str">
        <f>INT(LOGS_Rx5[[#This Row],[Duree_Panne_Min]]/60) &amp; " h " &amp; MOD(LOGS_Rx5[[#This Row],[Duree_Panne_Min]],60) &amp; " min " &amp; "0 s"</f>
        <v>1 h 50 min 0 s</v>
      </c>
    </row>
    <row r="419" spans="1:11" x14ac:dyDescent="0.35">
      <c r="A419" s="1" t="s">
        <v>826</v>
      </c>
      <c r="B419" s="2">
        <v>45209.524305555547</v>
      </c>
      <c r="C419" s="1" t="s">
        <v>850</v>
      </c>
      <c r="D419">
        <v>27</v>
      </c>
      <c r="E419" s="1" t="s">
        <v>740</v>
      </c>
      <c r="F419" s="1" t="str">
        <f>VLOOKUP(C419,REGISTRE!B:G,2,FALSE)</f>
        <v>Kwilu</v>
      </c>
      <c r="G419" s="1">
        <f>VLOOKUP(C419,REGISTRE!B:G,3,FALSE)</f>
        <v>2.4741019999999998</v>
      </c>
      <c r="H419" s="1">
        <f>VLOOKUP(C419,REGISTRE!B:G,4,FALSE)</f>
        <v>29.297391000000001</v>
      </c>
      <c r="I419" s="1" t="str">
        <f>VLOOKUP(C419,REGISTRE!B:G,5,FALSE)</f>
        <v>4G</v>
      </c>
      <c r="J419" s="1" t="str">
        <f>VLOOKUP(C419,REGISTRE!B:G,6,FALSE)</f>
        <v>Ericsson</v>
      </c>
      <c r="K419" s="1" t="str">
        <f>INT(LOGS_Rx5[[#This Row],[Duree_Panne_Min]]/60) &amp; " h " &amp; MOD(LOGS_Rx5[[#This Row],[Duree_Panne_Min]],60) &amp; " min " &amp; "0 s"</f>
        <v>0 h 27 min 0 s</v>
      </c>
    </row>
    <row r="420" spans="1:11" x14ac:dyDescent="0.35">
      <c r="A420" s="1" t="s">
        <v>1225</v>
      </c>
      <c r="B420" s="2">
        <v>45212.754861111112</v>
      </c>
      <c r="C420" s="1" t="s">
        <v>850</v>
      </c>
      <c r="D420">
        <v>112</v>
      </c>
      <c r="E420" s="1" t="s">
        <v>740</v>
      </c>
      <c r="F420" s="1" t="str">
        <f>VLOOKUP(C420,REGISTRE!B:G,2,FALSE)</f>
        <v>Kwilu</v>
      </c>
      <c r="G420" s="1">
        <f>VLOOKUP(C420,REGISTRE!B:G,3,FALSE)</f>
        <v>2.4741019999999998</v>
      </c>
      <c r="H420" s="1">
        <f>VLOOKUP(C420,REGISTRE!B:G,4,FALSE)</f>
        <v>29.297391000000001</v>
      </c>
      <c r="I420" s="1" t="str">
        <f>VLOOKUP(C420,REGISTRE!B:G,5,FALSE)</f>
        <v>4G</v>
      </c>
      <c r="J420" s="1" t="str">
        <f>VLOOKUP(C420,REGISTRE!B:G,6,FALSE)</f>
        <v>Ericsson</v>
      </c>
      <c r="K420" s="1" t="str">
        <f>INT(LOGS_Rx5[[#This Row],[Duree_Panne_Min]]/60) &amp; " h " &amp; MOD(LOGS_Rx5[[#This Row],[Duree_Panne_Min]],60) &amp; " min " &amp; "0 s"</f>
        <v>1 h 52 min 0 s</v>
      </c>
    </row>
    <row r="421" spans="1:11" x14ac:dyDescent="0.35">
      <c r="A421" s="1" t="s">
        <v>1414</v>
      </c>
      <c r="B421" s="2">
        <v>45221.167361111111</v>
      </c>
      <c r="C421" s="1" t="s">
        <v>850</v>
      </c>
      <c r="D421">
        <v>78</v>
      </c>
      <c r="E421" s="1" t="s">
        <v>738</v>
      </c>
      <c r="F421" s="1" t="str">
        <f>VLOOKUP(C421,REGISTRE!B:G,2,FALSE)</f>
        <v>Kwilu</v>
      </c>
      <c r="G421" s="1">
        <f>VLOOKUP(C421,REGISTRE!B:G,3,FALSE)</f>
        <v>2.4741019999999998</v>
      </c>
      <c r="H421" s="1">
        <f>VLOOKUP(C421,REGISTRE!B:G,4,FALSE)</f>
        <v>29.297391000000001</v>
      </c>
      <c r="I421" s="1" t="str">
        <f>VLOOKUP(C421,REGISTRE!B:G,5,FALSE)</f>
        <v>4G</v>
      </c>
      <c r="J421" s="1" t="str">
        <f>VLOOKUP(C421,REGISTRE!B:G,6,FALSE)</f>
        <v>Ericsson</v>
      </c>
      <c r="K421" s="1" t="str">
        <f>INT(LOGS_Rx5[[#This Row],[Duree_Panne_Min]]/60) &amp; " h " &amp; MOD(LOGS_Rx5[[#This Row],[Duree_Panne_Min]],60) &amp; " min " &amp; "0 s"</f>
        <v>1 h 18 min 0 s</v>
      </c>
    </row>
    <row r="422" spans="1:11" x14ac:dyDescent="0.35">
      <c r="A422" s="1" t="s">
        <v>905</v>
      </c>
      <c r="B422" s="2">
        <v>45205.018055555563</v>
      </c>
      <c r="C422" s="1" t="s">
        <v>925</v>
      </c>
      <c r="D422">
        <v>67</v>
      </c>
      <c r="E422" s="1" t="s">
        <v>740</v>
      </c>
      <c r="F422" s="1" t="str">
        <f>VLOOKUP(C422,REGISTRE!B:G,2,FALSE)</f>
        <v>Bas-Uele</v>
      </c>
      <c r="G422" s="1">
        <f>VLOOKUP(C422,REGISTRE!B:G,3,FALSE)</f>
        <v>1.5278670000000001</v>
      </c>
      <c r="H422" s="1">
        <f>VLOOKUP(C422,REGISTRE!B:G,4,FALSE)</f>
        <v>13.899388999999999</v>
      </c>
      <c r="I422" s="1" t="str">
        <f>VLOOKUP(C422,REGISTRE!B:G,5,FALSE)</f>
        <v>3G</v>
      </c>
      <c r="J422" s="1" t="str">
        <f>VLOOKUP(C422,REGISTRE!B:G,6,FALSE)</f>
        <v>Huawei</v>
      </c>
      <c r="K422" s="1" t="str">
        <f>INT(LOGS_Rx5[[#This Row],[Duree_Panne_Min]]/60) &amp; " h " &amp; MOD(LOGS_Rx5[[#This Row],[Duree_Panne_Min]],60) &amp; " min " &amp; "0 s"</f>
        <v>1 h 7 min 0 s</v>
      </c>
    </row>
    <row r="423" spans="1:11" x14ac:dyDescent="0.35">
      <c r="A423" s="1" t="s">
        <v>1120</v>
      </c>
      <c r="B423" s="2">
        <v>45201.922222222223</v>
      </c>
      <c r="C423" s="1" t="s">
        <v>925</v>
      </c>
      <c r="D423">
        <v>32</v>
      </c>
      <c r="E423" s="1" t="s">
        <v>735</v>
      </c>
      <c r="F423" s="1" t="str">
        <f>VLOOKUP(C423,REGISTRE!B:G,2,FALSE)</f>
        <v>Bas-Uele</v>
      </c>
      <c r="G423" s="1">
        <f>VLOOKUP(C423,REGISTRE!B:G,3,FALSE)</f>
        <v>1.5278670000000001</v>
      </c>
      <c r="H423" s="1">
        <f>VLOOKUP(C423,REGISTRE!B:G,4,FALSE)</f>
        <v>13.899388999999999</v>
      </c>
      <c r="I423" s="1" t="str">
        <f>VLOOKUP(C423,REGISTRE!B:G,5,FALSE)</f>
        <v>3G</v>
      </c>
      <c r="J423" s="1" t="str">
        <f>VLOOKUP(C423,REGISTRE!B:G,6,FALSE)</f>
        <v>Huawei</v>
      </c>
      <c r="K423" s="1" t="str">
        <f>INT(LOGS_Rx5[[#This Row],[Duree_Panne_Min]]/60) &amp; " h " &amp; MOD(LOGS_Rx5[[#This Row],[Duree_Panne_Min]],60) &amp; " min " &amp; "0 s"</f>
        <v>0 h 32 min 0 s</v>
      </c>
    </row>
    <row r="424" spans="1:11" x14ac:dyDescent="0.35">
      <c r="A424" s="1" t="s">
        <v>1144</v>
      </c>
      <c r="B424" s="2">
        <v>45209.921527777777</v>
      </c>
      <c r="C424" s="1" t="s">
        <v>925</v>
      </c>
      <c r="D424">
        <v>119</v>
      </c>
      <c r="E424" s="1" t="s">
        <v>735</v>
      </c>
      <c r="F424" s="1" t="str">
        <f>VLOOKUP(C424,REGISTRE!B:G,2,FALSE)</f>
        <v>Bas-Uele</v>
      </c>
      <c r="G424" s="1">
        <f>VLOOKUP(C424,REGISTRE!B:G,3,FALSE)</f>
        <v>1.5278670000000001</v>
      </c>
      <c r="H424" s="1">
        <f>VLOOKUP(C424,REGISTRE!B:G,4,FALSE)</f>
        <v>13.899388999999999</v>
      </c>
      <c r="I424" s="1" t="str">
        <f>VLOOKUP(C424,REGISTRE!B:G,5,FALSE)</f>
        <v>3G</v>
      </c>
      <c r="J424" s="1" t="str">
        <f>VLOOKUP(C424,REGISTRE!B:G,6,FALSE)</f>
        <v>Huawei</v>
      </c>
      <c r="K424" s="1" t="str">
        <f>INT(LOGS_Rx5[[#This Row],[Duree_Panne_Min]]/60) &amp; " h " &amp; MOD(LOGS_Rx5[[#This Row],[Duree_Panne_Min]],60) &amp; " min " &amp; "0 s"</f>
        <v>1 h 59 min 0 s</v>
      </c>
    </row>
    <row r="425" spans="1:11" x14ac:dyDescent="0.35">
      <c r="A425" s="1" t="s">
        <v>1225</v>
      </c>
      <c r="B425" s="2">
        <v>45200.98541666667</v>
      </c>
      <c r="C425" s="1" t="s">
        <v>925</v>
      </c>
      <c r="D425">
        <v>29</v>
      </c>
      <c r="E425" s="1" t="s">
        <v>740</v>
      </c>
      <c r="F425" s="1" t="str">
        <f>VLOOKUP(C425,REGISTRE!B:G,2,FALSE)</f>
        <v>Bas-Uele</v>
      </c>
      <c r="G425" s="1">
        <f>VLOOKUP(C425,REGISTRE!B:G,3,FALSE)</f>
        <v>1.5278670000000001</v>
      </c>
      <c r="H425" s="1">
        <f>VLOOKUP(C425,REGISTRE!B:G,4,FALSE)</f>
        <v>13.899388999999999</v>
      </c>
      <c r="I425" s="1" t="str">
        <f>VLOOKUP(C425,REGISTRE!B:G,5,FALSE)</f>
        <v>3G</v>
      </c>
      <c r="J425" s="1" t="str">
        <f>VLOOKUP(C425,REGISTRE!B:G,6,FALSE)</f>
        <v>Huawei</v>
      </c>
      <c r="K425" s="1" t="str">
        <f>INT(LOGS_Rx5[[#This Row],[Duree_Panne_Min]]/60) &amp; " h " &amp; MOD(LOGS_Rx5[[#This Row],[Duree_Panne_Min]],60) &amp; " min " &amp; "0 s"</f>
        <v>0 h 29 min 0 s</v>
      </c>
    </row>
    <row r="426" spans="1:11" x14ac:dyDescent="0.35">
      <c r="A426" s="1" t="s">
        <v>1314</v>
      </c>
      <c r="B426" s="2">
        <v>45223.436111111107</v>
      </c>
      <c r="C426" s="1" t="s">
        <v>925</v>
      </c>
      <c r="D426">
        <v>26</v>
      </c>
      <c r="E426" s="1" t="s">
        <v>735</v>
      </c>
      <c r="F426" s="1" t="str">
        <f>VLOOKUP(C426,REGISTRE!B:G,2,FALSE)</f>
        <v>Bas-Uele</v>
      </c>
      <c r="G426" s="1">
        <f>VLOOKUP(C426,REGISTRE!B:G,3,FALSE)</f>
        <v>1.5278670000000001</v>
      </c>
      <c r="H426" s="1">
        <f>VLOOKUP(C426,REGISTRE!B:G,4,FALSE)</f>
        <v>13.899388999999999</v>
      </c>
      <c r="I426" s="1" t="str">
        <f>VLOOKUP(C426,REGISTRE!B:G,5,FALSE)</f>
        <v>3G</v>
      </c>
      <c r="J426" s="1" t="str">
        <f>VLOOKUP(C426,REGISTRE!B:G,6,FALSE)</f>
        <v>Huawei</v>
      </c>
      <c r="K426" s="1" t="str">
        <f>INT(LOGS_Rx5[[#This Row],[Duree_Panne_Min]]/60) &amp; " h " &amp; MOD(LOGS_Rx5[[#This Row],[Duree_Panne_Min]],60) &amp; " min " &amp; "0 s"</f>
        <v>0 h 26 min 0 s</v>
      </c>
    </row>
    <row r="427" spans="1:11" x14ac:dyDescent="0.35">
      <c r="A427" s="1" t="s">
        <v>942</v>
      </c>
      <c r="B427" s="2">
        <v>45210.280555555553</v>
      </c>
      <c r="C427" s="1" t="s">
        <v>944</v>
      </c>
      <c r="D427">
        <v>43</v>
      </c>
      <c r="E427" s="1" t="s">
        <v>738</v>
      </c>
      <c r="F427" s="1" t="str">
        <f>VLOOKUP(C427,REGISTRE!B:G,2,FALSE)</f>
        <v>Sud-Ubangi</v>
      </c>
      <c r="G427" s="1">
        <f>VLOOKUP(C427,REGISTRE!B:G,3,FALSE)</f>
        <v>-12.342053999999999</v>
      </c>
      <c r="H427" s="1">
        <f>VLOOKUP(C427,REGISTRE!B:G,4,FALSE)</f>
        <v>18.756862000000002</v>
      </c>
      <c r="I427" s="1" t="str">
        <f>VLOOKUP(C427,REGISTRE!B:G,5,FALSE)</f>
        <v>3G</v>
      </c>
      <c r="J427" s="1" t="str">
        <f>VLOOKUP(C427,REGISTRE!B:G,6,FALSE)</f>
        <v>Ericsson</v>
      </c>
      <c r="K427" s="1" t="str">
        <f>INT(LOGS_Rx5[[#This Row],[Duree_Panne_Min]]/60) &amp; " h " &amp; MOD(LOGS_Rx5[[#This Row],[Duree_Panne_Min]],60) &amp; " min " &amp; "0 s"</f>
        <v>0 h 43 min 0 s</v>
      </c>
    </row>
    <row r="428" spans="1:11" x14ac:dyDescent="0.35">
      <c r="A428" s="1" t="s">
        <v>1368</v>
      </c>
      <c r="B428" s="2">
        <v>45211.904861111107</v>
      </c>
      <c r="C428" s="1" t="s">
        <v>944</v>
      </c>
      <c r="D428">
        <v>45</v>
      </c>
      <c r="E428" s="1" t="s">
        <v>740</v>
      </c>
      <c r="F428" s="1" t="str">
        <f>VLOOKUP(C428,REGISTRE!B:G,2,FALSE)</f>
        <v>Sud-Ubangi</v>
      </c>
      <c r="G428" s="1">
        <f>VLOOKUP(C428,REGISTRE!B:G,3,FALSE)</f>
        <v>-12.342053999999999</v>
      </c>
      <c r="H428" s="1">
        <f>VLOOKUP(C428,REGISTRE!B:G,4,FALSE)</f>
        <v>18.756862000000002</v>
      </c>
      <c r="I428" s="1" t="str">
        <f>VLOOKUP(C428,REGISTRE!B:G,5,FALSE)</f>
        <v>3G</v>
      </c>
      <c r="J428" s="1" t="str">
        <f>VLOOKUP(C428,REGISTRE!B:G,6,FALSE)</f>
        <v>Ericsson</v>
      </c>
      <c r="K428" s="1" t="str">
        <f>INT(LOGS_Rx5[[#This Row],[Duree_Panne_Min]]/60) &amp; " h " &amp; MOD(LOGS_Rx5[[#This Row],[Duree_Panne_Min]],60) &amp; " min " &amp; "0 s"</f>
        <v>0 h 45 min 0 s</v>
      </c>
    </row>
    <row r="429" spans="1:11" x14ac:dyDescent="0.35">
      <c r="A429" s="1" t="s">
        <v>1028</v>
      </c>
      <c r="B429" s="2">
        <v>45205.052083333343</v>
      </c>
      <c r="C429" s="1" t="s">
        <v>1039</v>
      </c>
      <c r="D429">
        <v>81</v>
      </c>
      <c r="E429" s="1" t="s">
        <v>740</v>
      </c>
      <c r="F429" s="1" t="str">
        <f>VLOOKUP(C429,REGISTRE!B:G,2,FALSE)</f>
        <v>Kasaï</v>
      </c>
      <c r="G429" s="1">
        <f>VLOOKUP(C429,REGISTRE!B:G,3,FALSE)</f>
        <v>1.5802860000000001</v>
      </c>
      <c r="H429" s="1">
        <f>VLOOKUP(C429,REGISTRE!B:G,4,FALSE)</f>
        <v>20.99053</v>
      </c>
      <c r="I429" s="1" t="str">
        <f>VLOOKUP(C429,REGISTRE!B:G,5,FALSE)</f>
        <v>4G</v>
      </c>
      <c r="J429" s="1" t="str">
        <f>VLOOKUP(C429,REGISTRE!B:G,6,FALSE)</f>
        <v>ZTE</v>
      </c>
      <c r="K429" s="1" t="str">
        <f>INT(LOGS_Rx5[[#This Row],[Duree_Panne_Min]]/60) &amp; " h " &amp; MOD(LOGS_Rx5[[#This Row],[Duree_Panne_Min]],60) &amp; " min " &amp; "0 s"</f>
        <v>1 h 21 min 0 s</v>
      </c>
    </row>
    <row r="430" spans="1:11" x14ac:dyDescent="0.35">
      <c r="A430" s="1" t="s">
        <v>1120</v>
      </c>
      <c r="B430" s="2">
        <v>45220.927777777782</v>
      </c>
      <c r="C430" s="1" t="s">
        <v>1039</v>
      </c>
      <c r="D430">
        <v>22</v>
      </c>
      <c r="E430" s="1" t="s">
        <v>738</v>
      </c>
      <c r="F430" s="1" t="str">
        <f>VLOOKUP(C430,REGISTRE!B:G,2,FALSE)</f>
        <v>Kasaï</v>
      </c>
      <c r="G430" s="1">
        <f>VLOOKUP(C430,REGISTRE!B:G,3,FALSE)</f>
        <v>1.5802860000000001</v>
      </c>
      <c r="H430" s="1">
        <f>VLOOKUP(C430,REGISTRE!B:G,4,FALSE)</f>
        <v>20.99053</v>
      </c>
      <c r="I430" s="1" t="str">
        <f>VLOOKUP(C430,REGISTRE!B:G,5,FALSE)</f>
        <v>4G</v>
      </c>
      <c r="J430" s="1" t="str">
        <f>VLOOKUP(C430,REGISTRE!B:G,6,FALSE)</f>
        <v>ZTE</v>
      </c>
      <c r="K430" s="1" t="str">
        <f>INT(LOGS_Rx5[[#This Row],[Duree_Panne_Min]]/60) &amp; " h " &amp; MOD(LOGS_Rx5[[#This Row],[Duree_Panne_Min]],60) &amp; " min " &amp; "0 s"</f>
        <v>0 h 22 min 0 s</v>
      </c>
    </row>
    <row r="431" spans="1:11" x14ac:dyDescent="0.35">
      <c r="A431" s="1" t="s">
        <v>782</v>
      </c>
      <c r="B431" s="2">
        <v>45213.645833333343</v>
      </c>
      <c r="C431" s="1" t="s">
        <v>798</v>
      </c>
      <c r="D431">
        <v>95</v>
      </c>
      <c r="E431" s="1" t="s">
        <v>735</v>
      </c>
      <c r="F431" s="1" t="str">
        <f>VLOOKUP(C431,REGISTRE!B:G,2,FALSE)</f>
        <v>Haut-Katanga</v>
      </c>
      <c r="G431" s="1">
        <f>VLOOKUP(C431,REGISTRE!B:G,3,FALSE)</f>
        <v>-2.9417719999999998</v>
      </c>
      <c r="H431" s="1">
        <f>VLOOKUP(C431,REGISTRE!B:G,4,FALSE)</f>
        <v>18.587305000000001</v>
      </c>
      <c r="I431" s="1" t="str">
        <f>VLOOKUP(C431,REGISTRE!B:G,5,FALSE)</f>
        <v>5G</v>
      </c>
      <c r="J431" s="1" t="str">
        <f>VLOOKUP(C431,REGISTRE!B:G,6,FALSE)</f>
        <v>Ericsson</v>
      </c>
      <c r="K431" s="1" t="str">
        <f>INT(LOGS_Rx5[[#This Row],[Duree_Panne_Min]]/60) &amp; " h " &amp; MOD(LOGS_Rx5[[#This Row],[Duree_Panne_Min]],60) &amp; " min " &amp; "0 s"</f>
        <v>1 h 35 min 0 s</v>
      </c>
    </row>
    <row r="432" spans="1:11" x14ac:dyDescent="0.35">
      <c r="A432" s="1" t="s">
        <v>1120</v>
      </c>
      <c r="B432" s="2">
        <v>45222.834027777782</v>
      </c>
      <c r="C432" s="1" t="s">
        <v>798</v>
      </c>
      <c r="D432">
        <v>109</v>
      </c>
      <c r="E432" s="1" t="s">
        <v>738</v>
      </c>
      <c r="F432" s="1" t="str">
        <f>VLOOKUP(C432,REGISTRE!B:G,2,FALSE)</f>
        <v>Haut-Katanga</v>
      </c>
      <c r="G432" s="1">
        <f>VLOOKUP(C432,REGISTRE!B:G,3,FALSE)</f>
        <v>-2.9417719999999998</v>
      </c>
      <c r="H432" s="1">
        <f>VLOOKUP(C432,REGISTRE!B:G,4,FALSE)</f>
        <v>18.587305000000001</v>
      </c>
      <c r="I432" s="1" t="str">
        <f>VLOOKUP(C432,REGISTRE!B:G,5,FALSE)</f>
        <v>5G</v>
      </c>
      <c r="J432" s="1" t="str">
        <f>VLOOKUP(C432,REGISTRE!B:G,6,FALSE)</f>
        <v>Ericsson</v>
      </c>
      <c r="K432" s="1" t="str">
        <f>INT(LOGS_Rx5[[#This Row],[Duree_Panne_Min]]/60) &amp; " h " &amp; MOD(LOGS_Rx5[[#This Row],[Duree_Panne_Min]],60) &amp; " min " &amp; "0 s"</f>
        <v>1 h 49 min 0 s</v>
      </c>
    </row>
    <row r="433" spans="1:11" x14ac:dyDescent="0.35">
      <c r="A433" s="1" t="s">
        <v>1225</v>
      </c>
      <c r="B433" s="2">
        <v>45216.232638888891</v>
      </c>
      <c r="C433" s="1" t="s">
        <v>1235</v>
      </c>
      <c r="D433">
        <v>11</v>
      </c>
      <c r="E433" s="1" t="s">
        <v>740</v>
      </c>
      <c r="F433" s="1" t="str">
        <f>VLOOKUP(C433,REGISTRE!B:G,2,FALSE)</f>
        <v>Kasaï</v>
      </c>
      <c r="G433" s="1">
        <f>VLOOKUP(C433,REGISTRE!B:G,3,FALSE)</f>
        <v>-3.8119990000000001</v>
      </c>
      <c r="H433" s="1">
        <f>VLOOKUP(C433,REGISTRE!B:G,4,FALSE)</f>
        <v>20.420048000000001</v>
      </c>
      <c r="I433" s="1" t="str">
        <f>VLOOKUP(C433,REGISTRE!B:G,5,FALSE)</f>
        <v>3G</v>
      </c>
      <c r="J433" s="1" t="str">
        <f>VLOOKUP(C433,REGISTRE!B:G,6,FALSE)</f>
        <v>ZTE</v>
      </c>
      <c r="K433" s="1" t="str">
        <f>INT(LOGS_Rx5[[#This Row],[Duree_Panne_Min]]/60) &amp; " h " &amp; MOD(LOGS_Rx5[[#This Row],[Duree_Panne_Min]],60) &amp; " min " &amp; "0 s"</f>
        <v>0 h 11 min 0 s</v>
      </c>
    </row>
    <row r="434" spans="1:11" x14ac:dyDescent="0.35">
      <c r="A434" s="1" t="s">
        <v>826</v>
      </c>
      <c r="B434" s="2">
        <v>45206.6875</v>
      </c>
      <c r="C434" s="1" t="s">
        <v>854</v>
      </c>
      <c r="D434">
        <v>76</v>
      </c>
      <c r="E434" s="1" t="s">
        <v>740</v>
      </c>
      <c r="F434" s="1" t="str">
        <f>VLOOKUP(C434,REGISTRE!B:G,2,FALSE)</f>
        <v>Haut-Uele</v>
      </c>
      <c r="G434" s="1">
        <f>VLOOKUP(C434,REGISTRE!B:G,3,FALSE)</f>
        <v>-12.100756000000001</v>
      </c>
      <c r="H434" s="1">
        <f>VLOOKUP(C434,REGISTRE!B:G,4,FALSE)</f>
        <v>21.938649999999999</v>
      </c>
      <c r="I434" s="1" t="str">
        <f>VLOOKUP(C434,REGISTRE!B:G,5,FALSE)</f>
        <v>4G</v>
      </c>
      <c r="J434" s="1" t="str">
        <f>VLOOKUP(C434,REGISTRE!B:G,6,FALSE)</f>
        <v>Huawei</v>
      </c>
      <c r="K434" s="1" t="str">
        <f>INT(LOGS_Rx5[[#This Row],[Duree_Panne_Min]]/60) &amp; " h " &amp; MOD(LOGS_Rx5[[#This Row],[Duree_Panne_Min]],60) &amp; " min " &amp; "0 s"</f>
        <v>1 h 16 min 0 s</v>
      </c>
    </row>
    <row r="435" spans="1:11" x14ac:dyDescent="0.35">
      <c r="A435" s="1" t="s">
        <v>1028</v>
      </c>
      <c r="B435" s="2">
        <v>45216.693749999999</v>
      </c>
      <c r="C435" s="1" t="s">
        <v>854</v>
      </c>
      <c r="D435">
        <v>24</v>
      </c>
      <c r="E435" s="1" t="s">
        <v>740</v>
      </c>
      <c r="F435" s="1" t="str">
        <f>VLOOKUP(C435,REGISTRE!B:G,2,FALSE)</f>
        <v>Haut-Uele</v>
      </c>
      <c r="G435" s="1">
        <f>VLOOKUP(C435,REGISTRE!B:G,3,FALSE)</f>
        <v>-12.100756000000001</v>
      </c>
      <c r="H435" s="1">
        <f>VLOOKUP(C435,REGISTRE!B:G,4,FALSE)</f>
        <v>21.938649999999999</v>
      </c>
      <c r="I435" s="1" t="str">
        <f>VLOOKUP(C435,REGISTRE!B:G,5,FALSE)</f>
        <v>4G</v>
      </c>
      <c r="J435" s="1" t="str">
        <f>VLOOKUP(C435,REGISTRE!B:G,6,FALSE)</f>
        <v>Huawei</v>
      </c>
      <c r="K435" s="1" t="str">
        <f>INT(LOGS_Rx5[[#This Row],[Duree_Panne_Min]]/60) &amp; " h " &amp; MOD(LOGS_Rx5[[#This Row],[Duree_Panne_Min]],60) &amp; " min " &amp; "0 s"</f>
        <v>0 h 24 min 0 s</v>
      </c>
    </row>
    <row r="436" spans="1:11" x14ac:dyDescent="0.35">
      <c r="A436" s="1" t="s">
        <v>1028</v>
      </c>
      <c r="B436" s="2">
        <v>45220.11041666667</v>
      </c>
      <c r="C436" s="1" t="s">
        <v>1031</v>
      </c>
      <c r="D436">
        <v>111</v>
      </c>
      <c r="E436" s="1" t="s">
        <v>740</v>
      </c>
      <c r="F436" s="1" t="str">
        <f>VLOOKUP(C436,REGISTRE!B:G,2,FALSE)</f>
        <v>Ituri</v>
      </c>
      <c r="G436" s="1">
        <f>VLOOKUP(C436,REGISTRE!B:G,3,FALSE)</f>
        <v>-4.1250960000000001</v>
      </c>
      <c r="H436" s="1">
        <f>VLOOKUP(C436,REGISTRE!B:G,4,FALSE)</f>
        <v>27.799897999999999</v>
      </c>
      <c r="I436" s="1" t="str">
        <f>VLOOKUP(C436,REGISTRE!B:G,5,FALSE)</f>
        <v>3G</v>
      </c>
      <c r="J436" s="1" t="str">
        <f>VLOOKUP(C436,REGISTRE!B:G,6,FALSE)</f>
        <v>Nokia</v>
      </c>
      <c r="K436" s="1" t="str">
        <f>INT(LOGS_Rx5[[#This Row],[Duree_Panne_Min]]/60) &amp; " h " &amp; MOD(LOGS_Rx5[[#This Row],[Duree_Panne_Min]],60) &amp; " min " &amp; "0 s"</f>
        <v>1 h 51 min 0 s</v>
      </c>
    </row>
    <row r="437" spans="1:11" x14ac:dyDescent="0.35">
      <c r="A437" s="1" t="s">
        <v>1351</v>
      </c>
      <c r="B437" s="2">
        <v>45228.880555555559</v>
      </c>
      <c r="C437" s="1" t="s">
        <v>1031</v>
      </c>
      <c r="D437">
        <v>112</v>
      </c>
      <c r="E437" s="1" t="s">
        <v>740</v>
      </c>
      <c r="F437" s="1" t="str">
        <f>VLOOKUP(C437,REGISTRE!B:G,2,FALSE)</f>
        <v>Ituri</v>
      </c>
      <c r="G437" s="1">
        <f>VLOOKUP(C437,REGISTRE!B:G,3,FALSE)</f>
        <v>-4.1250960000000001</v>
      </c>
      <c r="H437" s="1">
        <f>VLOOKUP(C437,REGISTRE!B:G,4,FALSE)</f>
        <v>27.799897999999999</v>
      </c>
      <c r="I437" s="1" t="str">
        <f>VLOOKUP(C437,REGISTRE!B:G,5,FALSE)</f>
        <v>3G</v>
      </c>
      <c r="J437" s="1" t="str">
        <f>VLOOKUP(C437,REGISTRE!B:G,6,FALSE)</f>
        <v>Nokia</v>
      </c>
      <c r="K437" s="1" t="str">
        <f>INT(LOGS_Rx5[[#This Row],[Duree_Panne_Min]]/60) &amp; " h " &amp; MOD(LOGS_Rx5[[#This Row],[Duree_Panne_Min]],60) &amp; " min " &amp; "0 s"</f>
        <v>1 h 52 min 0 s</v>
      </c>
    </row>
    <row r="438" spans="1:11" x14ac:dyDescent="0.35">
      <c r="A438" s="1" t="s">
        <v>1389</v>
      </c>
      <c r="B438" s="2">
        <v>45200.67083333333</v>
      </c>
      <c r="C438" s="1" t="s">
        <v>1405</v>
      </c>
      <c r="D438">
        <v>74</v>
      </c>
      <c r="E438" s="1" t="s">
        <v>740</v>
      </c>
      <c r="F438" s="1" t="str">
        <f>VLOOKUP(C438,REGISTRE!B:G,2,FALSE)</f>
        <v>Ituri</v>
      </c>
      <c r="G438" s="1">
        <f>VLOOKUP(C438,REGISTRE!B:G,3,FALSE)</f>
        <v>-4.6426759999999998</v>
      </c>
      <c r="H438" s="1">
        <f>VLOOKUP(C438,REGISTRE!B:G,4,FALSE)</f>
        <v>22.124254000000001</v>
      </c>
      <c r="I438" s="1" t="str">
        <f>VLOOKUP(C438,REGISTRE!B:G,5,FALSE)</f>
        <v>4G</v>
      </c>
      <c r="J438" s="1" t="str">
        <f>VLOOKUP(C438,REGISTRE!B:G,6,FALSE)</f>
        <v>ZTE</v>
      </c>
      <c r="K438" s="1" t="str">
        <f>INT(LOGS_Rx5[[#This Row],[Duree_Panne_Min]]/60) &amp; " h " &amp; MOD(LOGS_Rx5[[#This Row],[Duree_Panne_Min]],60) &amp; " min " &amp; "0 s"</f>
        <v>1 h 14 min 0 s</v>
      </c>
    </row>
    <row r="439" spans="1:11" x14ac:dyDescent="0.35">
      <c r="A439" s="1" t="s">
        <v>1063</v>
      </c>
      <c r="B439" s="2">
        <v>45211.106249999997</v>
      </c>
      <c r="C439" s="1" t="s">
        <v>1072</v>
      </c>
      <c r="D439">
        <v>107</v>
      </c>
      <c r="E439" s="1" t="s">
        <v>735</v>
      </c>
      <c r="F439" s="1" t="str">
        <f>VLOOKUP(C439,REGISTRE!B:G,2,FALSE)</f>
        <v>Kasaï</v>
      </c>
      <c r="G439" s="1">
        <f>VLOOKUP(C439,REGISTRE!B:G,3,FALSE)</f>
        <v>-5.125</v>
      </c>
      <c r="H439" s="1">
        <f>VLOOKUP(C439,REGISTRE!B:G,4,FALSE)</f>
        <v>23.513119</v>
      </c>
      <c r="I439" s="1" t="str">
        <f>VLOOKUP(C439,REGISTRE!B:G,5,FALSE)</f>
        <v>5G</v>
      </c>
      <c r="J439" s="1" t="str">
        <f>VLOOKUP(C439,REGISTRE!B:G,6,FALSE)</f>
        <v>Huawei</v>
      </c>
      <c r="K439" s="1" t="str">
        <f>INT(LOGS_Rx5[[#This Row],[Duree_Panne_Min]]/60) &amp; " h " &amp; MOD(LOGS_Rx5[[#This Row],[Duree_Panne_Min]],60) &amp; " min " &amp; "0 s"</f>
        <v>1 h 47 min 0 s</v>
      </c>
    </row>
    <row r="440" spans="1:11" x14ac:dyDescent="0.35">
      <c r="A440" s="1" t="s">
        <v>1368</v>
      </c>
      <c r="B440" s="2">
        <v>45227.660416666673</v>
      </c>
      <c r="C440" s="1" t="s">
        <v>1072</v>
      </c>
      <c r="D440">
        <v>67</v>
      </c>
      <c r="E440" s="1" t="s">
        <v>740</v>
      </c>
      <c r="F440" s="1" t="str">
        <f>VLOOKUP(C440,REGISTRE!B:G,2,FALSE)</f>
        <v>Kasaï</v>
      </c>
      <c r="G440" s="1">
        <f>VLOOKUP(C440,REGISTRE!B:G,3,FALSE)</f>
        <v>-5.125</v>
      </c>
      <c r="H440" s="1">
        <f>VLOOKUP(C440,REGISTRE!B:G,4,FALSE)</f>
        <v>23.513119</v>
      </c>
      <c r="I440" s="1" t="str">
        <f>VLOOKUP(C440,REGISTRE!B:G,5,FALSE)</f>
        <v>5G</v>
      </c>
      <c r="J440" s="1" t="str">
        <f>VLOOKUP(C440,REGISTRE!B:G,6,FALSE)</f>
        <v>Huawei</v>
      </c>
      <c r="K440" s="1" t="str">
        <f>INT(LOGS_Rx5[[#This Row],[Duree_Panne_Min]]/60) &amp; " h " &amp; MOD(LOGS_Rx5[[#This Row],[Duree_Panne_Min]],60) &amp; " min " &amp; "0 s"</f>
        <v>1 h 7 min 0 s</v>
      </c>
    </row>
    <row r="441" spans="1:11" x14ac:dyDescent="0.35">
      <c r="A441" s="1" t="s">
        <v>864</v>
      </c>
      <c r="B441" s="2">
        <v>45211.234722222223</v>
      </c>
      <c r="C441" s="1" t="s">
        <v>886</v>
      </c>
      <c r="D441">
        <v>62</v>
      </c>
      <c r="E441" s="1" t="s">
        <v>740</v>
      </c>
      <c r="F441" s="1" t="str">
        <f>VLOOKUP(C441,REGISTRE!B:G,2,FALSE)</f>
        <v>Nord-Kivu</v>
      </c>
      <c r="G441" s="1">
        <f>VLOOKUP(C441,REGISTRE!B:G,3,FALSE)</f>
        <v>-2.3102109999999998</v>
      </c>
      <c r="H441" s="1">
        <f>VLOOKUP(C441,REGISTRE!B:G,4,FALSE)</f>
        <v>12.362488000000001</v>
      </c>
      <c r="I441" s="1" t="str">
        <f>VLOOKUP(C441,REGISTRE!B:G,5,FALSE)</f>
        <v>5G</v>
      </c>
      <c r="J441" s="1" t="str">
        <f>VLOOKUP(C441,REGISTRE!B:G,6,FALSE)</f>
        <v>Nokia</v>
      </c>
      <c r="K441" s="1" t="str">
        <f>INT(LOGS_Rx5[[#This Row],[Duree_Panne_Min]]/60) &amp; " h " &amp; MOD(LOGS_Rx5[[#This Row],[Duree_Panne_Min]],60) &amp; " min " &amp; "0 s"</f>
        <v>1 h 2 min 0 s</v>
      </c>
    </row>
    <row r="442" spans="1:11" x14ac:dyDescent="0.35">
      <c r="A442" s="1" t="s">
        <v>981</v>
      </c>
      <c r="B442" s="2">
        <v>45200.493055555547</v>
      </c>
      <c r="C442" s="1" t="s">
        <v>1000</v>
      </c>
      <c r="D442">
        <v>113</v>
      </c>
      <c r="E442" s="1" t="s">
        <v>735</v>
      </c>
      <c r="F442" s="1" t="str">
        <f>VLOOKUP(C442,REGISTRE!B:G,2,FALSE)</f>
        <v>Sud-Kivu</v>
      </c>
      <c r="G442" s="1">
        <f>VLOOKUP(C442,REGISTRE!B:G,3,FALSE)</f>
        <v>-1.5419050000000001</v>
      </c>
      <c r="H442" s="1">
        <f>VLOOKUP(C442,REGISTRE!B:G,4,FALSE)</f>
        <v>14.730632999999999</v>
      </c>
      <c r="I442" s="1" t="str">
        <f>VLOOKUP(C442,REGISTRE!B:G,5,FALSE)</f>
        <v>3G</v>
      </c>
      <c r="J442" s="1" t="str">
        <f>VLOOKUP(C442,REGISTRE!B:G,6,FALSE)</f>
        <v>ZTE</v>
      </c>
      <c r="K442" s="1" t="str">
        <f>INT(LOGS_Rx5[[#This Row],[Duree_Panne_Min]]/60) &amp; " h " &amp; MOD(LOGS_Rx5[[#This Row],[Duree_Panne_Min]],60) &amp; " min " &amp; "0 s"</f>
        <v>1 h 53 min 0 s</v>
      </c>
    </row>
    <row r="443" spans="1:11" x14ac:dyDescent="0.35">
      <c r="A443" s="1" t="s">
        <v>1247</v>
      </c>
      <c r="B443" s="2">
        <v>45220.469444444447</v>
      </c>
      <c r="C443" s="1" t="s">
        <v>1000</v>
      </c>
      <c r="D443">
        <v>17</v>
      </c>
      <c r="E443" s="1" t="s">
        <v>738</v>
      </c>
      <c r="F443" s="1" t="str">
        <f>VLOOKUP(C443,REGISTRE!B:G,2,FALSE)</f>
        <v>Sud-Kivu</v>
      </c>
      <c r="G443" s="1">
        <f>VLOOKUP(C443,REGISTRE!B:G,3,FALSE)</f>
        <v>-1.5419050000000001</v>
      </c>
      <c r="H443" s="1">
        <f>VLOOKUP(C443,REGISTRE!B:G,4,FALSE)</f>
        <v>14.730632999999999</v>
      </c>
      <c r="I443" s="1" t="str">
        <f>VLOOKUP(C443,REGISTRE!B:G,5,FALSE)</f>
        <v>3G</v>
      </c>
      <c r="J443" s="1" t="str">
        <f>VLOOKUP(C443,REGISTRE!B:G,6,FALSE)</f>
        <v>ZTE</v>
      </c>
      <c r="K443" s="1" t="str">
        <f>INT(LOGS_Rx5[[#This Row],[Duree_Panne_Min]]/60) &amp; " h " &amp; MOD(LOGS_Rx5[[#This Row],[Duree_Panne_Min]],60) &amp; " min " &amp; "0 s"</f>
        <v>0 h 17 min 0 s</v>
      </c>
    </row>
    <row r="444" spans="1:11" x14ac:dyDescent="0.35">
      <c r="A444" s="1" t="s">
        <v>1002</v>
      </c>
      <c r="B444" s="2">
        <v>45207.57916666667</v>
      </c>
      <c r="C444" s="1" t="s">
        <v>1008</v>
      </c>
      <c r="D444">
        <v>68</v>
      </c>
      <c r="E444" s="1" t="s">
        <v>735</v>
      </c>
      <c r="F444" s="1" t="str">
        <f>VLOOKUP(C444,REGISTRE!B:G,2,FALSE)</f>
        <v>Ituri</v>
      </c>
      <c r="G444" s="1">
        <f>VLOOKUP(C444,REGISTRE!B:G,3,FALSE)</f>
        <v>-3.7720639999999999</v>
      </c>
      <c r="H444" s="1">
        <f>VLOOKUP(C444,REGISTRE!B:G,4,FALSE)</f>
        <v>16.006277999999998</v>
      </c>
      <c r="I444" s="1" t="str">
        <f>VLOOKUP(C444,REGISTRE!B:G,5,FALSE)</f>
        <v>5G</v>
      </c>
      <c r="J444" s="1" t="str">
        <f>VLOOKUP(C444,REGISTRE!B:G,6,FALSE)</f>
        <v>ZTE</v>
      </c>
      <c r="K444" s="1" t="str">
        <f>INT(LOGS_Rx5[[#This Row],[Duree_Panne_Min]]/60) &amp; " h " &amp; MOD(LOGS_Rx5[[#This Row],[Duree_Panne_Min]],60) &amp; " min " &amp; "0 s"</f>
        <v>1 h 8 min 0 s</v>
      </c>
    </row>
    <row r="445" spans="1:11" x14ac:dyDescent="0.35">
      <c r="A445" s="1" t="s">
        <v>1028</v>
      </c>
      <c r="B445" s="2">
        <v>45227.915277777778</v>
      </c>
      <c r="C445" s="1" t="s">
        <v>1008</v>
      </c>
      <c r="D445">
        <v>26</v>
      </c>
      <c r="E445" s="1" t="s">
        <v>738</v>
      </c>
      <c r="F445" s="1" t="str">
        <f>VLOOKUP(C445,REGISTRE!B:G,2,FALSE)</f>
        <v>Ituri</v>
      </c>
      <c r="G445" s="1">
        <f>VLOOKUP(C445,REGISTRE!B:G,3,FALSE)</f>
        <v>-3.7720639999999999</v>
      </c>
      <c r="H445" s="1">
        <f>VLOOKUP(C445,REGISTRE!B:G,4,FALSE)</f>
        <v>16.006277999999998</v>
      </c>
      <c r="I445" s="1" t="str">
        <f>VLOOKUP(C445,REGISTRE!B:G,5,FALSE)</f>
        <v>5G</v>
      </c>
      <c r="J445" s="1" t="str">
        <f>VLOOKUP(C445,REGISTRE!B:G,6,FALSE)</f>
        <v>ZTE</v>
      </c>
      <c r="K445" s="1" t="str">
        <f>INT(LOGS_Rx5[[#This Row],[Duree_Panne_Min]]/60) &amp; " h " &amp; MOD(LOGS_Rx5[[#This Row],[Duree_Panne_Min]],60) &amp; " min " &amp; "0 s"</f>
        <v>0 h 26 min 0 s</v>
      </c>
    </row>
    <row r="446" spans="1:11" x14ac:dyDescent="0.35">
      <c r="A446" s="1" t="s">
        <v>1063</v>
      </c>
      <c r="B446" s="2">
        <v>45218.991666666669</v>
      </c>
      <c r="C446" s="1" t="s">
        <v>1008</v>
      </c>
      <c r="D446">
        <v>82</v>
      </c>
      <c r="E446" s="1" t="s">
        <v>735</v>
      </c>
      <c r="F446" s="1" t="str">
        <f>VLOOKUP(C446,REGISTRE!B:G,2,FALSE)</f>
        <v>Ituri</v>
      </c>
      <c r="G446" s="1">
        <f>VLOOKUP(C446,REGISTRE!B:G,3,FALSE)</f>
        <v>-3.7720639999999999</v>
      </c>
      <c r="H446" s="1">
        <f>VLOOKUP(C446,REGISTRE!B:G,4,FALSE)</f>
        <v>16.006277999999998</v>
      </c>
      <c r="I446" s="1" t="str">
        <f>VLOOKUP(C446,REGISTRE!B:G,5,FALSE)</f>
        <v>5G</v>
      </c>
      <c r="J446" s="1" t="str">
        <f>VLOOKUP(C446,REGISTRE!B:G,6,FALSE)</f>
        <v>ZTE</v>
      </c>
      <c r="K446" s="1" t="str">
        <f>INT(LOGS_Rx5[[#This Row],[Duree_Panne_Min]]/60) &amp; " h " &amp; MOD(LOGS_Rx5[[#This Row],[Duree_Panne_Min]],60) &amp; " min " &amp; "0 s"</f>
        <v>1 h 22 min 0 s</v>
      </c>
    </row>
    <row r="447" spans="1:11" x14ac:dyDescent="0.35">
      <c r="A447" s="1" t="s">
        <v>942</v>
      </c>
      <c r="B447" s="2">
        <v>45222.353472222218</v>
      </c>
      <c r="C447" s="1" t="s">
        <v>980</v>
      </c>
      <c r="D447">
        <v>101</v>
      </c>
      <c r="E447" s="1" t="s">
        <v>738</v>
      </c>
      <c r="F447" s="1" t="str">
        <f>VLOOKUP(C447,REGISTRE!B:G,2,FALSE)</f>
        <v>Nord-Kivu</v>
      </c>
      <c r="G447" s="1">
        <f>VLOOKUP(C447,REGISTRE!B:G,3,FALSE)</f>
        <v>-10.846306999999999</v>
      </c>
      <c r="H447" s="1">
        <f>VLOOKUP(C447,REGISTRE!B:G,4,FALSE)</f>
        <v>19.201827999999999</v>
      </c>
      <c r="I447" s="1" t="str">
        <f>VLOOKUP(C447,REGISTRE!B:G,5,FALSE)</f>
        <v>4G</v>
      </c>
      <c r="J447" s="1" t="str">
        <f>VLOOKUP(C447,REGISTRE!B:G,6,FALSE)</f>
        <v>Ericsson</v>
      </c>
      <c r="K447" s="1" t="str">
        <f>INT(LOGS_Rx5[[#This Row],[Duree_Panne_Min]]/60) &amp; " h " &amp; MOD(LOGS_Rx5[[#This Row],[Duree_Panne_Min]],60) &amp; " min " &amp; "0 s"</f>
        <v>1 h 41 min 0 s</v>
      </c>
    </row>
    <row r="448" spans="1:11" x14ac:dyDescent="0.35">
      <c r="A448" s="1" t="s">
        <v>1171</v>
      </c>
      <c r="B448" s="2">
        <v>45223.252083333333</v>
      </c>
      <c r="C448" s="1" t="s">
        <v>980</v>
      </c>
      <c r="D448">
        <v>12</v>
      </c>
      <c r="E448" s="1" t="s">
        <v>738</v>
      </c>
      <c r="F448" s="1" t="str">
        <f>VLOOKUP(C448,REGISTRE!B:G,2,FALSE)</f>
        <v>Nord-Kivu</v>
      </c>
      <c r="G448" s="1">
        <f>VLOOKUP(C448,REGISTRE!B:G,3,FALSE)</f>
        <v>-10.846306999999999</v>
      </c>
      <c r="H448" s="1">
        <f>VLOOKUP(C448,REGISTRE!B:G,4,FALSE)</f>
        <v>19.201827999999999</v>
      </c>
      <c r="I448" s="1" t="str">
        <f>VLOOKUP(C448,REGISTRE!B:G,5,FALSE)</f>
        <v>4G</v>
      </c>
      <c r="J448" s="1" t="str">
        <f>VLOOKUP(C448,REGISTRE!B:G,6,FALSE)</f>
        <v>Ericsson</v>
      </c>
      <c r="K448" s="1" t="str">
        <f>INT(LOGS_Rx5[[#This Row],[Duree_Panne_Min]]/60) &amp; " h " &amp; MOD(LOGS_Rx5[[#This Row],[Duree_Panne_Min]],60) &amp; " min " &amp; "0 s"</f>
        <v>0 h 12 min 0 s</v>
      </c>
    </row>
    <row r="449" spans="1:11" x14ac:dyDescent="0.35">
      <c r="A449" s="1" t="s">
        <v>1294</v>
      </c>
      <c r="B449" s="2">
        <v>45214.740972222222</v>
      </c>
      <c r="C449" s="1" t="s">
        <v>980</v>
      </c>
      <c r="D449">
        <v>8</v>
      </c>
      <c r="E449" s="1" t="s">
        <v>735</v>
      </c>
      <c r="F449" s="1" t="str">
        <f>VLOOKUP(C449,REGISTRE!B:G,2,FALSE)</f>
        <v>Nord-Kivu</v>
      </c>
      <c r="G449" s="1">
        <f>VLOOKUP(C449,REGISTRE!B:G,3,FALSE)</f>
        <v>-10.846306999999999</v>
      </c>
      <c r="H449" s="1">
        <f>VLOOKUP(C449,REGISTRE!B:G,4,FALSE)</f>
        <v>19.201827999999999</v>
      </c>
      <c r="I449" s="1" t="str">
        <f>VLOOKUP(C449,REGISTRE!B:G,5,FALSE)</f>
        <v>4G</v>
      </c>
      <c r="J449" s="1" t="str">
        <f>VLOOKUP(C449,REGISTRE!B:G,6,FALSE)</f>
        <v>Ericsson</v>
      </c>
      <c r="K449" s="1" t="str">
        <f>INT(LOGS_Rx5[[#This Row],[Duree_Panne_Min]]/60) &amp; " h " &amp; MOD(LOGS_Rx5[[#This Row],[Duree_Panne_Min]],60) &amp; " min " &amp; "0 s"</f>
        <v>0 h 8 min 0 s</v>
      </c>
    </row>
    <row r="450" spans="1:11" x14ac:dyDescent="0.35">
      <c r="A450" s="1" t="s">
        <v>1028</v>
      </c>
      <c r="B450" s="2">
        <v>45226.37777777778</v>
      </c>
      <c r="C450" s="1" t="s">
        <v>1030</v>
      </c>
      <c r="D450">
        <v>74</v>
      </c>
      <c r="E450" s="1" t="s">
        <v>740</v>
      </c>
      <c r="F450" s="1" t="str">
        <f>VLOOKUP(C450,REGISTRE!B:G,2,FALSE)</f>
        <v>Mongala</v>
      </c>
      <c r="G450" s="1">
        <f>VLOOKUP(C450,REGISTRE!B:G,3,FALSE)</f>
        <v>4.6809229999999999</v>
      </c>
      <c r="H450" s="1">
        <f>VLOOKUP(C450,REGISTRE!B:G,4,FALSE)</f>
        <v>28.934242000000001</v>
      </c>
      <c r="I450" s="1" t="str">
        <f>VLOOKUP(C450,REGISTRE!B:G,5,FALSE)</f>
        <v>5G</v>
      </c>
      <c r="J450" s="1" t="str">
        <f>VLOOKUP(C450,REGISTRE!B:G,6,FALSE)</f>
        <v>Nokia</v>
      </c>
      <c r="K450" s="1" t="str">
        <f>INT(LOGS_Rx5[[#This Row],[Duree_Panne_Min]]/60) &amp; " h " &amp; MOD(LOGS_Rx5[[#This Row],[Duree_Panne_Min]],60) &amp; " min " &amp; "0 s"</f>
        <v>1 h 14 min 0 s</v>
      </c>
    </row>
    <row r="451" spans="1:11" x14ac:dyDescent="0.35">
      <c r="A451" s="1" t="s">
        <v>1171</v>
      </c>
      <c r="B451" s="2">
        <v>45207.342361111107</v>
      </c>
      <c r="C451" s="1" t="s">
        <v>1178</v>
      </c>
      <c r="D451">
        <v>28</v>
      </c>
      <c r="E451" s="1" t="s">
        <v>735</v>
      </c>
      <c r="F451" s="1" t="str">
        <f>VLOOKUP(C451,REGISTRE!B:G,2,FALSE)</f>
        <v>Bas-Uele</v>
      </c>
      <c r="G451" s="1">
        <f>VLOOKUP(C451,REGISTRE!B:G,3,FALSE)</f>
        <v>0.40267799999999998</v>
      </c>
      <c r="H451" s="1">
        <f>VLOOKUP(C451,REGISTRE!B:G,4,FALSE)</f>
        <v>16.000858000000001</v>
      </c>
      <c r="I451" s="1" t="str">
        <f>VLOOKUP(C451,REGISTRE!B:G,5,FALSE)</f>
        <v>3G</v>
      </c>
      <c r="J451" s="1" t="str">
        <f>VLOOKUP(C451,REGISTRE!B:G,6,FALSE)</f>
        <v>Nokia</v>
      </c>
      <c r="K451" s="1" t="str">
        <f>INT(LOGS_Rx5[[#This Row],[Duree_Panne_Min]]/60) &amp; " h " &amp; MOD(LOGS_Rx5[[#This Row],[Duree_Panne_Min]],60) &amp; " min " &amp; "0 s"</f>
        <v>0 h 28 min 0 s</v>
      </c>
    </row>
    <row r="452" spans="1:11" x14ac:dyDescent="0.35">
      <c r="A452" s="1" t="s">
        <v>826</v>
      </c>
      <c r="B452" s="2">
        <v>45208.072916666657</v>
      </c>
      <c r="C452" s="1" t="s">
        <v>835</v>
      </c>
      <c r="D452">
        <v>68</v>
      </c>
      <c r="E452" s="1" t="s">
        <v>735</v>
      </c>
      <c r="F452" s="1" t="str">
        <f>VLOOKUP(C452,REGISTRE!B:G,2,FALSE)</f>
        <v>Nord-Kivu</v>
      </c>
      <c r="G452" s="1">
        <f>VLOOKUP(C452,REGISTRE!B:G,3,FALSE)</f>
        <v>1.017161</v>
      </c>
      <c r="H452" s="1">
        <f>VLOOKUP(C452,REGISTRE!B:G,4,FALSE)</f>
        <v>16.519689</v>
      </c>
      <c r="I452" s="1" t="str">
        <f>VLOOKUP(C452,REGISTRE!B:G,5,FALSE)</f>
        <v>3G</v>
      </c>
      <c r="J452" s="1" t="str">
        <f>VLOOKUP(C452,REGISTRE!B:G,6,FALSE)</f>
        <v>Nokia</v>
      </c>
      <c r="K452" s="1" t="str">
        <f>INT(LOGS_Rx5[[#This Row],[Duree_Panne_Min]]/60) &amp; " h " &amp; MOD(LOGS_Rx5[[#This Row],[Duree_Panne_Min]],60) &amp; " min " &amp; "0 s"</f>
        <v>1 h 8 min 0 s</v>
      </c>
    </row>
    <row r="453" spans="1:11" x14ac:dyDescent="0.35">
      <c r="A453" s="1" t="s">
        <v>1171</v>
      </c>
      <c r="B453" s="2">
        <v>45210.39166666667</v>
      </c>
      <c r="C453" s="1" t="s">
        <v>835</v>
      </c>
      <c r="D453">
        <v>85</v>
      </c>
      <c r="E453" s="1" t="s">
        <v>738</v>
      </c>
      <c r="F453" s="1" t="str">
        <f>VLOOKUP(C453,REGISTRE!B:G,2,FALSE)</f>
        <v>Nord-Kivu</v>
      </c>
      <c r="G453" s="1">
        <f>VLOOKUP(C453,REGISTRE!B:G,3,FALSE)</f>
        <v>1.017161</v>
      </c>
      <c r="H453" s="1">
        <f>VLOOKUP(C453,REGISTRE!B:G,4,FALSE)</f>
        <v>16.519689</v>
      </c>
      <c r="I453" s="1" t="str">
        <f>VLOOKUP(C453,REGISTRE!B:G,5,FALSE)</f>
        <v>3G</v>
      </c>
      <c r="J453" s="1" t="str">
        <f>VLOOKUP(C453,REGISTRE!B:G,6,FALSE)</f>
        <v>Nokia</v>
      </c>
      <c r="K453" s="1" t="str">
        <f>INT(LOGS_Rx5[[#This Row],[Duree_Panne_Min]]/60) &amp; " h " &amp; MOD(LOGS_Rx5[[#This Row],[Duree_Panne_Min]],60) &amp; " min " &amp; "0 s"</f>
        <v>1 h 25 min 0 s</v>
      </c>
    </row>
    <row r="454" spans="1:11" x14ac:dyDescent="0.35">
      <c r="A454" s="1" t="s">
        <v>1028</v>
      </c>
      <c r="B454" s="2">
        <v>45217.89166666667</v>
      </c>
      <c r="C454" s="1" t="s">
        <v>1045</v>
      </c>
      <c r="D454">
        <v>108</v>
      </c>
      <c r="E454" s="1" t="s">
        <v>740</v>
      </c>
      <c r="F454" s="1" t="str">
        <f>VLOOKUP(C454,REGISTRE!B:G,2,FALSE)</f>
        <v>Mongala</v>
      </c>
      <c r="G454" s="1">
        <f>VLOOKUP(C454,REGISTRE!B:G,3,FALSE)</f>
        <v>-5.3762689999999997</v>
      </c>
      <c r="H454" s="1">
        <f>VLOOKUP(C454,REGISTRE!B:G,4,FALSE)</f>
        <v>28.189575999999999</v>
      </c>
      <c r="I454" s="1" t="str">
        <f>VLOOKUP(C454,REGISTRE!B:G,5,FALSE)</f>
        <v>5G</v>
      </c>
      <c r="J454" s="1" t="str">
        <f>VLOOKUP(C454,REGISTRE!B:G,6,FALSE)</f>
        <v>Huawei</v>
      </c>
      <c r="K454" s="1" t="str">
        <f>INT(LOGS_Rx5[[#This Row],[Duree_Panne_Min]]/60) &amp; " h " &amp; MOD(LOGS_Rx5[[#This Row],[Duree_Panne_Min]],60) &amp; " min " &amp; "0 s"</f>
        <v>1 h 48 min 0 s</v>
      </c>
    </row>
    <row r="455" spans="1:11" x14ac:dyDescent="0.35">
      <c r="A455" s="1" t="s">
        <v>1199</v>
      </c>
      <c r="B455" s="2">
        <v>45211.04583333333</v>
      </c>
      <c r="C455" s="1" t="s">
        <v>1045</v>
      </c>
      <c r="D455">
        <v>18</v>
      </c>
      <c r="E455" s="1" t="s">
        <v>740</v>
      </c>
      <c r="F455" s="1" t="str">
        <f>VLOOKUP(C455,REGISTRE!B:G,2,FALSE)</f>
        <v>Mongala</v>
      </c>
      <c r="G455" s="1">
        <f>VLOOKUP(C455,REGISTRE!B:G,3,FALSE)</f>
        <v>-5.3762689999999997</v>
      </c>
      <c r="H455" s="1">
        <f>VLOOKUP(C455,REGISTRE!B:G,4,FALSE)</f>
        <v>28.189575999999999</v>
      </c>
      <c r="I455" s="1" t="str">
        <f>VLOOKUP(C455,REGISTRE!B:G,5,FALSE)</f>
        <v>5G</v>
      </c>
      <c r="J455" s="1" t="str">
        <f>VLOOKUP(C455,REGISTRE!B:G,6,FALSE)</f>
        <v>Huawei</v>
      </c>
      <c r="K455" s="1" t="str">
        <f>INT(LOGS_Rx5[[#This Row],[Duree_Panne_Min]]/60) &amp; " h " &amp; MOD(LOGS_Rx5[[#This Row],[Duree_Panne_Min]],60) &amp; " min " &amp; "0 s"</f>
        <v>0 h 18 min 0 s</v>
      </c>
    </row>
    <row r="456" spans="1:11" x14ac:dyDescent="0.35">
      <c r="A456" s="1" t="s">
        <v>1225</v>
      </c>
      <c r="B456" s="2">
        <v>45222.188888888893</v>
      </c>
      <c r="C456" s="1" t="s">
        <v>1045</v>
      </c>
      <c r="D456">
        <v>33</v>
      </c>
      <c r="E456" s="1" t="s">
        <v>735</v>
      </c>
      <c r="F456" s="1" t="str">
        <f>VLOOKUP(C456,REGISTRE!B:G,2,FALSE)</f>
        <v>Mongala</v>
      </c>
      <c r="G456" s="1">
        <f>VLOOKUP(C456,REGISTRE!B:G,3,FALSE)</f>
        <v>-5.3762689999999997</v>
      </c>
      <c r="H456" s="1">
        <f>VLOOKUP(C456,REGISTRE!B:G,4,FALSE)</f>
        <v>28.189575999999999</v>
      </c>
      <c r="I456" s="1" t="str">
        <f>VLOOKUP(C456,REGISTRE!B:G,5,FALSE)</f>
        <v>5G</v>
      </c>
      <c r="J456" s="1" t="str">
        <f>VLOOKUP(C456,REGISTRE!B:G,6,FALSE)</f>
        <v>Huawei</v>
      </c>
      <c r="K456" s="1" t="str">
        <f>INT(LOGS_Rx5[[#This Row],[Duree_Panne_Min]]/60) &amp; " h " &amp; MOD(LOGS_Rx5[[#This Row],[Duree_Panne_Min]],60) &amp; " min " &amp; "0 s"</f>
        <v>0 h 33 min 0 s</v>
      </c>
    </row>
    <row r="457" spans="1:11" x14ac:dyDescent="0.35">
      <c r="A457" s="1" t="s">
        <v>1368</v>
      </c>
      <c r="B457" s="2">
        <v>45223.759722222218</v>
      </c>
      <c r="C457" s="1" t="s">
        <v>1045</v>
      </c>
      <c r="D457">
        <v>78</v>
      </c>
      <c r="E457" s="1" t="s">
        <v>738</v>
      </c>
      <c r="F457" s="1" t="str">
        <f>VLOOKUP(C457,REGISTRE!B:G,2,FALSE)</f>
        <v>Mongala</v>
      </c>
      <c r="G457" s="1">
        <f>VLOOKUP(C457,REGISTRE!B:G,3,FALSE)</f>
        <v>-5.3762689999999997</v>
      </c>
      <c r="H457" s="1">
        <f>VLOOKUP(C457,REGISTRE!B:G,4,FALSE)</f>
        <v>28.189575999999999</v>
      </c>
      <c r="I457" s="1" t="str">
        <f>VLOOKUP(C457,REGISTRE!B:G,5,FALSE)</f>
        <v>5G</v>
      </c>
      <c r="J457" s="1" t="str">
        <f>VLOOKUP(C457,REGISTRE!B:G,6,FALSE)</f>
        <v>Huawei</v>
      </c>
      <c r="K457" s="1" t="str">
        <f>INT(LOGS_Rx5[[#This Row],[Duree_Panne_Min]]/60) &amp; " h " &amp; MOD(LOGS_Rx5[[#This Row],[Duree_Panne_Min]],60) &amp; " min " &amp; "0 s"</f>
        <v>1 h 18 min 0 s</v>
      </c>
    </row>
    <row r="458" spans="1:11" x14ac:dyDescent="0.35">
      <c r="A458" s="1" t="s">
        <v>1199</v>
      </c>
      <c r="B458" s="2">
        <v>45224.115277777782</v>
      </c>
      <c r="C458" s="1" t="s">
        <v>1220</v>
      </c>
      <c r="D458">
        <v>45</v>
      </c>
      <c r="E458" s="1" t="s">
        <v>738</v>
      </c>
      <c r="F458" s="1" t="str">
        <f>VLOOKUP(C458,REGISTRE!B:G,2,FALSE)</f>
        <v>Tshopo</v>
      </c>
      <c r="G458" s="1">
        <f>VLOOKUP(C458,REGISTRE!B:G,3,FALSE)</f>
        <v>-11.265995</v>
      </c>
      <c r="H458" s="1">
        <f>VLOOKUP(C458,REGISTRE!B:G,4,FALSE)</f>
        <v>28.935514999999999</v>
      </c>
      <c r="I458" s="1" t="str">
        <f>VLOOKUP(C458,REGISTRE!B:G,5,FALSE)</f>
        <v>4G</v>
      </c>
      <c r="J458" s="1" t="str">
        <f>VLOOKUP(C458,REGISTRE!B:G,6,FALSE)</f>
        <v>Ericsson</v>
      </c>
      <c r="K458" s="1" t="str">
        <f>INT(LOGS_Rx5[[#This Row],[Duree_Panne_Min]]/60) &amp; " h " &amp; MOD(LOGS_Rx5[[#This Row],[Duree_Panne_Min]],60) &amp; " min " &amp; "0 s"</f>
        <v>0 h 45 min 0 s</v>
      </c>
    </row>
    <row r="459" spans="1:11" x14ac:dyDescent="0.35">
      <c r="A459" s="1" t="s">
        <v>1314</v>
      </c>
      <c r="B459" s="2">
        <v>45228.563194444447</v>
      </c>
      <c r="C459" s="1" t="s">
        <v>1220</v>
      </c>
      <c r="D459">
        <v>44</v>
      </c>
      <c r="E459" s="1" t="s">
        <v>735</v>
      </c>
      <c r="F459" s="1" t="str">
        <f>VLOOKUP(C459,REGISTRE!B:G,2,FALSE)</f>
        <v>Tshopo</v>
      </c>
      <c r="G459" s="1">
        <f>VLOOKUP(C459,REGISTRE!B:G,3,FALSE)</f>
        <v>-11.265995</v>
      </c>
      <c r="H459" s="1">
        <f>VLOOKUP(C459,REGISTRE!B:G,4,FALSE)</f>
        <v>28.935514999999999</v>
      </c>
      <c r="I459" s="1" t="str">
        <f>VLOOKUP(C459,REGISTRE!B:G,5,FALSE)</f>
        <v>4G</v>
      </c>
      <c r="J459" s="1" t="str">
        <f>VLOOKUP(C459,REGISTRE!B:G,6,FALSE)</f>
        <v>Ericsson</v>
      </c>
      <c r="K459" s="1" t="str">
        <f>INT(LOGS_Rx5[[#This Row],[Duree_Panne_Min]]/60) &amp; " h " &amp; MOD(LOGS_Rx5[[#This Row],[Duree_Panne_Min]],60) &amp; " min " &amp; "0 s"</f>
        <v>0 h 44 min 0 s</v>
      </c>
    </row>
    <row r="460" spans="1:11" x14ac:dyDescent="0.35">
      <c r="A460" s="1" t="s">
        <v>1225</v>
      </c>
      <c r="B460" s="2">
        <v>45221.559027777781</v>
      </c>
      <c r="C460" s="1" t="s">
        <v>1238</v>
      </c>
      <c r="D460">
        <v>22</v>
      </c>
      <c r="E460" s="1" t="s">
        <v>735</v>
      </c>
      <c r="F460" s="1" t="str">
        <f>VLOOKUP(C460,REGISTRE!B:G,2,FALSE)</f>
        <v>Kwango</v>
      </c>
      <c r="G460" s="1">
        <f>VLOOKUP(C460,REGISTRE!B:G,3,FALSE)</f>
        <v>0.65288900000000005</v>
      </c>
      <c r="H460" s="1">
        <f>VLOOKUP(C460,REGISTRE!B:G,4,FALSE)</f>
        <v>24.243953999999999</v>
      </c>
      <c r="I460" s="1" t="str">
        <f>VLOOKUP(C460,REGISTRE!B:G,5,FALSE)</f>
        <v>5G</v>
      </c>
      <c r="J460" s="1" t="str">
        <f>VLOOKUP(C460,REGISTRE!B:G,6,FALSE)</f>
        <v>Ericsson</v>
      </c>
      <c r="K460" s="1" t="str">
        <f>INT(LOGS_Rx5[[#This Row],[Duree_Panne_Min]]/60) &amp; " h " &amp; MOD(LOGS_Rx5[[#This Row],[Duree_Panne_Min]],60) &amp; " min " &amp; "0 s"</f>
        <v>0 h 22 min 0 s</v>
      </c>
    </row>
    <row r="461" spans="1:11" x14ac:dyDescent="0.35">
      <c r="A461" s="1" t="s">
        <v>905</v>
      </c>
      <c r="B461" s="2">
        <v>45207.149305555547</v>
      </c>
      <c r="C461" s="1" t="s">
        <v>913</v>
      </c>
      <c r="D461">
        <v>101</v>
      </c>
      <c r="E461" s="1" t="s">
        <v>740</v>
      </c>
      <c r="F461" s="1" t="str">
        <f>VLOOKUP(C461,REGISTRE!B:G,2,FALSE)</f>
        <v>Lualaba</v>
      </c>
      <c r="G461" s="1">
        <f>VLOOKUP(C461,REGISTRE!B:G,3,FALSE)</f>
        <v>-10.872631999999999</v>
      </c>
      <c r="H461" s="1">
        <f>VLOOKUP(C461,REGISTRE!B:G,4,FALSE)</f>
        <v>12.773279</v>
      </c>
      <c r="I461" s="1" t="str">
        <f>VLOOKUP(C461,REGISTRE!B:G,5,FALSE)</f>
        <v>3G</v>
      </c>
      <c r="J461" s="1" t="str">
        <f>VLOOKUP(C461,REGISTRE!B:G,6,FALSE)</f>
        <v>ZTE</v>
      </c>
      <c r="K461" s="1" t="str">
        <f>INT(LOGS_Rx5[[#This Row],[Duree_Panne_Min]]/60) &amp; " h " &amp; MOD(LOGS_Rx5[[#This Row],[Duree_Panne_Min]],60) &amp; " min " &amp; "0 s"</f>
        <v>1 h 41 min 0 s</v>
      </c>
    </row>
    <row r="462" spans="1:11" x14ac:dyDescent="0.35">
      <c r="A462" s="1" t="s">
        <v>942</v>
      </c>
      <c r="B462" s="2">
        <v>45209.898611111108</v>
      </c>
      <c r="C462" s="1" t="s">
        <v>913</v>
      </c>
      <c r="D462">
        <v>29</v>
      </c>
      <c r="E462" s="1" t="s">
        <v>738</v>
      </c>
      <c r="F462" s="1" t="str">
        <f>VLOOKUP(C462,REGISTRE!B:G,2,FALSE)</f>
        <v>Lualaba</v>
      </c>
      <c r="G462" s="1">
        <f>VLOOKUP(C462,REGISTRE!B:G,3,FALSE)</f>
        <v>-10.872631999999999</v>
      </c>
      <c r="H462" s="1">
        <f>VLOOKUP(C462,REGISTRE!B:G,4,FALSE)</f>
        <v>12.773279</v>
      </c>
      <c r="I462" s="1" t="str">
        <f>VLOOKUP(C462,REGISTRE!B:G,5,FALSE)</f>
        <v>3G</v>
      </c>
      <c r="J462" s="1" t="str">
        <f>VLOOKUP(C462,REGISTRE!B:G,6,FALSE)</f>
        <v>ZTE</v>
      </c>
      <c r="K462" s="1" t="str">
        <f>INT(LOGS_Rx5[[#This Row],[Duree_Panne_Min]]/60) &amp; " h " &amp; MOD(LOGS_Rx5[[#This Row],[Duree_Panne_Min]],60) &amp; " min " &amp; "0 s"</f>
        <v>0 h 29 min 0 s</v>
      </c>
    </row>
    <row r="463" spans="1:11" x14ac:dyDescent="0.35">
      <c r="A463" s="1" t="s">
        <v>1336</v>
      </c>
      <c r="B463" s="2">
        <v>45208.52847222222</v>
      </c>
      <c r="C463" s="1" t="s">
        <v>913</v>
      </c>
      <c r="D463">
        <v>33</v>
      </c>
      <c r="E463" s="1" t="s">
        <v>738</v>
      </c>
      <c r="F463" s="1" t="str">
        <f>VLOOKUP(C463,REGISTRE!B:G,2,FALSE)</f>
        <v>Lualaba</v>
      </c>
      <c r="G463" s="1">
        <f>VLOOKUP(C463,REGISTRE!B:G,3,FALSE)</f>
        <v>-10.872631999999999</v>
      </c>
      <c r="H463" s="1">
        <f>VLOOKUP(C463,REGISTRE!B:G,4,FALSE)</f>
        <v>12.773279</v>
      </c>
      <c r="I463" s="1" t="str">
        <f>VLOOKUP(C463,REGISTRE!B:G,5,FALSE)</f>
        <v>3G</v>
      </c>
      <c r="J463" s="1" t="str">
        <f>VLOOKUP(C463,REGISTRE!B:G,6,FALSE)</f>
        <v>ZTE</v>
      </c>
      <c r="K463" s="1" t="str">
        <f>INT(LOGS_Rx5[[#This Row],[Duree_Panne_Min]]/60) &amp; " h " &amp; MOD(LOGS_Rx5[[#This Row],[Duree_Panne_Min]],60) &amp; " min " &amp; "0 s"</f>
        <v>0 h 33 min 0 s</v>
      </c>
    </row>
    <row r="464" spans="1:11" x14ac:dyDescent="0.35">
      <c r="A464" s="1" t="s">
        <v>1368</v>
      </c>
      <c r="B464" s="2">
        <v>45230.595138888893</v>
      </c>
      <c r="C464" s="1" t="s">
        <v>1371</v>
      </c>
      <c r="D464">
        <v>14</v>
      </c>
      <c r="E464" s="1" t="s">
        <v>735</v>
      </c>
      <c r="F464" s="1" t="str">
        <f>VLOOKUP(C464,REGISTRE!B:G,2,FALSE)</f>
        <v>Kinshasa</v>
      </c>
      <c r="G464" s="1">
        <f>VLOOKUP(C464,REGISTRE!B:G,3,FALSE)</f>
        <v>-7.1079169999999996</v>
      </c>
      <c r="H464" s="1">
        <f>VLOOKUP(C464,REGISTRE!B:G,4,FALSE)</f>
        <v>13.636272</v>
      </c>
      <c r="I464" s="1" t="str">
        <f>VLOOKUP(C464,REGISTRE!B:G,5,FALSE)</f>
        <v>5G</v>
      </c>
      <c r="J464" s="1" t="str">
        <f>VLOOKUP(C464,REGISTRE!B:G,6,FALSE)</f>
        <v>Nokia</v>
      </c>
      <c r="K464" s="1" t="str">
        <f>INT(LOGS_Rx5[[#This Row],[Duree_Panne_Min]]/60) &amp; " h " &amp; MOD(LOGS_Rx5[[#This Row],[Duree_Panne_Min]],60) &amp; " min " &amp; "0 s"</f>
        <v>0 h 14 min 0 s</v>
      </c>
    </row>
    <row r="465" spans="1:11" x14ac:dyDescent="0.35">
      <c r="A465" s="1" t="s">
        <v>1368</v>
      </c>
      <c r="B465" s="2">
        <v>45227.897916666669</v>
      </c>
      <c r="C465" s="1" t="s">
        <v>1371</v>
      </c>
      <c r="D465">
        <v>61</v>
      </c>
      <c r="E465" s="1" t="s">
        <v>735</v>
      </c>
      <c r="F465" s="1" t="str">
        <f>VLOOKUP(C465,REGISTRE!B:G,2,FALSE)</f>
        <v>Kinshasa</v>
      </c>
      <c r="G465" s="1">
        <f>VLOOKUP(C465,REGISTRE!B:G,3,FALSE)</f>
        <v>-7.1079169999999996</v>
      </c>
      <c r="H465" s="1">
        <f>VLOOKUP(C465,REGISTRE!B:G,4,FALSE)</f>
        <v>13.636272</v>
      </c>
      <c r="I465" s="1" t="str">
        <f>VLOOKUP(C465,REGISTRE!B:G,5,FALSE)</f>
        <v>5G</v>
      </c>
      <c r="J465" s="1" t="str">
        <f>VLOOKUP(C465,REGISTRE!B:G,6,FALSE)</f>
        <v>Nokia</v>
      </c>
      <c r="K465" s="1" t="str">
        <f>INT(LOGS_Rx5[[#This Row],[Duree_Panne_Min]]/60) &amp; " h " &amp; MOD(LOGS_Rx5[[#This Row],[Duree_Panne_Min]],60) &amp; " min " &amp; "0 s"</f>
        <v>1 h 1 min 0 s</v>
      </c>
    </row>
    <row r="466" spans="1:11" x14ac:dyDescent="0.35">
      <c r="A466" s="1" t="s">
        <v>782</v>
      </c>
      <c r="B466" s="2">
        <v>45207.102777777778</v>
      </c>
      <c r="C466" s="1" t="s">
        <v>794</v>
      </c>
      <c r="D466">
        <v>41</v>
      </c>
      <c r="E466" s="1" t="s">
        <v>735</v>
      </c>
      <c r="F466" s="1" t="str">
        <f>VLOOKUP(C466,REGISTRE!B:G,2,FALSE)</f>
        <v>Kwilu</v>
      </c>
      <c r="G466" s="1">
        <f>VLOOKUP(C466,REGISTRE!B:G,3,FALSE)</f>
        <v>-5.9021970000000001</v>
      </c>
      <c r="H466" s="1">
        <f>VLOOKUP(C466,REGISTRE!B:G,4,FALSE)</f>
        <v>20.551169999999999</v>
      </c>
      <c r="I466" s="1" t="str">
        <f>VLOOKUP(C466,REGISTRE!B:G,5,FALSE)</f>
        <v>3G</v>
      </c>
      <c r="J466" s="1" t="str">
        <f>VLOOKUP(C466,REGISTRE!B:G,6,FALSE)</f>
        <v>Huawei</v>
      </c>
      <c r="K466" s="1" t="str">
        <f>INT(LOGS_Rx5[[#This Row],[Duree_Panne_Min]]/60) &amp; " h " &amp; MOD(LOGS_Rx5[[#This Row],[Duree_Panne_Min]],60) &amp; " min " &amp; "0 s"</f>
        <v>0 h 41 min 0 s</v>
      </c>
    </row>
    <row r="467" spans="1:11" x14ac:dyDescent="0.35">
      <c r="A467" s="1" t="s">
        <v>1225</v>
      </c>
      <c r="B467" s="2">
        <v>45230.847222222219</v>
      </c>
      <c r="C467" s="1" t="s">
        <v>794</v>
      </c>
      <c r="D467">
        <v>58</v>
      </c>
      <c r="E467" s="1" t="s">
        <v>740</v>
      </c>
      <c r="F467" s="1" t="str">
        <f>VLOOKUP(C467,REGISTRE!B:G,2,FALSE)</f>
        <v>Kwilu</v>
      </c>
      <c r="G467" s="1">
        <f>VLOOKUP(C467,REGISTRE!B:G,3,FALSE)</f>
        <v>-5.9021970000000001</v>
      </c>
      <c r="H467" s="1">
        <f>VLOOKUP(C467,REGISTRE!B:G,4,FALSE)</f>
        <v>20.551169999999999</v>
      </c>
      <c r="I467" s="1" t="str">
        <f>VLOOKUP(C467,REGISTRE!B:G,5,FALSE)</f>
        <v>3G</v>
      </c>
      <c r="J467" s="1" t="str">
        <f>VLOOKUP(C467,REGISTRE!B:G,6,FALSE)</f>
        <v>Huawei</v>
      </c>
      <c r="K467" s="1" t="str">
        <f>INT(LOGS_Rx5[[#This Row],[Duree_Panne_Min]]/60) &amp; " h " &amp; MOD(LOGS_Rx5[[#This Row],[Duree_Panne_Min]],60) &amp; " min " &amp; "0 s"</f>
        <v>0 h 58 min 0 s</v>
      </c>
    </row>
    <row r="468" spans="1:11" x14ac:dyDescent="0.35">
      <c r="A468" s="1" t="s">
        <v>733</v>
      </c>
      <c r="B468" s="2">
        <v>45226.07708333333</v>
      </c>
      <c r="C468" s="1" t="s">
        <v>775</v>
      </c>
      <c r="D468">
        <v>101</v>
      </c>
      <c r="E468" s="1" t="s">
        <v>735</v>
      </c>
      <c r="F468" s="1" t="str">
        <f>VLOOKUP(C468,REGISTRE!B:G,2,FALSE)</f>
        <v>Sud-Kivu</v>
      </c>
      <c r="G468" s="1">
        <f>VLOOKUP(C468,REGISTRE!B:G,3,FALSE)</f>
        <v>4.2493650000000001</v>
      </c>
      <c r="H468" s="1">
        <f>VLOOKUP(C468,REGISTRE!B:G,4,FALSE)</f>
        <v>28.355039999999999</v>
      </c>
      <c r="I468" s="1" t="str">
        <f>VLOOKUP(C468,REGISTRE!B:G,5,FALSE)</f>
        <v>3G</v>
      </c>
      <c r="J468" s="1" t="str">
        <f>VLOOKUP(C468,REGISTRE!B:G,6,FALSE)</f>
        <v>ZTE</v>
      </c>
      <c r="K468" s="1" t="str">
        <f>INT(LOGS_Rx5[[#This Row],[Duree_Panne_Min]]/60) &amp; " h " &amp; MOD(LOGS_Rx5[[#This Row],[Duree_Panne_Min]],60) &amp; " min " &amp; "0 s"</f>
        <v>1 h 41 min 0 s</v>
      </c>
    </row>
    <row r="469" spans="1:11" x14ac:dyDescent="0.35">
      <c r="A469" s="1" t="s">
        <v>1002</v>
      </c>
      <c r="B469" s="2">
        <v>45221.928472222222</v>
      </c>
      <c r="C469" s="1" t="s">
        <v>775</v>
      </c>
      <c r="D469">
        <v>21</v>
      </c>
      <c r="E469" s="1" t="s">
        <v>735</v>
      </c>
      <c r="F469" s="1" t="str">
        <f>VLOOKUP(C469,REGISTRE!B:G,2,FALSE)</f>
        <v>Sud-Kivu</v>
      </c>
      <c r="G469" s="1">
        <f>VLOOKUP(C469,REGISTRE!B:G,3,FALSE)</f>
        <v>4.2493650000000001</v>
      </c>
      <c r="H469" s="1">
        <f>VLOOKUP(C469,REGISTRE!B:G,4,FALSE)</f>
        <v>28.355039999999999</v>
      </c>
      <c r="I469" s="1" t="str">
        <f>VLOOKUP(C469,REGISTRE!B:G,5,FALSE)</f>
        <v>3G</v>
      </c>
      <c r="J469" s="1" t="str">
        <f>VLOOKUP(C469,REGISTRE!B:G,6,FALSE)</f>
        <v>ZTE</v>
      </c>
      <c r="K469" s="1" t="str">
        <f>INT(LOGS_Rx5[[#This Row],[Duree_Panne_Min]]/60) &amp; " h " &amp; MOD(LOGS_Rx5[[#This Row],[Duree_Panne_Min]],60) &amp; " min " &amp; "0 s"</f>
        <v>0 h 21 min 0 s</v>
      </c>
    </row>
    <row r="470" spans="1:11" x14ac:dyDescent="0.35">
      <c r="A470" s="1" t="s">
        <v>1199</v>
      </c>
      <c r="B470" s="2">
        <v>45219.826388888891</v>
      </c>
      <c r="C470" s="1" t="s">
        <v>775</v>
      </c>
      <c r="D470">
        <v>93</v>
      </c>
      <c r="E470" s="1" t="s">
        <v>740</v>
      </c>
      <c r="F470" s="1" t="str">
        <f>VLOOKUP(C470,REGISTRE!B:G,2,FALSE)</f>
        <v>Sud-Kivu</v>
      </c>
      <c r="G470" s="1">
        <f>VLOOKUP(C470,REGISTRE!B:G,3,FALSE)</f>
        <v>4.2493650000000001</v>
      </c>
      <c r="H470" s="1">
        <f>VLOOKUP(C470,REGISTRE!B:G,4,FALSE)</f>
        <v>28.355039999999999</v>
      </c>
      <c r="I470" s="1" t="str">
        <f>VLOOKUP(C470,REGISTRE!B:G,5,FALSE)</f>
        <v>3G</v>
      </c>
      <c r="J470" s="1" t="str">
        <f>VLOOKUP(C470,REGISTRE!B:G,6,FALSE)</f>
        <v>ZTE</v>
      </c>
      <c r="K470" s="1" t="str">
        <f>INT(LOGS_Rx5[[#This Row],[Duree_Panne_Min]]/60) &amp; " h " &amp; MOD(LOGS_Rx5[[#This Row],[Duree_Panne_Min]],60) &amp; " min " &amp; "0 s"</f>
        <v>1 h 33 min 0 s</v>
      </c>
    </row>
    <row r="471" spans="1:11" x14ac:dyDescent="0.35">
      <c r="A471" s="1" t="s">
        <v>782</v>
      </c>
      <c r="B471" s="2">
        <v>45221.775000000001</v>
      </c>
      <c r="C471" s="1" t="s">
        <v>817</v>
      </c>
      <c r="D471">
        <v>24</v>
      </c>
      <c r="E471" s="1" t="s">
        <v>735</v>
      </c>
      <c r="F471" s="1" t="str">
        <f>VLOOKUP(C471,REGISTRE!B:G,2,FALSE)</f>
        <v>Mongala</v>
      </c>
      <c r="G471" s="1">
        <f>VLOOKUP(C471,REGISTRE!B:G,3,FALSE)</f>
        <v>-11.514188000000001</v>
      </c>
      <c r="H471" s="1">
        <f>VLOOKUP(C471,REGISTRE!B:G,4,FALSE)</f>
        <v>15.971181</v>
      </c>
      <c r="I471" s="1" t="str">
        <f>VLOOKUP(C471,REGISTRE!B:G,5,FALSE)</f>
        <v>5G</v>
      </c>
      <c r="J471" s="1" t="str">
        <f>VLOOKUP(C471,REGISTRE!B:G,6,FALSE)</f>
        <v>Ericsson</v>
      </c>
      <c r="K471" s="1" t="str">
        <f>INT(LOGS_Rx5[[#This Row],[Duree_Panne_Min]]/60) &amp; " h " &amp; MOD(LOGS_Rx5[[#This Row],[Duree_Panne_Min]],60) &amp; " min " &amp; "0 s"</f>
        <v>0 h 24 min 0 s</v>
      </c>
    </row>
    <row r="472" spans="1:11" x14ac:dyDescent="0.35">
      <c r="A472" s="1" t="s">
        <v>1144</v>
      </c>
      <c r="B472" s="2">
        <v>45205.529861111107</v>
      </c>
      <c r="C472" s="1" t="s">
        <v>817</v>
      </c>
      <c r="D472">
        <v>74</v>
      </c>
      <c r="E472" s="1" t="s">
        <v>738</v>
      </c>
      <c r="F472" s="1" t="str">
        <f>VLOOKUP(C472,REGISTRE!B:G,2,FALSE)</f>
        <v>Mongala</v>
      </c>
      <c r="G472" s="1">
        <f>VLOOKUP(C472,REGISTRE!B:G,3,FALSE)</f>
        <v>-11.514188000000001</v>
      </c>
      <c r="H472" s="1">
        <f>VLOOKUP(C472,REGISTRE!B:G,4,FALSE)</f>
        <v>15.971181</v>
      </c>
      <c r="I472" s="1" t="str">
        <f>VLOOKUP(C472,REGISTRE!B:G,5,FALSE)</f>
        <v>5G</v>
      </c>
      <c r="J472" s="1" t="str">
        <f>VLOOKUP(C472,REGISTRE!B:G,6,FALSE)</f>
        <v>Ericsson</v>
      </c>
      <c r="K472" s="1" t="str">
        <f>INT(LOGS_Rx5[[#This Row],[Duree_Panne_Min]]/60) &amp; " h " &amp; MOD(LOGS_Rx5[[#This Row],[Duree_Panne_Min]],60) &amp; " min " &amp; "0 s"</f>
        <v>1 h 14 min 0 s</v>
      </c>
    </row>
    <row r="473" spans="1:11" x14ac:dyDescent="0.35">
      <c r="A473" s="1" t="s">
        <v>1028</v>
      </c>
      <c r="B473" s="2">
        <v>45230.997916666667</v>
      </c>
      <c r="C473" s="1" t="s">
        <v>1033</v>
      </c>
      <c r="D473">
        <v>72</v>
      </c>
      <c r="E473" s="1" t="s">
        <v>740</v>
      </c>
      <c r="F473" s="1" t="str">
        <f>VLOOKUP(C473,REGISTRE!B:G,2,FALSE)</f>
        <v>Ituri</v>
      </c>
      <c r="G473" s="1">
        <f>VLOOKUP(C473,REGISTRE!B:G,3,FALSE)</f>
        <v>-1.9120569999999999</v>
      </c>
      <c r="H473" s="1">
        <f>VLOOKUP(C473,REGISTRE!B:G,4,FALSE)</f>
        <v>15.236072999999999</v>
      </c>
      <c r="I473" s="1" t="str">
        <f>VLOOKUP(C473,REGISTRE!B:G,5,FALSE)</f>
        <v>5G</v>
      </c>
      <c r="J473" s="1" t="str">
        <f>VLOOKUP(C473,REGISTRE!B:G,6,FALSE)</f>
        <v>Huawei</v>
      </c>
      <c r="K473" s="1" t="str">
        <f>INT(LOGS_Rx5[[#This Row],[Duree_Panne_Min]]/60) &amp; " h " &amp; MOD(LOGS_Rx5[[#This Row],[Duree_Panne_Min]],60) &amp; " min " &amp; "0 s"</f>
        <v>1 h 12 min 0 s</v>
      </c>
    </row>
    <row r="474" spans="1:11" x14ac:dyDescent="0.35">
      <c r="A474" s="1" t="s">
        <v>733</v>
      </c>
      <c r="B474" s="2">
        <v>45212.140277777777</v>
      </c>
      <c r="C474" s="1" t="s">
        <v>754</v>
      </c>
      <c r="D474">
        <v>19</v>
      </c>
      <c r="E474" s="1" t="s">
        <v>738</v>
      </c>
      <c r="F474" s="1" t="str">
        <f>VLOOKUP(C474,REGISTRE!B:G,2,FALSE)</f>
        <v>Tanganyika</v>
      </c>
      <c r="G474" s="1">
        <f>VLOOKUP(C474,REGISTRE!B:G,3,FALSE)</f>
        <v>-9.4708620000000003</v>
      </c>
      <c r="H474" s="1">
        <f>VLOOKUP(C474,REGISTRE!B:G,4,FALSE)</f>
        <v>29.234387999999999</v>
      </c>
      <c r="I474" s="1" t="str">
        <f>VLOOKUP(C474,REGISTRE!B:G,5,FALSE)</f>
        <v>3G</v>
      </c>
      <c r="J474" s="1" t="str">
        <f>VLOOKUP(C474,REGISTRE!B:G,6,FALSE)</f>
        <v>ZTE</v>
      </c>
      <c r="K474" s="1" t="str">
        <f>INT(LOGS_Rx5[[#This Row],[Duree_Panne_Min]]/60) &amp; " h " &amp; MOD(LOGS_Rx5[[#This Row],[Duree_Panne_Min]],60) &amp; " min " &amp; "0 s"</f>
        <v>0 h 19 min 0 s</v>
      </c>
    </row>
    <row r="475" spans="1:11" x14ac:dyDescent="0.35">
      <c r="A475" s="1" t="s">
        <v>1002</v>
      </c>
      <c r="B475" s="2">
        <v>45204.986111111109</v>
      </c>
      <c r="C475" s="1" t="s">
        <v>1015</v>
      </c>
      <c r="D475">
        <v>76</v>
      </c>
      <c r="E475" s="1" t="s">
        <v>738</v>
      </c>
      <c r="F475" s="1" t="str">
        <f>VLOOKUP(C475,REGISTRE!B:G,2,FALSE)</f>
        <v>Haut-Uele</v>
      </c>
      <c r="G475" s="1">
        <f>VLOOKUP(C475,REGISTRE!B:G,3,FALSE)</f>
        <v>-4.869434</v>
      </c>
      <c r="H475" s="1">
        <f>VLOOKUP(C475,REGISTRE!B:G,4,FALSE)</f>
        <v>22.326522000000001</v>
      </c>
      <c r="I475" s="1" t="str">
        <f>VLOOKUP(C475,REGISTRE!B:G,5,FALSE)</f>
        <v>5G</v>
      </c>
      <c r="J475" s="1" t="str">
        <f>VLOOKUP(C475,REGISTRE!B:G,6,FALSE)</f>
        <v>Ericsson</v>
      </c>
      <c r="K475" s="1" t="str">
        <f>INT(LOGS_Rx5[[#This Row],[Duree_Panne_Min]]/60) &amp; " h " &amp; MOD(LOGS_Rx5[[#This Row],[Duree_Panne_Min]],60) &amp; " min " &amp; "0 s"</f>
        <v>1 h 16 min 0 s</v>
      </c>
    </row>
    <row r="476" spans="1:11" x14ac:dyDescent="0.35">
      <c r="A476" s="1" t="s">
        <v>1368</v>
      </c>
      <c r="B476" s="2">
        <v>45210.689583333333</v>
      </c>
      <c r="C476" s="1" t="s">
        <v>1015</v>
      </c>
      <c r="D476">
        <v>16</v>
      </c>
      <c r="E476" s="1" t="s">
        <v>735</v>
      </c>
      <c r="F476" s="1" t="str">
        <f>VLOOKUP(C476,REGISTRE!B:G,2,FALSE)</f>
        <v>Haut-Uele</v>
      </c>
      <c r="G476" s="1">
        <f>VLOOKUP(C476,REGISTRE!B:G,3,FALSE)</f>
        <v>-4.869434</v>
      </c>
      <c r="H476" s="1">
        <f>VLOOKUP(C476,REGISTRE!B:G,4,FALSE)</f>
        <v>22.326522000000001</v>
      </c>
      <c r="I476" s="1" t="str">
        <f>VLOOKUP(C476,REGISTRE!B:G,5,FALSE)</f>
        <v>5G</v>
      </c>
      <c r="J476" s="1" t="str">
        <f>VLOOKUP(C476,REGISTRE!B:G,6,FALSE)</f>
        <v>Ericsson</v>
      </c>
      <c r="K476" s="1" t="str">
        <f>INT(LOGS_Rx5[[#This Row],[Duree_Panne_Min]]/60) &amp; " h " &amp; MOD(LOGS_Rx5[[#This Row],[Duree_Panne_Min]],60) &amp; " min " &amp; "0 s"</f>
        <v>0 h 16 min 0 s</v>
      </c>
    </row>
    <row r="477" spans="1:11" x14ac:dyDescent="0.35">
      <c r="A477" s="1" t="s">
        <v>1171</v>
      </c>
      <c r="B477" s="2">
        <v>45210.366666666669</v>
      </c>
      <c r="C477" s="1" t="s">
        <v>1198</v>
      </c>
      <c r="D477">
        <v>67</v>
      </c>
      <c r="E477" s="1" t="s">
        <v>738</v>
      </c>
      <c r="F477" s="1" t="str">
        <f>VLOOKUP(C477,REGISTRE!B:G,2,FALSE)</f>
        <v>Lualaba</v>
      </c>
      <c r="G477" s="1">
        <f>VLOOKUP(C477,REGISTRE!B:G,3,FALSE)</f>
        <v>-8.0301989999999996</v>
      </c>
      <c r="H477" s="1">
        <f>VLOOKUP(C477,REGISTRE!B:G,4,FALSE)</f>
        <v>24.122495000000001</v>
      </c>
      <c r="I477" s="1" t="str">
        <f>VLOOKUP(C477,REGISTRE!B:G,5,FALSE)</f>
        <v>5G</v>
      </c>
      <c r="J477" s="1" t="str">
        <f>VLOOKUP(C477,REGISTRE!B:G,6,FALSE)</f>
        <v>ZTE</v>
      </c>
      <c r="K477" s="1" t="str">
        <f>INT(LOGS_Rx5[[#This Row],[Duree_Panne_Min]]/60) &amp; " h " &amp; MOD(LOGS_Rx5[[#This Row],[Duree_Panne_Min]],60) &amp; " min " &amp; "0 s"</f>
        <v>1 h 7 min 0 s</v>
      </c>
    </row>
    <row r="478" spans="1:11" x14ac:dyDescent="0.35">
      <c r="A478" s="1" t="s">
        <v>1199</v>
      </c>
      <c r="B478" s="2">
        <v>45228.747916666667</v>
      </c>
      <c r="C478" s="1" t="s">
        <v>1198</v>
      </c>
      <c r="D478">
        <v>27</v>
      </c>
      <c r="E478" s="1" t="s">
        <v>735</v>
      </c>
      <c r="F478" s="1" t="str">
        <f>VLOOKUP(C478,REGISTRE!B:G,2,FALSE)</f>
        <v>Lualaba</v>
      </c>
      <c r="G478" s="1">
        <f>VLOOKUP(C478,REGISTRE!B:G,3,FALSE)</f>
        <v>-8.0301989999999996</v>
      </c>
      <c r="H478" s="1">
        <f>VLOOKUP(C478,REGISTRE!B:G,4,FALSE)</f>
        <v>24.122495000000001</v>
      </c>
      <c r="I478" s="1" t="str">
        <f>VLOOKUP(C478,REGISTRE!B:G,5,FALSE)</f>
        <v>5G</v>
      </c>
      <c r="J478" s="1" t="str">
        <f>VLOOKUP(C478,REGISTRE!B:G,6,FALSE)</f>
        <v>ZTE</v>
      </c>
      <c r="K478" s="1" t="str">
        <f>INT(LOGS_Rx5[[#This Row],[Duree_Panne_Min]]/60) &amp; " h " &amp; MOD(LOGS_Rx5[[#This Row],[Duree_Panne_Min]],60) &amp; " min " &amp; "0 s"</f>
        <v>0 h 27 min 0 s</v>
      </c>
    </row>
    <row r="479" spans="1:11" x14ac:dyDescent="0.35">
      <c r="A479" s="1" t="s">
        <v>1247</v>
      </c>
      <c r="B479" s="2">
        <v>45223.611111111109</v>
      </c>
      <c r="C479" s="1" t="s">
        <v>1198</v>
      </c>
      <c r="D479">
        <v>88</v>
      </c>
      <c r="E479" s="1" t="s">
        <v>735</v>
      </c>
      <c r="F479" s="1" t="str">
        <f>VLOOKUP(C479,REGISTRE!B:G,2,FALSE)</f>
        <v>Lualaba</v>
      </c>
      <c r="G479" s="1">
        <f>VLOOKUP(C479,REGISTRE!B:G,3,FALSE)</f>
        <v>-8.0301989999999996</v>
      </c>
      <c r="H479" s="1">
        <f>VLOOKUP(C479,REGISTRE!B:G,4,FALSE)</f>
        <v>24.122495000000001</v>
      </c>
      <c r="I479" s="1" t="str">
        <f>VLOOKUP(C479,REGISTRE!B:G,5,FALSE)</f>
        <v>5G</v>
      </c>
      <c r="J479" s="1" t="str">
        <f>VLOOKUP(C479,REGISTRE!B:G,6,FALSE)</f>
        <v>ZTE</v>
      </c>
      <c r="K479" s="1" t="str">
        <f>INT(LOGS_Rx5[[#This Row],[Duree_Panne_Min]]/60) &amp; " h " &amp; MOD(LOGS_Rx5[[#This Row],[Duree_Panne_Min]],60) &amp; " min " &amp; "0 s"</f>
        <v>1 h 28 min 0 s</v>
      </c>
    </row>
    <row r="480" spans="1:11" x14ac:dyDescent="0.35">
      <c r="A480" s="1" t="s">
        <v>1063</v>
      </c>
      <c r="B480" s="2">
        <v>45222.584722222222</v>
      </c>
      <c r="C480" s="1" t="s">
        <v>1085</v>
      </c>
      <c r="D480">
        <v>15</v>
      </c>
      <c r="E480" s="1" t="s">
        <v>740</v>
      </c>
      <c r="F480" s="1" t="str">
        <f>VLOOKUP(C480,REGISTRE!B:G,2,FALSE)</f>
        <v>Equateur</v>
      </c>
      <c r="G480" s="1">
        <f>VLOOKUP(C480,REGISTRE!B:G,3,FALSE)</f>
        <v>-9.1215879999999991</v>
      </c>
      <c r="H480" s="1">
        <f>VLOOKUP(C480,REGISTRE!B:G,4,FALSE)</f>
        <v>16.457916999999998</v>
      </c>
      <c r="I480" s="1" t="str">
        <f>VLOOKUP(C480,REGISTRE!B:G,5,FALSE)</f>
        <v>4G</v>
      </c>
      <c r="J480" s="1" t="str">
        <f>VLOOKUP(C480,REGISTRE!B:G,6,FALSE)</f>
        <v>Nokia</v>
      </c>
      <c r="K480" s="1" t="str">
        <f>INT(LOGS_Rx5[[#This Row],[Duree_Panne_Min]]/60) &amp; " h " &amp; MOD(LOGS_Rx5[[#This Row],[Duree_Panne_Min]],60) &amp; " min " &amp; "0 s"</f>
        <v>0 h 15 min 0 s</v>
      </c>
    </row>
    <row r="481" spans="1:11" x14ac:dyDescent="0.35">
      <c r="A481" s="1" t="s">
        <v>1028</v>
      </c>
      <c r="B481" s="2">
        <v>45230.633333333331</v>
      </c>
      <c r="C481" s="1" t="s">
        <v>1059</v>
      </c>
      <c r="D481">
        <v>34</v>
      </c>
      <c r="E481" s="1" t="s">
        <v>735</v>
      </c>
      <c r="F481" s="1" t="str">
        <f>VLOOKUP(C481,REGISTRE!B:G,2,FALSE)</f>
        <v>Kasai-Oriental</v>
      </c>
      <c r="G481" s="1">
        <f>VLOOKUP(C481,REGISTRE!B:G,3,FALSE)</f>
        <v>2.486888</v>
      </c>
      <c r="H481" s="1">
        <f>VLOOKUP(C481,REGISTRE!B:G,4,FALSE)</f>
        <v>23.798074</v>
      </c>
      <c r="I481" s="1" t="str">
        <f>VLOOKUP(C481,REGISTRE!B:G,5,FALSE)</f>
        <v>5G</v>
      </c>
      <c r="J481" s="1" t="str">
        <f>VLOOKUP(C481,REGISTRE!B:G,6,FALSE)</f>
        <v>ZTE</v>
      </c>
      <c r="K481" s="1" t="str">
        <f>INT(LOGS_Rx5[[#This Row],[Duree_Panne_Min]]/60) &amp; " h " &amp; MOD(LOGS_Rx5[[#This Row],[Duree_Panne_Min]],60) &amp; " min " &amp; "0 s"</f>
        <v>0 h 34 min 0 s</v>
      </c>
    </row>
    <row r="482" spans="1:11" x14ac:dyDescent="0.35">
      <c r="A482" s="1" t="s">
        <v>1414</v>
      </c>
      <c r="B482" s="2">
        <v>45226.115972222222</v>
      </c>
      <c r="C482" s="1" t="s">
        <v>1059</v>
      </c>
      <c r="D482">
        <v>5</v>
      </c>
      <c r="E482" s="1" t="s">
        <v>740</v>
      </c>
      <c r="F482" s="1" t="str">
        <f>VLOOKUP(C482,REGISTRE!B:G,2,FALSE)</f>
        <v>Kasai-Oriental</v>
      </c>
      <c r="G482" s="1">
        <f>VLOOKUP(C482,REGISTRE!B:G,3,FALSE)</f>
        <v>2.486888</v>
      </c>
      <c r="H482" s="1">
        <f>VLOOKUP(C482,REGISTRE!B:G,4,FALSE)</f>
        <v>23.798074</v>
      </c>
      <c r="I482" s="1" t="str">
        <f>VLOOKUP(C482,REGISTRE!B:G,5,FALSE)</f>
        <v>5G</v>
      </c>
      <c r="J482" s="1" t="str">
        <f>VLOOKUP(C482,REGISTRE!B:G,6,FALSE)</f>
        <v>ZTE</v>
      </c>
      <c r="K482" s="1" t="str">
        <f>INT(LOGS_Rx5[[#This Row],[Duree_Panne_Min]]/60) &amp; " h " &amp; MOD(LOGS_Rx5[[#This Row],[Duree_Panne_Min]],60) &amp; " min " &amp; "0 s"</f>
        <v>0 h 5 min 0 s</v>
      </c>
    </row>
    <row r="483" spans="1:11" x14ac:dyDescent="0.35">
      <c r="A483" s="1" t="s">
        <v>1314</v>
      </c>
      <c r="B483" s="2">
        <v>45213.210416666669</v>
      </c>
      <c r="C483" s="1" t="s">
        <v>1331</v>
      </c>
      <c r="D483">
        <v>28</v>
      </c>
      <c r="E483" s="1" t="s">
        <v>740</v>
      </c>
      <c r="F483" s="1" t="str">
        <f>VLOOKUP(C483,REGISTRE!B:G,2,FALSE)</f>
        <v>Haut-Lomami</v>
      </c>
      <c r="G483" s="1">
        <f>VLOOKUP(C483,REGISTRE!B:G,3,FALSE)</f>
        <v>-3.1608390000000002</v>
      </c>
      <c r="H483" s="1">
        <f>VLOOKUP(C483,REGISTRE!B:G,4,FALSE)</f>
        <v>13.244503999999999</v>
      </c>
      <c r="I483" s="1" t="str">
        <f>VLOOKUP(C483,REGISTRE!B:G,5,FALSE)</f>
        <v>3G</v>
      </c>
      <c r="J483" s="1" t="str">
        <f>VLOOKUP(C483,REGISTRE!B:G,6,FALSE)</f>
        <v>Huawei</v>
      </c>
      <c r="K483" s="1" t="str">
        <f>INT(LOGS_Rx5[[#This Row],[Duree_Panne_Min]]/60) &amp; " h " &amp; MOD(LOGS_Rx5[[#This Row],[Duree_Panne_Min]],60) &amp; " min " &amp; "0 s"</f>
        <v>0 h 28 min 0 s</v>
      </c>
    </row>
    <row r="484" spans="1:11" x14ac:dyDescent="0.35">
      <c r="A484" s="1" t="s">
        <v>1144</v>
      </c>
      <c r="B484" s="2">
        <v>45203.213888888888</v>
      </c>
      <c r="C484" s="1" t="s">
        <v>1146</v>
      </c>
      <c r="D484">
        <v>5</v>
      </c>
      <c r="E484" s="1" t="s">
        <v>735</v>
      </c>
      <c r="F484" s="1" t="str">
        <f>VLOOKUP(C484,REGISTRE!B:G,2,FALSE)</f>
        <v>Nord-Kivu</v>
      </c>
      <c r="G484" s="1">
        <f>VLOOKUP(C484,REGISTRE!B:G,3,FALSE)</f>
        <v>-6.5332999999999997</v>
      </c>
      <c r="H484" s="1">
        <f>VLOOKUP(C484,REGISTRE!B:G,4,FALSE)</f>
        <v>20.098018</v>
      </c>
      <c r="I484" s="1" t="str">
        <f>VLOOKUP(C484,REGISTRE!B:G,5,FALSE)</f>
        <v>4G</v>
      </c>
      <c r="J484" s="1" t="str">
        <f>VLOOKUP(C484,REGISTRE!B:G,6,FALSE)</f>
        <v>Huawei</v>
      </c>
      <c r="K484" s="1" t="str">
        <f>INT(LOGS_Rx5[[#This Row],[Duree_Panne_Min]]/60) &amp; " h " &amp; MOD(LOGS_Rx5[[#This Row],[Duree_Panne_Min]],60) &amp; " min " &amp; "0 s"</f>
        <v>0 h 5 min 0 s</v>
      </c>
    </row>
    <row r="485" spans="1:11" x14ac:dyDescent="0.35">
      <c r="A485" s="1" t="s">
        <v>1247</v>
      </c>
      <c r="B485" s="2">
        <v>45224.195138888892</v>
      </c>
      <c r="C485" s="1" t="s">
        <v>1266</v>
      </c>
      <c r="D485">
        <v>81</v>
      </c>
      <c r="E485" s="1" t="s">
        <v>738</v>
      </c>
      <c r="F485" s="1" t="str">
        <f>VLOOKUP(C485,REGISTRE!B:G,2,FALSE)</f>
        <v>Bas-Uele</v>
      </c>
      <c r="G485" s="1">
        <f>VLOOKUP(C485,REGISTRE!B:G,3,FALSE)</f>
        <v>-1.500685</v>
      </c>
      <c r="H485" s="1">
        <f>VLOOKUP(C485,REGISTRE!B:G,4,FALSE)</f>
        <v>26.563376000000002</v>
      </c>
      <c r="I485" s="1" t="str">
        <f>VLOOKUP(C485,REGISTRE!B:G,5,FALSE)</f>
        <v>5G</v>
      </c>
      <c r="J485" s="1" t="str">
        <f>VLOOKUP(C485,REGISTRE!B:G,6,FALSE)</f>
        <v>Nokia</v>
      </c>
      <c r="K485" s="1" t="str">
        <f>INT(LOGS_Rx5[[#This Row],[Duree_Panne_Min]]/60) &amp; " h " &amp; MOD(LOGS_Rx5[[#This Row],[Duree_Panne_Min]],60) &amp; " min " &amp; "0 s"</f>
        <v>1 h 21 min 0 s</v>
      </c>
    </row>
    <row r="486" spans="1:11" x14ac:dyDescent="0.35">
      <c r="A486" s="1" t="s">
        <v>826</v>
      </c>
      <c r="B486" s="2">
        <v>45217.175000000003</v>
      </c>
      <c r="C486" s="1" t="s">
        <v>846</v>
      </c>
      <c r="D486">
        <v>18</v>
      </c>
      <c r="E486" s="1" t="s">
        <v>740</v>
      </c>
      <c r="F486" s="1" t="str">
        <f>VLOOKUP(C486,REGISTRE!B:G,2,FALSE)</f>
        <v>Sud-Kivu</v>
      </c>
      <c r="G486" s="1">
        <f>VLOOKUP(C486,REGISTRE!B:G,3,FALSE)</f>
        <v>-9.4702129999999993</v>
      </c>
      <c r="H486" s="1">
        <f>VLOOKUP(C486,REGISTRE!B:G,4,FALSE)</f>
        <v>12.826158</v>
      </c>
      <c r="I486" s="1" t="str">
        <f>VLOOKUP(C486,REGISTRE!B:G,5,FALSE)</f>
        <v>3G</v>
      </c>
      <c r="J486" s="1" t="str">
        <f>VLOOKUP(C486,REGISTRE!B:G,6,FALSE)</f>
        <v>Ericsson</v>
      </c>
      <c r="K486" s="1" t="str">
        <f>INT(LOGS_Rx5[[#This Row],[Duree_Panne_Min]]/60) &amp; " h " &amp; MOD(LOGS_Rx5[[#This Row],[Duree_Panne_Min]],60) &amp; " min " &amp; "0 s"</f>
        <v>0 h 18 min 0 s</v>
      </c>
    </row>
    <row r="487" spans="1:11" x14ac:dyDescent="0.35">
      <c r="A487" s="1" t="s">
        <v>1225</v>
      </c>
      <c r="B487" s="2">
        <v>45203.224305555559</v>
      </c>
      <c r="C487" s="1" t="s">
        <v>846</v>
      </c>
      <c r="D487">
        <v>102</v>
      </c>
      <c r="E487" s="1" t="s">
        <v>740</v>
      </c>
      <c r="F487" s="1" t="str">
        <f>VLOOKUP(C487,REGISTRE!B:G,2,FALSE)</f>
        <v>Sud-Kivu</v>
      </c>
      <c r="G487" s="1">
        <f>VLOOKUP(C487,REGISTRE!B:G,3,FALSE)</f>
        <v>-9.4702129999999993</v>
      </c>
      <c r="H487" s="1">
        <f>VLOOKUP(C487,REGISTRE!B:G,4,FALSE)</f>
        <v>12.826158</v>
      </c>
      <c r="I487" s="1" t="str">
        <f>VLOOKUP(C487,REGISTRE!B:G,5,FALSE)</f>
        <v>3G</v>
      </c>
      <c r="J487" s="1" t="str">
        <f>VLOOKUP(C487,REGISTRE!B:G,6,FALSE)</f>
        <v>Ericsson</v>
      </c>
      <c r="K487" s="1" t="str">
        <f>INT(LOGS_Rx5[[#This Row],[Duree_Panne_Min]]/60) &amp; " h " &amp; MOD(LOGS_Rx5[[#This Row],[Duree_Panne_Min]],60) &amp; " min " &amp; "0 s"</f>
        <v>1 h 42 min 0 s</v>
      </c>
    </row>
    <row r="488" spans="1:11" x14ac:dyDescent="0.35">
      <c r="A488" s="1" t="s">
        <v>1336</v>
      </c>
      <c r="B488" s="2">
        <v>45218.007638888892</v>
      </c>
      <c r="C488" s="1" t="s">
        <v>846</v>
      </c>
      <c r="D488">
        <v>44</v>
      </c>
      <c r="E488" s="1" t="s">
        <v>738</v>
      </c>
      <c r="F488" s="1" t="str">
        <f>VLOOKUP(C488,REGISTRE!B:G,2,FALSE)</f>
        <v>Sud-Kivu</v>
      </c>
      <c r="G488" s="1">
        <f>VLOOKUP(C488,REGISTRE!B:G,3,FALSE)</f>
        <v>-9.4702129999999993</v>
      </c>
      <c r="H488" s="1">
        <f>VLOOKUP(C488,REGISTRE!B:G,4,FALSE)</f>
        <v>12.826158</v>
      </c>
      <c r="I488" s="1" t="str">
        <f>VLOOKUP(C488,REGISTRE!B:G,5,FALSE)</f>
        <v>3G</v>
      </c>
      <c r="J488" s="1" t="str">
        <f>VLOOKUP(C488,REGISTRE!B:G,6,FALSE)</f>
        <v>Ericsson</v>
      </c>
      <c r="K488" s="1" t="str">
        <f>INT(LOGS_Rx5[[#This Row],[Duree_Panne_Min]]/60) &amp; " h " &amp; MOD(LOGS_Rx5[[#This Row],[Duree_Panne_Min]],60) &amp; " min " &amp; "0 s"</f>
        <v>0 h 44 min 0 s</v>
      </c>
    </row>
    <row r="489" spans="1:11" x14ac:dyDescent="0.35">
      <c r="A489" s="1" t="s">
        <v>1028</v>
      </c>
      <c r="B489" s="2">
        <v>45204.47152777778</v>
      </c>
      <c r="C489" s="1" t="s">
        <v>1048</v>
      </c>
      <c r="D489">
        <v>10</v>
      </c>
      <c r="E489" s="1" t="s">
        <v>735</v>
      </c>
      <c r="F489" s="1" t="str">
        <f>VLOOKUP(C489,REGISTRE!B:G,2,FALSE)</f>
        <v>Nord-Kivu</v>
      </c>
      <c r="G489" s="1">
        <f>VLOOKUP(C489,REGISTRE!B:G,3,FALSE)</f>
        <v>4.9455159999999996</v>
      </c>
      <c r="H489" s="1">
        <f>VLOOKUP(C489,REGISTRE!B:G,4,FALSE)</f>
        <v>23.647746000000001</v>
      </c>
      <c r="I489" s="1" t="str">
        <f>VLOOKUP(C489,REGISTRE!B:G,5,FALSE)</f>
        <v>5G</v>
      </c>
      <c r="J489" s="1" t="str">
        <f>VLOOKUP(C489,REGISTRE!B:G,6,FALSE)</f>
        <v>Huawei</v>
      </c>
      <c r="K489" s="1" t="str">
        <f>INT(LOGS_Rx5[[#This Row],[Duree_Panne_Min]]/60) &amp; " h " &amp; MOD(LOGS_Rx5[[#This Row],[Duree_Panne_Min]],60) &amp; " min " &amp; "0 s"</f>
        <v>0 h 10 min 0 s</v>
      </c>
    </row>
    <row r="490" spans="1:11" x14ac:dyDescent="0.35">
      <c r="A490" s="1" t="s">
        <v>733</v>
      </c>
      <c r="B490" s="2">
        <v>45210.051388888889</v>
      </c>
      <c r="C490" s="1" t="s">
        <v>774</v>
      </c>
      <c r="D490">
        <v>73</v>
      </c>
      <c r="E490" s="1" t="s">
        <v>735</v>
      </c>
      <c r="F490" s="1" t="str">
        <f>VLOOKUP(C490,REGISTRE!B:G,2,FALSE)</f>
        <v>Tanganyika</v>
      </c>
      <c r="G490" s="1">
        <f>VLOOKUP(C490,REGISTRE!B:G,3,FALSE)</f>
        <v>-10.776204</v>
      </c>
      <c r="H490" s="1">
        <f>VLOOKUP(C490,REGISTRE!B:G,4,FALSE)</f>
        <v>24.672934000000001</v>
      </c>
      <c r="I490" s="1" t="str">
        <f>VLOOKUP(C490,REGISTRE!B:G,5,FALSE)</f>
        <v>4G</v>
      </c>
      <c r="J490" s="1" t="str">
        <f>VLOOKUP(C490,REGISTRE!B:G,6,FALSE)</f>
        <v>Ericsson</v>
      </c>
      <c r="K490" s="1" t="str">
        <f>INT(LOGS_Rx5[[#This Row],[Duree_Panne_Min]]/60) &amp; " h " &amp; MOD(LOGS_Rx5[[#This Row],[Duree_Panne_Min]],60) &amp; " min " &amp; "0 s"</f>
        <v>1 h 13 min 0 s</v>
      </c>
    </row>
    <row r="491" spans="1:11" x14ac:dyDescent="0.35">
      <c r="A491" s="1" t="s">
        <v>733</v>
      </c>
      <c r="B491" s="2">
        <v>45228.853472222225</v>
      </c>
      <c r="C491" s="1" t="s">
        <v>774</v>
      </c>
      <c r="D491">
        <v>42</v>
      </c>
      <c r="E491" s="1" t="s">
        <v>735</v>
      </c>
      <c r="F491" s="1" t="str">
        <f>VLOOKUP(C491,REGISTRE!B:G,2,FALSE)</f>
        <v>Tanganyika</v>
      </c>
      <c r="G491" s="1">
        <f>VLOOKUP(C491,REGISTRE!B:G,3,FALSE)</f>
        <v>-10.776204</v>
      </c>
      <c r="H491" s="1">
        <f>VLOOKUP(C491,REGISTRE!B:G,4,FALSE)</f>
        <v>24.672934000000001</v>
      </c>
      <c r="I491" s="1" t="str">
        <f>VLOOKUP(C491,REGISTRE!B:G,5,FALSE)</f>
        <v>4G</v>
      </c>
      <c r="J491" s="1" t="str">
        <f>VLOOKUP(C491,REGISTRE!B:G,6,FALSE)</f>
        <v>Ericsson</v>
      </c>
      <c r="K491" s="1" t="str">
        <f>INT(LOGS_Rx5[[#This Row],[Duree_Panne_Min]]/60) &amp; " h " &amp; MOD(LOGS_Rx5[[#This Row],[Duree_Panne_Min]],60) &amp; " min " &amp; "0 s"</f>
        <v>0 h 42 min 0 s</v>
      </c>
    </row>
    <row r="492" spans="1:11" x14ac:dyDescent="0.35">
      <c r="A492" s="1" t="s">
        <v>1120</v>
      </c>
      <c r="B492" s="2">
        <v>45214.43472222222</v>
      </c>
      <c r="C492" s="1" t="s">
        <v>774</v>
      </c>
      <c r="D492">
        <v>61</v>
      </c>
      <c r="E492" s="1" t="s">
        <v>740</v>
      </c>
      <c r="F492" s="1" t="str">
        <f>VLOOKUP(C492,REGISTRE!B:G,2,FALSE)</f>
        <v>Tanganyika</v>
      </c>
      <c r="G492" s="1">
        <f>VLOOKUP(C492,REGISTRE!B:G,3,FALSE)</f>
        <v>-10.776204</v>
      </c>
      <c r="H492" s="1">
        <f>VLOOKUP(C492,REGISTRE!B:G,4,FALSE)</f>
        <v>24.672934000000001</v>
      </c>
      <c r="I492" s="1" t="str">
        <f>VLOOKUP(C492,REGISTRE!B:G,5,FALSE)</f>
        <v>4G</v>
      </c>
      <c r="J492" s="1" t="str">
        <f>VLOOKUP(C492,REGISTRE!B:G,6,FALSE)</f>
        <v>Ericsson</v>
      </c>
      <c r="K492" s="1" t="str">
        <f>INT(LOGS_Rx5[[#This Row],[Duree_Panne_Min]]/60) &amp; " h " &amp; MOD(LOGS_Rx5[[#This Row],[Duree_Panne_Min]],60) &amp; " min " &amp; "0 s"</f>
        <v>1 h 1 min 0 s</v>
      </c>
    </row>
    <row r="493" spans="1:11" x14ac:dyDescent="0.35">
      <c r="A493" s="1" t="s">
        <v>864</v>
      </c>
      <c r="B493" s="2">
        <v>45221.910416666673</v>
      </c>
      <c r="C493" s="1" t="s">
        <v>866</v>
      </c>
      <c r="D493">
        <v>60</v>
      </c>
      <c r="E493" s="1" t="s">
        <v>738</v>
      </c>
      <c r="F493" s="1" t="str">
        <f>VLOOKUP(C493,REGISTRE!B:G,2,FALSE)</f>
        <v>Kasai-Central</v>
      </c>
      <c r="G493" s="1">
        <f>VLOOKUP(C493,REGISTRE!B:G,3,FALSE)</f>
        <v>-10.414493</v>
      </c>
      <c r="H493" s="1">
        <f>VLOOKUP(C493,REGISTRE!B:G,4,FALSE)</f>
        <v>12.333356999999999</v>
      </c>
      <c r="I493" s="1" t="str">
        <f>VLOOKUP(C493,REGISTRE!B:G,5,FALSE)</f>
        <v>3G</v>
      </c>
      <c r="J493" s="1" t="str">
        <f>VLOOKUP(C493,REGISTRE!B:G,6,FALSE)</f>
        <v>Ericsson</v>
      </c>
      <c r="K493" s="1" t="str">
        <f>INT(LOGS_Rx5[[#This Row],[Duree_Panne_Min]]/60) &amp; " h " &amp; MOD(LOGS_Rx5[[#This Row],[Duree_Panne_Min]],60) &amp; " min " &amp; "0 s"</f>
        <v>1 h 0 min 0 s</v>
      </c>
    </row>
    <row r="494" spans="1:11" x14ac:dyDescent="0.35">
      <c r="A494" s="1" t="s">
        <v>864</v>
      </c>
      <c r="B494" s="2">
        <v>45204.81527777778</v>
      </c>
      <c r="C494" s="1" t="s">
        <v>866</v>
      </c>
      <c r="D494">
        <v>71</v>
      </c>
      <c r="E494" s="1" t="s">
        <v>740</v>
      </c>
      <c r="F494" s="1" t="str">
        <f>VLOOKUP(C494,REGISTRE!B:G,2,FALSE)</f>
        <v>Kasai-Central</v>
      </c>
      <c r="G494" s="1">
        <f>VLOOKUP(C494,REGISTRE!B:G,3,FALSE)</f>
        <v>-10.414493</v>
      </c>
      <c r="H494" s="1">
        <f>VLOOKUP(C494,REGISTRE!B:G,4,FALSE)</f>
        <v>12.333356999999999</v>
      </c>
      <c r="I494" s="1" t="str">
        <f>VLOOKUP(C494,REGISTRE!B:G,5,FALSE)</f>
        <v>3G</v>
      </c>
      <c r="J494" s="1" t="str">
        <f>VLOOKUP(C494,REGISTRE!B:G,6,FALSE)</f>
        <v>Ericsson</v>
      </c>
      <c r="K494" s="1" t="str">
        <f>INT(LOGS_Rx5[[#This Row],[Duree_Panne_Min]]/60) &amp; " h " &amp; MOD(LOGS_Rx5[[#This Row],[Duree_Panne_Min]],60) &amp; " min " &amp; "0 s"</f>
        <v>1 h 11 min 0 s</v>
      </c>
    </row>
    <row r="495" spans="1:11" x14ac:dyDescent="0.35">
      <c r="A495" s="1" t="s">
        <v>905</v>
      </c>
      <c r="B495" s="2">
        <v>45209.824305555558</v>
      </c>
      <c r="C495" s="1" t="s">
        <v>866</v>
      </c>
      <c r="D495">
        <v>93</v>
      </c>
      <c r="E495" s="1" t="s">
        <v>740</v>
      </c>
      <c r="F495" s="1" t="str">
        <f>VLOOKUP(C495,REGISTRE!B:G,2,FALSE)</f>
        <v>Kasai-Central</v>
      </c>
      <c r="G495" s="1">
        <f>VLOOKUP(C495,REGISTRE!B:G,3,FALSE)</f>
        <v>-10.414493</v>
      </c>
      <c r="H495" s="1">
        <f>VLOOKUP(C495,REGISTRE!B:G,4,FALSE)</f>
        <v>12.333356999999999</v>
      </c>
      <c r="I495" s="1" t="str">
        <f>VLOOKUP(C495,REGISTRE!B:G,5,FALSE)</f>
        <v>3G</v>
      </c>
      <c r="J495" s="1" t="str">
        <f>VLOOKUP(C495,REGISTRE!B:G,6,FALSE)</f>
        <v>Ericsson</v>
      </c>
      <c r="K495" s="1" t="str">
        <f>INT(LOGS_Rx5[[#This Row],[Duree_Panne_Min]]/60) &amp; " h " &amp; MOD(LOGS_Rx5[[#This Row],[Duree_Panne_Min]],60) &amp; " min " &amp; "0 s"</f>
        <v>1 h 33 min 0 s</v>
      </c>
    </row>
    <row r="496" spans="1:11" x14ac:dyDescent="0.35">
      <c r="A496" s="1" t="s">
        <v>1120</v>
      </c>
      <c r="B496" s="2">
        <v>45203.250694444447</v>
      </c>
      <c r="C496" s="1" t="s">
        <v>866</v>
      </c>
      <c r="D496">
        <v>49</v>
      </c>
      <c r="E496" s="1" t="s">
        <v>738</v>
      </c>
      <c r="F496" s="1" t="str">
        <f>VLOOKUP(C496,REGISTRE!B:G,2,FALSE)</f>
        <v>Kasai-Central</v>
      </c>
      <c r="G496" s="1">
        <f>VLOOKUP(C496,REGISTRE!B:G,3,FALSE)</f>
        <v>-10.414493</v>
      </c>
      <c r="H496" s="1">
        <f>VLOOKUP(C496,REGISTRE!B:G,4,FALSE)</f>
        <v>12.333356999999999</v>
      </c>
      <c r="I496" s="1" t="str">
        <f>VLOOKUP(C496,REGISTRE!B:G,5,FALSE)</f>
        <v>3G</v>
      </c>
      <c r="J496" s="1" t="str">
        <f>VLOOKUP(C496,REGISTRE!B:G,6,FALSE)</f>
        <v>Ericsson</v>
      </c>
      <c r="K496" s="1" t="str">
        <f>INT(LOGS_Rx5[[#This Row],[Duree_Panne_Min]]/60) &amp; " h " &amp; MOD(LOGS_Rx5[[#This Row],[Duree_Panne_Min]],60) &amp; " min " &amp; "0 s"</f>
        <v>0 h 49 min 0 s</v>
      </c>
    </row>
    <row r="497" spans="1:11" x14ac:dyDescent="0.35">
      <c r="A497" s="1" t="s">
        <v>826</v>
      </c>
      <c r="B497" s="2">
        <v>45210.568055555559</v>
      </c>
      <c r="C497" s="1" t="s">
        <v>832</v>
      </c>
      <c r="D497">
        <v>96</v>
      </c>
      <c r="E497" s="1" t="s">
        <v>735</v>
      </c>
      <c r="F497" s="1" t="str">
        <f>VLOOKUP(C497,REGISTRE!B:G,2,FALSE)</f>
        <v>Kinshasa</v>
      </c>
      <c r="G497" s="1">
        <f>VLOOKUP(C497,REGISTRE!B:G,3,FALSE)</f>
        <v>-5.4126279999999998</v>
      </c>
      <c r="H497" s="1">
        <f>VLOOKUP(C497,REGISTRE!B:G,4,FALSE)</f>
        <v>25.498235999999999</v>
      </c>
      <c r="I497" s="1" t="str">
        <f>VLOOKUP(C497,REGISTRE!B:G,5,FALSE)</f>
        <v>5G</v>
      </c>
      <c r="J497" s="1" t="str">
        <f>VLOOKUP(C497,REGISTRE!B:G,6,FALSE)</f>
        <v>ZTE</v>
      </c>
      <c r="K497" s="1" t="str">
        <f>INT(LOGS_Rx5[[#This Row],[Duree_Panne_Min]]/60) &amp; " h " &amp; MOD(LOGS_Rx5[[#This Row],[Duree_Panne_Min]],60) &amp; " min " &amp; "0 s"</f>
        <v>1 h 36 min 0 s</v>
      </c>
    </row>
    <row r="498" spans="1:11" x14ac:dyDescent="0.35">
      <c r="A498" s="1" t="s">
        <v>826</v>
      </c>
      <c r="B498" s="2">
        <v>45229.738194444442</v>
      </c>
      <c r="C498" s="1" t="s">
        <v>836</v>
      </c>
      <c r="D498">
        <v>36</v>
      </c>
      <c r="E498" s="1" t="s">
        <v>738</v>
      </c>
      <c r="F498" s="1" t="str">
        <f>VLOOKUP(C498,REGISTRE!B:G,2,FALSE)</f>
        <v>Lomami</v>
      </c>
      <c r="G498" s="1">
        <f>VLOOKUP(C498,REGISTRE!B:G,3,FALSE)</f>
        <v>-11.218453999999999</v>
      </c>
      <c r="H498" s="1">
        <f>VLOOKUP(C498,REGISTRE!B:G,4,FALSE)</f>
        <v>28.230025000000001</v>
      </c>
      <c r="I498" s="1" t="str">
        <f>VLOOKUP(C498,REGISTRE!B:G,5,FALSE)</f>
        <v>5G</v>
      </c>
      <c r="J498" s="1" t="str">
        <f>VLOOKUP(C498,REGISTRE!B:G,6,FALSE)</f>
        <v>ZTE</v>
      </c>
      <c r="K498" s="1" t="str">
        <f>INT(LOGS_Rx5[[#This Row],[Duree_Panne_Min]]/60) &amp; " h " &amp; MOD(LOGS_Rx5[[#This Row],[Duree_Panne_Min]],60) &amp; " min " &amp; "0 s"</f>
        <v>0 h 36 min 0 s</v>
      </c>
    </row>
    <row r="499" spans="1:11" x14ac:dyDescent="0.35">
      <c r="A499" s="1" t="s">
        <v>1336</v>
      </c>
      <c r="B499" s="2">
        <v>45214.684027777781</v>
      </c>
      <c r="C499" s="1" t="s">
        <v>836</v>
      </c>
      <c r="D499">
        <v>119</v>
      </c>
      <c r="E499" s="1" t="s">
        <v>740</v>
      </c>
      <c r="F499" s="1" t="str">
        <f>VLOOKUP(C499,REGISTRE!B:G,2,FALSE)</f>
        <v>Lomami</v>
      </c>
      <c r="G499" s="1">
        <f>VLOOKUP(C499,REGISTRE!B:G,3,FALSE)</f>
        <v>-11.218453999999999</v>
      </c>
      <c r="H499" s="1">
        <f>VLOOKUP(C499,REGISTRE!B:G,4,FALSE)</f>
        <v>28.230025000000001</v>
      </c>
      <c r="I499" s="1" t="str">
        <f>VLOOKUP(C499,REGISTRE!B:G,5,FALSE)</f>
        <v>5G</v>
      </c>
      <c r="J499" s="1" t="str">
        <f>VLOOKUP(C499,REGISTRE!B:G,6,FALSE)</f>
        <v>ZTE</v>
      </c>
      <c r="K499" s="1" t="str">
        <f>INT(LOGS_Rx5[[#This Row],[Duree_Panne_Min]]/60) &amp; " h " &amp; MOD(LOGS_Rx5[[#This Row],[Duree_Panne_Min]],60) &amp; " min " &amp; "0 s"</f>
        <v>1 h 59 min 0 s</v>
      </c>
    </row>
    <row r="500" spans="1:11" x14ac:dyDescent="0.35">
      <c r="A500" s="1" t="s">
        <v>1267</v>
      </c>
      <c r="B500" s="2">
        <v>45216.460416666669</v>
      </c>
      <c r="C500" s="1" t="s">
        <v>1279</v>
      </c>
      <c r="D500">
        <v>36</v>
      </c>
      <c r="E500" s="1" t="s">
        <v>740</v>
      </c>
      <c r="F500" s="1" t="str">
        <f>VLOOKUP(C500,REGISTRE!B:G,2,FALSE)</f>
        <v>Nord-Kivu</v>
      </c>
      <c r="G500" s="1">
        <f>VLOOKUP(C500,REGISTRE!B:G,3,FALSE)</f>
        <v>-11.231472</v>
      </c>
      <c r="H500" s="1">
        <f>VLOOKUP(C500,REGISTRE!B:G,4,FALSE)</f>
        <v>25.388874000000001</v>
      </c>
      <c r="I500" s="1" t="str">
        <f>VLOOKUP(C500,REGISTRE!B:G,5,FALSE)</f>
        <v>4G</v>
      </c>
      <c r="J500" s="1" t="str">
        <f>VLOOKUP(C500,REGISTRE!B:G,6,FALSE)</f>
        <v>Huawei</v>
      </c>
      <c r="K500" s="1" t="str">
        <f>INT(LOGS_Rx5[[#This Row],[Duree_Panne_Min]]/60) &amp; " h " &amp; MOD(LOGS_Rx5[[#This Row],[Duree_Panne_Min]],60) &amp; " min " &amp; "0 s"</f>
        <v>0 h 36 min 0 s</v>
      </c>
    </row>
    <row r="501" spans="1:11" x14ac:dyDescent="0.35">
      <c r="A501" s="1" t="s">
        <v>981</v>
      </c>
      <c r="B501" s="2">
        <v>45203.652083333327</v>
      </c>
      <c r="C501" s="1" t="s">
        <v>986</v>
      </c>
      <c r="D501">
        <v>65</v>
      </c>
      <c r="E501" s="1" t="s">
        <v>740</v>
      </c>
      <c r="F501" s="1" t="str">
        <f>VLOOKUP(C501,REGISTRE!B:G,2,FALSE)</f>
        <v>Haut-Katanga</v>
      </c>
      <c r="G501" s="1">
        <f>VLOOKUP(C501,REGISTRE!B:G,3,FALSE)</f>
        <v>2.016505</v>
      </c>
      <c r="H501" s="1">
        <f>VLOOKUP(C501,REGISTRE!B:G,4,FALSE)</f>
        <v>14.294164</v>
      </c>
      <c r="I501" s="1" t="str">
        <f>VLOOKUP(C501,REGISTRE!B:G,5,FALSE)</f>
        <v>5G</v>
      </c>
      <c r="J501" s="1" t="str">
        <f>VLOOKUP(C501,REGISTRE!B:G,6,FALSE)</f>
        <v>Huawei</v>
      </c>
      <c r="K501" s="1" t="str">
        <f>INT(LOGS_Rx5[[#This Row],[Duree_Panne_Min]]/60) &amp; " h " &amp; MOD(LOGS_Rx5[[#This Row],[Duree_Panne_Min]],60) &amp; " min " &amp; "0 s"</f>
        <v>1 h 5 min 0 s</v>
      </c>
    </row>
    <row r="502" spans="1:11" x14ac:dyDescent="0.35">
      <c r="A502" s="1" t="s">
        <v>1351</v>
      </c>
      <c r="B502" s="2">
        <v>45207.955555555563</v>
      </c>
      <c r="C502" s="1" t="s">
        <v>986</v>
      </c>
      <c r="D502">
        <v>73</v>
      </c>
      <c r="E502" s="1" t="s">
        <v>738</v>
      </c>
      <c r="F502" s="1" t="str">
        <f>VLOOKUP(C502,REGISTRE!B:G,2,FALSE)</f>
        <v>Haut-Katanga</v>
      </c>
      <c r="G502" s="1">
        <f>VLOOKUP(C502,REGISTRE!B:G,3,FALSE)</f>
        <v>2.016505</v>
      </c>
      <c r="H502" s="1">
        <f>VLOOKUP(C502,REGISTRE!B:G,4,FALSE)</f>
        <v>14.294164</v>
      </c>
      <c r="I502" s="1" t="str">
        <f>VLOOKUP(C502,REGISTRE!B:G,5,FALSE)</f>
        <v>5G</v>
      </c>
      <c r="J502" s="1" t="str">
        <f>VLOOKUP(C502,REGISTRE!B:G,6,FALSE)</f>
        <v>Huawei</v>
      </c>
      <c r="K502" s="1" t="str">
        <f>INT(LOGS_Rx5[[#This Row],[Duree_Panne_Min]]/60) &amp; " h " &amp; MOD(LOGS_Rx5[[#This Row],[Duree_Panne_Min]],60) &amp; " min " &amp; "0 s"</f>
        <v>1 h 13 min 0 s</v>
      </c>
    </row>
    <row r="503" spans="1:11" x14ac:dyDescent="0.35">
      <c r="A503" s="1" t="s">
        <v>1314</v>
      </c>
      <c r="B503" s="2">
        <v>45221.388194444437</v>
      </c>
      <c r="C503" s="1" t="s">
        <v>1333</v>
      </c>
      <c r="D503">
        <v>64</v>
      </c>
      <c r="E503" s="1" t="s">
        <v>738</v>
      </c>
      <c r="F503" s="1" t="str">
        <f>VLOOKUP(C503,REGISTRE!B:G,2,FALSE)</f>
        <v>Tshopo</v>
      </c>
      <c r="G503" s="1">
        <f>VLOOKUP(C503,REGISTRE!B:G,3,FALSE)</f>
        <v>-12.070842000000001</v>
      </c>
      <c r="H503" s="1">
        <f>VLOOKUP(C503,REGISTRE!B:G,4,FALSE)</f>
        <v>14.757847</v>
      </c>
      <c r="I503" s="1" t="str">
        <f>VLOOKUP(C503,REGISTRE!B:G,5,FALSE)</f>
        <v>4G</v>
      </c>
      <c r="J503" s="1" t="str">
        <f>VLOOKUP(C503,REGISTRE!B:G,6,FALSE)</f>
        <v>ZTE</v>
      </c>
      <c r="K503" s="1" t="str">
        <f>INT(LOGS_Rx5[[#This Row],[Duree_Panne_Min]]/60) &amp; " h " &amp; MOD(LOGS_Rx5[[#This Row],[Duree_Panne_Min]],60) &amp; " min " &amp; "0 s"</f>
        <v>1 h 4 min 0 s</v>
      </c>
    </row>
    <row r="504" spans="1:11" x14ac:dyDescent="0.35">
      <c r="A504" s="1" t="s">
        <v>1314</v>
      </c>
      <c r="B504" s="2">
        <v>45205.830555555563</v>
      </c>
      <c r="C504" s="1" t="s">
        <v>1330</v>
      </c>
      <c r="D504">
        <v>52</v>
      </c>
      <c r="E504" s="1" t="s">
        <v>735</v>
      </c>
      <c r="F504" s="1" t="str">
        <f>VLOOKUP(C504,REGISTRE!B:G,2,FALSE)</f>
        <v>Haut-Uele</v>
      </c>
      <c r="G504" s="1">
        <f>VLOOKUP(C504,REGISTRE!B:G,3,FALSE)</f>
        <v>-2.2199559999999998</v>
      </c>
      <c r="H504" s="1">
        <f>VLOOKUP(C504,REGISTRE!B:G,4,FALSE)</f>
        <v>22.614449</v>
      </c>
      <c r="I504" s="1" t="str">
        <f>VLOOKUP(C504,REGISTRE!B:G,5,FALSE)</f>
        <v>3G</v>
      </c>
      <c r="J504" s="1" t="str">
        <f>VLOOKUP(C504,REGISTRE!B:G,6,FALSE)</f>
        <v>Nokia</v>
      </c>
      <c r="K504" s="1" t="str">
        <f>INT(LOGS_Rx5[[#This Row],[Duree_Panne_Min]]/60) &amp; " h " &amp; MOD(LOGS_Rx5[[#This Row],[Duree_Panne_Min]],60) &amp; " min " &amp; "0 s"</f>
        <v>0 h 52 min 0 s</v>
      </c>
    </row>
    <row r="505" spans="1:11" x14ac:dyDescent="0.35">
      <c r="A505" s="1" t="s">
        <v>782</v>
      </c>
      <c r="B505" s="2">
        <v>45227.309027777781</v>
      </c>
      <c r="C505" s="1" t="s">
        <v>813</v>
      </c>
      <c r="D505">
        <v>118</v>
      </c>
      <c r="E505" s="1" t="s">
        <v>740</v>
      </c>
      <c r="F505" s="1" t="str">
        <f>VLOOKUP(C505,REGISTRE!B:G,2,FALSE)</f>
        <v>Sud-Ubangi</v>
      </c>
      <c r="G505" s="1">
        <f>VLOOKUP(C505,REGISTRE!B:G,3,FALSE)</f>
        <v>-10.914952</v>
      </c>
      <c r="H505" s="1">
        <f>VLOOKUP(C505,REGISTRE!B:G,4,FALSE)</f>
        <v>26.409648000000001</v>
      </c>
      <c r="I505" s="1" t="str">
        <f>VLOOKUP(C505,REGISTRE!B:G,5,FALSE)</f>
        <v>4G</v>
      </c>
      <c r="J505" s="1" t="str">
        <f>VLOOKUP(C505,REGISTRE!B:G,6,FALSE)</f>
        <v>Huawei</v>
      </c>
      <c r="K505" s="1" t="str">
        <f>INT(LOGS_Rx5[[#This Row],[Duree_Panne_Min]]/60) &amp; " h " &amp; MOD(LOGS_Rx5[[#This Row],[Duree_Panne_Min]],60) &amp; " min " &amp; "0 s"</f>
        <v>1 h 58 min 0 s</v>
      </c>
    </row>
    <row r="506" spans="1:11" x14ac:dyDescent="0.35">
      <c r="A506" s="1" t="s">
        <v>942</v>
      </c>
      <c r="B506" s="2">
        <v>45216.76458333333</v>
      </c>
      <c r="C506" s="1" t="s">
        <v>813</v>
      </c>
      <c r="D506">
        <v>53</v>
      </c>
      <c r="E506" s="1" t="s">
        <v>738</v>
      </c>
      <c r="F506" s="1" t="str">
        <f>VLOOKUP(C506,REGISTRE!B:G,2,FALSE)</f>
        <v>Sud-Ubangi</v>
      </c>
      <c r="G506" s="1">
        <f>VLOOKUP(C506,REGISTRE!B:G,3,FALSE)</f>
        <v>-10.914952</v>
      </c>
      <c r="H506" s="1">
        <f>VLOOKUP(C506,REGISTRE!B:G,4,FALSE)</f>
        <v>26.409648000000001</v>
      </c>
      <c r="I506" s="1" t="str">
        <f>VLOOKUP(C506,REGISTRE!B:G,5,FALSE)</f>
        <v>4G</v>
      </c>
      <c r="J506" s="1" t="str">
        <f>VLOOKUP(C506,REGISTRE!B:G,6,FALSE)</f>
        <v>Huawei</v>
      </c>
      <c r="K506" s="1" t="str">
        <f>INT(LOGS_Rx5[[#This Row],[Duree_Panne_Min]]/60) &amp; " h " &amp; MOD(LOGS_Rx5[[#This Row],[Duree_Panne_Min]],60) &amp; " min " &amp; "0 s"</f>
        <v>0 h 53 min 0 s</v>
      </c>
    </row>
    <row r="507" spans="1:11" x14ac:dyDescent="0.35">
      <c r="A507" s="1" t="s">
        <v>1028</v>
      </c>
      <c r="B507" s="2">
        <v>45214.774305555547</v>
      </c>
      <c r="C507" s="1" t="s">
        <v>813</v>
      </c>
      <c r="D507">
        <v>118</v>
      </c>
      <c r="E507" s="1" t="s">
        <v>735</v>
      </c>
      <c r="F507" s="1" t="str">
        <f>VLOOKUP(C507,REGISTRE!B:G,2,FALSE)</f>
        <v>Sud-Ubangi</v>
      </c>
      <c r="G507" s="1">
        <f>VLOOKUP(C507,REGISTRE!B:G,3,FALSE)</f>
        <v>-10.914952</v>
      </c>
      <c r="H507" s="1">
        <f>VLOOKUP(C507,REGISTRE!B:G,4,FALSE)</f>
        <v>26.409648000000001</v>
      </c>
      <c r="I507" s="1" t="str">
        <f>VLOOKUP(C507,REGISTRE!B:G,5,FALSE)</f>
        <v>4G</v>
      </c>
      <c r="J507" s="1" t="str">
        <f>VLOOKUP(C507,REGISTRE!B:G,6,FALSE)</f>
        <v>Huawei</v>
      </c>
      <c r="K507" s="1" t="str">
        <f>INT(LOGS_Rx5[[#This Row],[Duree_Panne_Min]]/60) &amp; " h " &amp; MOD(LOGS_Rx5[[#This Row],[Duree_Panne_Min]],60) &amp; " min " &amp; "0 s"</f>
        <v>1 h 58 min 0 s</v>
      </c>
    </row>
    <row r="508" spans="1:11" x14ac:dyDescent="0.35">
      <c r="A508" s="1" t="s">
        <v>782</v>
      </c>
      <c r="B508" s="2">
        <v>45221.861805555563</v>
      </c>
      <c r="C508" s="1" t="s">
        <v>788</v>
      </c>
      <c r="D508">
        <v>21</v>
      </c>
      <c r="E508" s="1" t="s">
        <v>738</v>
      </c>
      <c r="F508" s="1" t="str">
        <f>VLOOKUP(C508,REGISTRE!B:G,2,FALSE)</f>
        <v>Tanganyika</v>
      </c>
      <c r="G508" s="1">
        <f>VLOOKUP(C508,REGISTRE!B:G,3,FALSE)</f>
        <v>-1.864393</v>
      </c>
      <c r="H508" s="1">
        <f>VLOOKUP(C508,REGISTRE!B:G,4,FALSE)</f>
        <v>21.453434000000001</v>
      </c>
      <c r="I508" s="1" t="str">
        <f>VLOOKUP(C508,REGISTRE!B:G,5,FALSE)</f>
        <v>5G</v>
      </c>
      <c r="J508" s="1" t="str">
        <f>VLOOKUP(C508,REGISTRE!B:G,6,FALSE)</f>
        <v>Ericsson</v>
      </c>
      <c r="K508" s="1" t="str">
        <f>INT(LOGS_Rx5[[#This Row],[Duree_Panne_Min]]/60) &amp; " h " &amp; MOD(LOGS_Rx5[[#This Row],[Duree_Panne_Min]],60) &amp; " min " &amp; "0 s"</f>
        <v>0 h 21 min 0 s</v>
      </c>
    </row>
    <row r="509" spans="1:11" x14ac:dyDescent="0.35">
      <c r="A509" s="1" t="s">
        <v>826</v>
      </c>
      <c r="B509" s="2">
        <v>45229.443749999999</v>
      </c>
      <c r="C509" s="1" t="s">
        <v>840</v>
      </c>
      <c r="D509">
        <v>5</v>
      </c>
      <c r="E509" s="1" t="s">
        <v>735</v>
      </c>
      <c r="F509" s="1" t="str">
        <f>VLOOKUP(C509,REGISTRE!B:G,2,FALSE)</f>
        <v>Kasai-Central</v>
      </c>
      <c r="G509" s="1">
        <f>VLOOKUP(C509,REGISTRE!B:G,3,FALSE)</f>
        <v>-6.6803710000000001</v>
      </c>
      <c r="H509" s="1">
        <f>VLOOKUP(C509,REGISTRE!B:G,4,FALSE)</f>
        <v>21.955673000000001</v>
      </c>
      <c r="I509" s="1" t="str">
        <f>VLOOKUP(C509,REGISTRE!B:G,5,FALSE)</f>
        <v>4G</v>
      </c>
      <c r="J509" s="1" t="str">
        <f>VLOOKUP(C509,REGISTRE!B:G,6,FALSE)</f>
        <v>Nokia</v>
      </c>
      <c r="K509" s="1" t="str">
        <f>INT(LOGS_Rx5[[#This Row],[Duree_Panne_Min]]/60) &amp; " h " &amp; MOD(LOGS_Rx5[[#This Row],[Duree_Panne_Min]],60) &amp; " min " &amp; "0 s"</f>
        <v>0 h 5 min 0 s</v>
      </c>
    </row>
    <row r="510" spans="1:11" x14ac:dyDescent="0.35">
      <c r="A510" s="1" t="s">
        <v>1063</v>
      </c>
      <c r="B510" s="2">
        <v>45216.760416666657</v>
      </c>
      <c r="C510" s="1" t="s">
        <v>1068</v>
      </c>
      <c r="D510">
        <v>48</v>
      </c>
      <c r="E510" s="1" t="s">
        <v>735</v>
      </c>
      <c r="F510" s="1" t="str">
        <f>VLOOKUP(C510,REGISTRE!B:G,2,FALSE)</f>
        <v>Ituri</v>
      </c>
      <c r="G510" s="1">
        <f>VLOOKUP(C510,REGISTRE!B:G,3,FALSE)</f>
        <v>-11.002602</v>
      </c>
      <c r="H510" s="1">
        <f>VLOOKUP(C510,REGISTRE!B:G,4,FALSE)</f>
        <v>23.918247999999998</v>
      </c>
      <c r="I510" s="1" t="str">
        <f>VLOOKUP(C510,REGISTRE!B:G,5,FALSE)</f>
        <v>5G</v>
      </c>
      <c r="J510" s="1" t="str">
        <f>VLOOKUP(C510,REGISTRE!B:G,6,FALSE)</f>
        <v>ZTE</v>
      </c>
      <c r="K510" s="1" t="str">
        <f>INT(LOGS_Rx5[[#This Row],[Duree_Panne_Min]]/60) &amp; " h " &amp; MOD(LOGS_Rx5[[#This Row],[Duree_Panne_Min]],60) &amp; " min " &amp; "0 s"</f>
        <v>0 h 48 min 0 s</v>
      </c>
    </row>
    <row r="511" spans="1:11" x14ac:dyDescent="0.35">
      <c r="A511" s="1" t="s">
        <v>733</v>
      </c>
      <c r="B511" s="2">
        <v>45227.033333333333</v>
      </c>
      <c r="C511" s="1" t="s">
        <v>749</v>
      </c>
      <c r="D511">
        <v>68</v>
      </c>
      <c r="E511" s="1" t="s">
        <v>740</v>
      </c>
      <c r="F511" s="1" t="str">
        <f>VLOOKUP(C511,REGISTRE!B:G,2,FALSE)</f>
        <v>Nord-Ubangi</v>
      </c>
      <c r="G511" s="1">
        <f>VLOOKUP(C511,REGISTRE!B:G,3,FALSE)</f>
        <v>-10.375266999999999</v>
      </c>
      <c r="H511" s="1">
        <f>VLOOKUP(C511,REGISTRE!B:G,4,FALSE)</f>
        <v>17.993663000000002</v>
      </c>
      <c r="I511" s="1" t="str">
        <f>VLOOKUP(C511,REGISTRE!B:G,5,FALSE)</f>
        <v>5G</v>
      </c>
      <c r="J511" s="1" t="str">
        <f>VLOOKUP(C511,REGISTRE!B:G,6,FALSE)</f>
        <v>ZTE</v>
      </c>
      <c r="K511" s="1" t="str">
        <f>INT(LOGS_Rx5[[#This Row],[Duree_Panne_Min]]/60) &amp; " h " &amp; MOD(LOGS_Rx5[[#This Row],[Duree_Panne_Min]],60) &amp; " min " &amp; "0 s"</f>
        <v>1 h 8 min 0 s</v>
      </c>
    </row>
    <row r="512" spans="1:11" x14ac:dyDescent="0.35">
      <c r="A512" s="1" t="s">
        <v>942</v>
      </c>
      <c r="B512" s="2">
        <v>45221.313194444447</v>
      </c>
      <c r="C512" s="1" t="s">
        <v>973</v>
      </c>
      <c r="D512">
        <v>34</v>
      </c>
      <c r="E512" s="1" t="s">
        <v>738</v>
      </c>
      <c r="F512" s="1" t="str">
        <f>VLOOKUP(C512,REGISTRE!B:G,2,FALSE)</f>
        <v>Kasaï</v>
      </c>
      <c r="G512" s="1">
        <f>VLOOKUP(C512,REGISTRE!B:G,3,FALSE)</f>
        <v>-10.165072</v>
      </c>
      <c r="H512" s="1">
        <f>VLOOKUP(C512,REGISTRE!B:G,4,FALSE)</f>
        <v>29.428024000000001</v>
      </c>
      <c r="I512" s="1" t="str">
        <f>VLOOKUP(C512,REGISTRE!B:G,5,FALSE)</f>
        <v>5G</v>
      </c>
      <c r="J512" s="1" t="str">
        <f>VLOOKUP(C512,REGISTRE!B:G,6,FALSE)</f>
        <v>Huawei</v>
      </c>
      <c r="K512" s="1" t="str">
        <f>INT(LOGS_Rx5[[#This Row],[Duree_Panne_Min]]/60) &amp; " h " &amp; MOD(LOGS_Rx5[[#This Row],[Duree_Panne_Min]],60) &amp; " min " &amp; "0 s"</f>
        <v>0 h 34 min 0 s</v>
      </c>
    </row>
    <row r="513" spans="1:11" x14ac:dyDescent="0.35">
      <c r="A513" s="1" t="s">
        <v>942</v>
      </c>
      <c r="B513" s="2">
        <v>45225.622916666667</v>
      </c>
      <c r="C513" s="1" t="s">
        <v>973</v>
      </c>
      <c r="D513">
        <v>86</v>
      </c>
      <c r="E513" s="1" t="s">
        <v>735</v>
      </c>
      <c r="F513" s="1" t="str">
        <f>VLOOKUP(C513,REGISTRE!B:G,2,FALSE)</f>
        <v>Kasaï</v>
      </c>
      <c r="G513" s="1">
        <f>VLOOKUP(C513,REGISTRE!B:G,3,FALSE)</f>
        <v>-10.165072</v>
      </c>
      <c r="H513" s="1">
        <f>VLOOKUP(C513,REGISTRE!B:G,4,FALSE)</f>
        <v>29.428024000000001</v>
      </c>
      <c r="I513" s="1" t="str">
        <f>VLOOKUP(C513,REGISTRE!B:G,5,FALSE)</f>
        <v>5G</v>
      </c>
      <c r="J513" s="1" t="str">
        <f>VLOOKUP(C513,REGISTRE!B:G,6,FALSE)</f>
        <v>Huawei</v>
      </c>
      <c r="K513" s="1" t="str">
        <f>INT(LOGS_Rx5[[#This Row],[Duree_Panne_Min]]/60) &amp; " h " &amp; MOD(LOGS_Rx5[[#This Row],[Duree_Panne_Min]],60) &amp; " min " &amp; "0 s"</f>
        <v>1 h 26 min 0 s</v>
      </c>
    </row>
    <row r="514" spans="1:11" x14ac:dyDescent="0.35">
      <c r="A514" s="1" t="s">
        <v>1294</v>
      </c>
      <c r="B514" s="2">
        <v>45200.078472222223</v>
      </c>
      <c r="C514" s="1" t="s">
        <v>973</v>
      </c>
      <c r="D514">
        <v>40</v>
      </c>
      <c r="E514" s="1" t="s">
        <v>735</v>
      </c>
      <c r="F514" s="1" t="str">
        <f>VLOOKUP(C514,REGISTRE!B:G,2,FALSE)</f>
        <v>Kasaï</v>
      </c>
      <c r="G514" s="1">
        <f>VLOOKUP(C514,REGISTRE!B:G,3,FALSE)</f>
        <v>-10.165072</v>
      </c>
      <c r="H514" s="1">
        <f>VLOOKUP(C514,REGISTRE!B:G,4,FALSE)</f>
        <v>29.428024000000001</v>
      </c>
      <c r="I514" s="1" t="str">
        <f>VLOOKUP(C514,REGISTRE!B:G,5,FALSE)</f>
        <v>5G</v>
      </c>
      <c r="J514" s="1" t="str">
        <f>VLOOKUP(C514,REGISTRE!B:G,6,FALSE)</f>
        <v>Huawei</v>
      </c>
      <c r="K514" s="1" t="str">
        <f>INT(LOGS_Rx5[[#This Row],[Duree_Panne_Min]]/60) &amp; " h " &amp; MOD(LOGS_Rx5[[#This Row],[Duree_Panne_Min]],60) &amp; " min " &amp; "0 s"</f>
        <v>0 h 40 min 0 s</v>
      </c>
    </row>
    <row r="515" spans="1:11" x14ac:dyDescent="0.35">
      <c r="A515" s="1" t="s">
        <v>733</v>
      </c>
      <c r="B515" s="2">
        <v>45211.224305555559</v>
      </c>
      <c r="C515" s="1" t="s">
        <v>765</v>
      </c>
      <c r="D515">
        <v>37</v>
      </c>
      <c r="E515" s="1" t="s">
        <v>735</v>
      </c>
      <c r="F515" s="1" t="str">
        <f>VLOOKUP(C515,REGISTRE!B:G,2,FALSE)</f>
        <v>Tanganyika</v>
      </c>
      <c r="G515" s="1">
        <f>VLOOKUP(C515,REGISTRE!B:G,3,FALSE)</f>
        <v>-2.4662510000000002</v>
      </c>
      <c r="H515" s="1">
        <f>VLOOKUP(C515,REGISTRE!B:G,4,FALSE)</f>
        <v>18.007998000000001</v>
      </c>
      <c r="I515" s="1" t="str">
        <f>VLOOKUP(C515,REGISTRE!B:G,5,FALSE)</f>
        <v>5G</v>
      </c>
      <c r="J515" s="1" t="str">
        <f>VLOOKUP(C515,REGISTRE!B:G,6,FALSE)</f>
        <v>Ericsson</v>
      </c>
      <c r="K515" s="1" t="str">
        <f>INT(LOGS_Rx5[[#This Row],[Duree_Panne_Min]]/60) &amp; " h " &amp; MOD(LOGS_Rx5[[#This Row],[Duree_Panne_Min]],60) &amp; " min " &amp; "0 s"</f>
        <v>0 h 37 min 0 s</v>
      </c>
    </row>
    <row r="516" spans="1:11" x14ac:dyDescent="0.35">
      <c r="A516" s="1" t="s">
        <v>1171</v>
      </c>
      <c r="B516" s="2">
        <v>45221.717361111107</v>
      </c>
      <c r="C516" s="1" t="s">
        <v>765</v>
      </c>
      <c r="D516">
        <v>14</v>
      </c>
      <c r="E516" s="1" t="s">
        <v>735</v>
      </c>
      <c r="F516" s="1" t="str">
        <f>VLOOKUP(C516,REGISTRE!B:G,2,FALSE)</f>
        <v>Tanganyika</v>
      </c>
      <c r="G516" s="1">
        <f>VLOOKUP(C516,REGISTRE!B:G,3,FALSE)</f>
        <v>-2.4662510000000002</v>
      </c>
      <c r="H516" s="1">
        <f>VLOOKUP(C516,REGISTRE!B:G,4,FALSE)</f>
        <v>18.007998000000001</v>
      </c>
      <c r="I516" s="1" t="str">
        <f>VLOOKUP(C516,REGISTRE!B:G,5,FALSE)</f>
        <v>5G</v>
      </c>
      <c r="J516" s="1" t="str">
        <f>VLOOKUP(C516,REGISTRE!B:G,6,FALSE)</f>
        <v>Ericsson</v>
      </c>
      <c r="K516" s="1" t="str">
        <f>INT(LOGS_Rx5[[#This Row],[Duree_Panne_Min]]/60) &amp; " h " &amp; MOD(LOGS_Rx5[[#This Row],[Duree_Panne_Min]],60) &amp; " min " &amp; "0 s"</f>
        <v>0 h 14 min 0 s</v>
      </c>
    </row>
    <row r="517" spans="1:11" x14ac:dyDescent="0.35">
      <c r="A517" s="1" t="s">
        <v>1002</v>
      </c>
      <c r="B517" s="2">
        <v>45222.415277777778</v>
      </c>
      <c r="C517" s="1" t="s">
        <v>1012</v>
      </c>
      <c r="D517">
        <v>73</v>
      </c>
      <c r="E517" s="1" t="s">
        <v>735</v>
      </c>
      <c r="F517" s="1" t="str">
        <f>VLOOKUP(C517,REGISTRE!B:G,2,FALSE)</f>
        <v>Nord-Ubangi</v>
      </c>
      <c r="G517" s="1">
        <f>VLOOKUP(C517,REGISTRE!B:G,3,FALSE)</f>
        <v>-4.8128659999999996</v>
      </c>
      <c r="H517" s="1">
        <f>VLOOKUP(C517,REGISTRE!B:G,4,FALSE)</f>
        <v>18.559304999999998</v>
      </c>
      <c r="I517" s="1" t="str">
        <f>VLOOKUP(C517,REGISTRE!B:G,5,FALSE)</f>
        <v>5G</v>
      </c>
      <c r="J517" s="1" t="str">
        <f>VLOOKUP(C517,REGISTRE!B:G,6,FALSE)</f>
        <v>ZTE</v>
      </c>
      <c r="K517" s="1" t="str">
        <f>INT(LOGS_Rx5[[#This Row],[Duree_Panne_Min]]/60) &amp; " h " &amp; MOD(LOGS_Rx5[[#This Row],[Duree_Panne_Min]],60) &amp; " min " &amp; "0 s"</f>
        <v>1 h 13 min 0 s</v>
      </c>
    </row>
    <row r="518" spans="1:11" x14ac:dyDescent="0.35">
      <c r="A518" s="1" t="s">
        <v>733</v>
      </c>
      <c r="B518" s="2">
        <v>45203.511805555558</v>
      </c>
      <c r="C518" s="1" t="s">
        <v>763</v>
      </c>
      <c r="D518">
        <v>64</v>
      </c>
      <c r="E518" s="1" t="s">
        <v>740</v>
      </c>
      <c r="F518" s="1" t="str">
        <f>VLOOKUP(C518,REGISTRE!B:G,2,FALSE)</f>
        <v>Tshopo</v>
      </c>
      <c r="G518" s="1">
        <f>VLOOKUP(C518,REGISTRE!B:G,3,FALSE)</f>
        <v>0.23583499999999999</v>
      </c>
      <c r="H518" s="1">
        <f>VLOOKUP(C518,REGISTRE!B:G,4,FALSE)</f>
        <v>24.889558999999998</v>
      </c>
      <c r="I518" s="1" t="str">
        <f>VLOOKUP(C518,REGISTRE!B:G,5,FALSE)</f>
        <v>3G</v>
      </c>
      <c r="J518" s="1" t="str">
        <f>VLOOKUP(C518,REGISTRE!B:G,6,FALSE)</f>
        <v>ZTE</v>
      </c>
      <c r="K518" s="1" t="str">
        <f>INT(LOGS_Rx5[[#This Row],[Duree_Panne_Min]]/60) &amp; " h " &amp; MOD(LOGS_Rx5[[#This Row],[Duree_Panne_Min]],60) &amp; " min " &amp; "0 s"</f>
        <v>1 h 4 min 0 s</v>
      </c>
    </row>
    <row r="519" spans="1:11" x14ac:dyDescent="0.35">
      <c r="A519" s="1" t="s">
        <v>905</v>
      </c>
      <c r="B519" s="2">
        <v>45220.206944444442</v>
      </c>
      <c r="C519" s="1" t="s">
        <v>932</v>
      </c>
      <c r="D519">
        <v>25</v>
      </c>
      <c r="E519" s="1" t="s">
        <v>735</v>
      </c>
      <c r="F519" s="1" t="str">
        <f>VLOOKUP(C519,REGISTRE!B:G,2,FALSE)</f>
        <v>Equateur</v>
      </c>
      <c r="G519" s="1">
        <f>VLOOKUP(C519,REGISTRE!B:G,3,FALSE)</f>
        <v>3.3289240000000002</v>
      </c>
      <c r="H519" s="1">
        <f>VLOOKUP(C519,REGISTRE!B:G,4,FALSE)</f>
        <v>24.412261000000001</v>
      </c>
      <c r="I519" s="1" t="str">
        <f>VLOOKUP(C519,REGISTRE!B:G,5,FALSE)</f>
        <v>5G</v>
      </c>
      <c r="J519" s="1" t="str">
        <f>VLOOKUP(C519,REGISTRE!B:G,6,FALSE)</f>
        <v>Nokia</v>
      </c>
      <c r="K519" s="1" t="str">
        <f>INT(LOGS_Rx5[[#This Row],[Duree_Panne_Min]]/60) &amp; " h " &amp; MOD(LOGS_Rx5[[#This Row],[Duree_Panne_Min]],60) &amp; " min " &amp; "0 s"</f>
        <v>0 h 25 min 0 s</v>
      </c>
    </row>
    <row r="520" spans="1:11" x14ac:dyDescent="0.35">
      <c r="A520" s="1" t="s">
        <v>733</v>
      </c>
      <c r="B520" s="2">
        <v>45208.863888888889</v>
      </c>
      <c r="C520" s="1" t="s">
        <v>772</v>
      </c>
      <c r="D520">
        <v>92</v>
      </c>
      <c r="E520" s="1" t="s">
        <v>735</v>
      </c>
      <c r="F520" s="1" t="str">
        <f>VLOOKUP(C520,REGISTRE!B:G,2,FALSE)</f>
        <v>Kwilu</v>
      </c>
      <c r="G520" s="1">
        <f>VLOOKUP(C520,REGISTRE!B:G,3,FALSE)</f>
        <v>-0.77432100000000004</v>
      </c>
      <c r="H520" s="1">
        <f>VLOOKUP(C520,REGISTRE!B:G,4,FALSE)</f>
        <v>18.628658999999999</v>
      </c>
      <c r="I520" s="1" t="str">
        <f>VLOOKUP(C520,REGISTRE!B:G,5,FALSE)</f>
        <v>4G</v>
      </c>
      <c r="J520" s="1" t="str">
        <f>VLOOKUP(C520,REGISTRE!B:G,6,FALSE)</f>
        <v>Huawei</v>
      </c>
      <c r="K520" s="1" t="str">
        <f>INT(LOGS_Rx5[[#This Row],[Duree_Panne_Min]]/60) &amp; " h " &amp; MOD(LOGS_Rx5[[#This Row],[Duree_Panne_Min]],60) &amp; " min " &amp; "0 s"</f>
        <v>1 h 32 min 0 s</v>
      </c>
    </row>
    <row r="521" spans="1:11" x14ac:dyDescent="0.35">
      <c r="A521" s="1" t="s">
        <v>1120</v>
      </c>
      <c r="B521" s="2">
        <v>45218.631944444453</v>
      </c>
      <c r="C521" s="1" t="s">
        <v>772</v>
      </c>
      <c r="D521">
        <v>42</v>
      </c>
      <c r="E521" s="1" t="s">
        <v>738</v>
      </c>
      <c r="F521" s="1" t="str">
        <f>VLOOKUP(C521,REGISTRE!B:G,2,FALSE)</f>
        <v>Kwilu</v>
      </c>
      <c r="G521" s="1">
        <f>VLOOKUP(C521,REGISTRE!B:G,3,FALSE)</f>
        <v>-0.77432100000000004</v>
      </c>
      <c r="H521" s="1">
        <f>VLOOKUP(C521,REGISTRE!B:G,4,FALSE)</f>
        <v>18.628658999999999</v>
      </c>
      <c r="I521" s="1" t="str">
        <f>VLOOKUP(C521,REGISTRE!B:G,5,FALSE)</f>
        <v>4G</v>
      </c>
      <c r="J521" s="1" t="str">
        <f>VLOOKUP(C521,REGISTRE!B:G,6,FALSE)</f>
        <v>Huawei</v>
      </c>
      <c r="K521" s="1" t="str">
        <f>INT(LOGS_Rx5[[#This Row],[Duree_Panne_Min]]/60) &amp; " h " &amp; MOD(LOGS_Rx5[[#This Row],[Duree_Panne_Min]],60) &amp; " min " &amp; "0 s"</f>
        <v>0 h 42 min 0 s</v>
      </c>
    </row>
    <row r="522" spans="1:11" x14ac:dyDescent="0.35">
      <c r="A522" s="1" t="s">
        <v>1028</v>
      </c>
      <c r="B522" s="2">
        <v>45229.670138888891</v>
      </c>
      <c r="C522" s="1" t="s">
        <v>1056</v>
      </c>
      <c r="D522">
        <v>41</v>
      </c>
      <c r="E522" s="1" t="s">
        <v>740</v>
      </c>
      <c r="F522" s="1" t="str">
        <f>VLOOKUP(C522,REGISTRE!B:G,2,FALSE)</f>
        <v>Haut-Lomami</v>
      </c>
      <c r="G522" s="1">
        <f>VLOOKUP(C522,REGISTRE!B:G,3,FALSE)</f>
        <v>-7.1785899999999998</v>
      </c>
      <c r="H522" s="1">
        <f>VLOOKUP(C522,REGISTRE!B:G,4,FALSE)</f>
        <v>24.4404</v>
      </c>
      <c r="I522" s="1" t="str">
        <f>VLOOKUP(C522,REGISTRE!B:G,5,FALSE)</f>
        <v>4G</v>
      </c>
      <c r="J522" s="1" t="str">
        <f>VLOOKUP(C522,REGISTRE!B:G,6,FALSE)</f>
        <v>Nokia</v>
      </c>
      <c r="K522" s="1" t="str">
        <f>INT(LOGS_Rx5[[#This Row],[Duree_Panne_Min]]/60) &amp; " h " &amp; MOD(LOGS_Rx5[[#This Row],[Duree_Panne_Min]],60) &amp; " min " &amp; "0 s"</f>
        <v>0 h 41 min 0 s</v>
      </c>
    </row>
    <row r="523" spans="1:11" x14ac:dyDescent="0.35">
      <c r="A523" s="1" t="s">
        <v>1091</v>
      </c>
      <c r="B523" s="2">
        <v>45216.463888888888</v>
      </c>
      <c r="C523" s="1" t="s">
        <v>1056</v>
      </c>
      <c r="D523">
        <v>58</v>
      </c>
      <c r="E523" s="1" t="s">
        <v>735</v>
      </c>
      <c r="F523" s="1" t="str">
        <f>VLOOKUP(C523,REGISTRE!B:G,2,FALSE)</f>
        <v>Haut-Lomami</v>
      </c>
      <c r="G523" s="1">
        <f>VLOOKUP(C523,REGISTRE!B:G,3,FALSE)</f>
        <v>-7.1785899999999998</v>
      </c>
      <c r="H523" s="1">
        <f>VLOOKUP(C523,REGISTRE!B:G,4,FALSE)</f>
        <v>24.4404</v>
      </c>
      <c r="I523" s="1" t="str">
        <f>VLOOKUP(C523,REGISTRE!B:G,5,FALSE)</f>
        <v>4G</v>
      </c>
      <c r="J523" s="1" t="str">
        <f>VLOOKUP(C523,REGISTRE!B:G,6,FALSE)</f>
        <v>Nokia</v>
      </c>
      <c r="K523" s="1" t="str">
        <f>INT(LOGS_Rx5[[#This Row],[Duree_Panne_Min]]/60) &amp; " h " &amp; MOD(LOGS_Rx5[[#This Row],[Duree_Panne_Min]],60) &amp; " min " &amp; "0 s"</f>
        <v>0 h 58 min 0 s</v>
      </c>
    </row>
    <row r="524" spans="1:11" x14ac:dyDescent="0.35">
      <c r="A524" s="1" t="s">
        <v>1247</v>
      </c>
      <c r="B524" s="2">
        <v>45212.115277777782</v>
      </c>
      <c r="C524" s="1" t="s">
        <v>1056</v>
      </c>
      <c r="D524">
        <v>15</v>
      </c>
      <c r="E524" s="1" t="s">
        <v>738</v>
      </c>
      <c r="F524" s="1" t="str">
        <f>VLOOKUP(C524,REGISTRE!B:G,2,FALSE)</f>
        <v>Haut-Lomami</v>
      </c>
      <c r="G524" s="1">
        <f>VLOOKUP(C524,REGISTRE!B:G,3,FALSE)</f>
        <v>-7.1785899999999998</v>
      </c>
      <c r="H524" s="1">
        <f>VLOOKUP(C524,REGISTRE!B:G,4,FALSE)</f>
        <v>24.4404</v>
      </c>
      <c r="I524" s="1" t="str">
        <f>VLOOKUP(C524,REGISTRE!B:G,5,FALSE)</f>
        <v>4G</v>
      </c>
      <c r="J524" s="1" t="str">
        <f>VLOOKUP(C524,REGISTRE!B:G,6,FALSE)</f>
        <v>Nokia</v>
      </c>
      <c r="K524" s="1" t="str">
        <f>INT(LOGS_Rx5[[#This Row],[Duree_Panne_Min]]/60) &amp; " h " &amp; MOD(LOGS_Rx5[[#This Row],[Duree_Panne_Min]],60) &amp; " min " &amp; "0 s"</f>
        <v>0 h 15 min 0 s</v>
      </c>
    </row>
    <row r="525" spans="1:11" x14ac:dyDescent="0.35">
      <c r="A525" s="1" t="s">
        <v>1314</v>
      </c>
      <c r="B525" s="2">
        <v>45225.054166666669</v>
      </c>
      <c r="C525" s="1" t="s">
        <v>1327</v>
      </c>
      <c r="D525">
        <v>38</v>
      </c>
      <c r="E525" s="1" t="s">
        <v>740</v>
      </c>
      <c r="F525" s="1" t="str">
        <f>VLOOKUP(C525,REGISTRE!B:G,2,FALSE)</f>
        <v>Lualaba</v>
      </c>
      <c r="G525" s="1">
        <f>VLOOKUP(C525,REGISTRE!B:G,3,FALSE)</f>
        <v>-4.2184999999999997</v>
      </c>
      <c r="H525" s="1">
        <f>VLOOKUP(C525,REGISTRE!B:G,4,FALSE)</f>
        <v>23.077093999999999</v>
      </c>
      <c r="I525" s="1" t="str">
        <f>VLOOKUP(C525,REGISTRE!B:G,5,FALSE)</f>
        <v>4G</v>
      </c>
      <c r="J525" s="1" t="str">
        <f>VLOOKUP(C525,REGISTRE!B:G,6,FALSE)</f>
        <v>Ericsson</v>
      </c>
      <c r="K525" s="1" t="str">
        <f>INT(LOGS_Rx5[[#This Row],[Duree_Panne_Min]]/60) &amp; " h " &amp; MOD(LOGS_Rx5[[#This Row],[Duree_Panne_Min]],60) &amp; " min " &amp; "0 s"</f>
        <v>0 h 38 min 0 s</v>
      </c>
    </row>
    <row r="526" spans="1:11" x14ac:dyDescent="0.35">
      <c r="A526" s="1" t="s">
        <v>1247</v>
      </c>
      <c r="B526" s="2">
        <v>45230.638888888891</v>
      </c>
      <c r="C526" s="1" t="s">
        <v>1248</v>
      </c>
      <c r="D526">
        <v>77</v>
      </c>
      <c r="E526" s="1" t="s">
        <v>738</v>
      </c>
      <c r="F526" s="1" t="str">
        <f>VLOOKUP(C526,REGISTRE!B:G,2,FALSE)</f>
        <v>Kinshasa</v>
      </c>
      <c r="G526" s="1">
        <f>VLOOKUP(C526,REGISTRE!B:G,3,FALSE)</f>
        <v>-0.57104900000000003</v>
      </c>
      <c r="H526" s="1">
        <f>VLOOKUP(C526,REGISTRE!B:G,4,FALSE)</f>
        <v>15.317663</v>
      </c>
      <c r="I526" s="1" t="str">
        <f>VLOOKUP(C526,REGISTRE!B:G,5,FALSE)</f>
        <v>5G</v>
      </c>
      <c r="J526" s="1" t="str">
        <f>VLOOKUP(C526,REGISTRE!B:G,6,FALSE)</f>
        <v>Nokia</v>
      </c>
      <c r="K526" s="1" t="str">
        <f>INT(LOGS_Rx5[[#This Row],[Duree_Panne_Min]]/60) &amp; " h " &amp; MOD(LOGS_Rx5[[#This Row],[Duree_Panne_Min]],60) &amp; " min " &amp; "0 s"</f>
        <v>1 h 17 min 0 s</v>
      </c>
    </row>
    <row r="527" spans="1:11" x14ac:dyDescent="0.35">
      <c r="A527" s="1" t="s">
        <v>1199</v>
      </c>
      <c r="B527" s="2">
        <v>45211.337500000001</v>
      </c>
      <c r="C527" s="1" t="s">
        <v>1213</v>
      </c>
      <c r="D527">
        <v>88</v>
      </c>
      <c r="E527" s="1" t="s">
        <v>738</v>
      </c>
      <c r="F527" s="1" t="str">
        <f>VLOOKUP(C527,REGISTRE!B:G,2,FALSE)</f>
        <v>Ituri</v>
      </c>
      <c r="G527" s="1">
        <f>VLOOKUP(C527,REGISTRE!B:G,3,FALSE)</f>
        <v>-12.364127999999999</v>
      </c>
      <c r="H527" s="1">
        <f>VLOOKUP(C527,REGISTRE!B:G,4,FALSE)</f>
        <v>19.576150999999999</v>
      </c>
      <c r="I527" s="1" t="str">
        <f>VLOOKUP(C527,REGISTRE!B:G,5,FALSE)</f>
        <v>3G</v>
      </c>
      <c r="J527" s="1" t="str">
        <f>VLOOKUP(C527,REGISTRE!B:G,6,FALSE)</f>
        <v>Nokia</v>
      </c>
      <c r="K527" s="1" t="str">
        <f>INT(LOGS_Rx5[[#This Row],[Duree_Panne_Min]]/60) &amp; " h " &amp; MOD(LOGS_Rx5[[#This Row],[Duree_Panne_Min]],60) &amp; " min " &amp; "0 s"</f>
        <v>1 h 28 min 0 s</v>
      </c>
    </row>
    <row r="528" spans="1:11" x14ac:dyDescent="0.35">
      <c r="A528" s="1" t="s">
        <v>733</v>
      </c>
      <c r="B528" s="2">
        <v>45207.982638888891</v>
      </c>
      <c r="C528" s="1" t="s">
        <v>781</v>
      </c>
      <c r="D528">
        <v>25</v>
      </c>
      <c r="E528" s="1" t="s">
        <v>740</v>
      </c>
      <c r="F528" s="1" t="str">
        <f>VLOOKUP(C528,REGISTRE!B:G,2,FALSE)</f>
        <v>Nord-Kivu</v>
      </c>
      <c r="G528" s="1">
        <f>VLOOKUP(C528,REGISTRE!B:G,3,FALSE)</f>
        <v>-11.866133</v>
      </c>
      <c r="H528" s="1">
        <f>VLOOKUP(C528,REGISTRE!B:G,4,FALSE)</f>
        <v>27.068932</v>
      </c>
      <c r="I528" s="1" t="str">
        <f>VLOOKUP(C528,REGISTRE!B:G,5,FALSE)</f>
        <v>3G</v>
      </c>
      <c r="J528" s="1" t="str">
        <f>VLOOKUP(C528,REGISTRE!B:G,6,FALSE)</f>
        <v>Huawei</v>
      </c>
      <c r="K528" s="1" t="str">
        <f>INT(LOGS_Rx5[[#This Row],[Duree_Panne_Min]]/60) &amp; " h " &amp; MOD(LOGS_Rx5[[#This Row],[Duree_Panne_Min]],60) &amp; " min " &amp; "0 s"</f>
        <v>0 h 25 min 0 s</v>
      </c>
    </row>
    <row r="529" spans="1:11" x14ac:dyDescent="0.35">
      <c r="A529" s="1" t="s">
        <v>1028</v>
      </c>
      <c r="B529" s="2">
        <v>45215.67291666667</v>
      </c>
      <c r="C529" s="1" t="s">
        <v>781</v>
      </c>
      <c r="D529">
        <v>117</v>
      </c>
      <c r="E529" s="1" t="s">
        <v>740</v>
      </c>
      <c r="F529" s="1" t="str">
        <f>VLOOKUP(C529,REGISTRE!B:G,2,FALSE)</f>
        <v>Nord-Kivu</v>
      </c>
      <c r="G529" s="1">
        <f>VLOOKUP(C529,REGISTRE!B:G,3,FALSE)</f>
        <v>-11.866133</v>
      </c>
      <c r="H529" s="1">
        <f>VLOOKUP(C529,REGISTRE!B:G,4,FALSE)</f>
        <v>27.068932</v>
      </c>
      <c r="I529" s="1" t="str">
        <f>VLOOKUP(C529,REGISTRE!B:G,5,FALSE)</f>
        <v>3G</v>
      </c>
      <c r="J529" s="1" t="str">
        <f>VLOOKUP(C529,REGISTRE!B:G,6,FALSE)</f>
        <v>Huawei</v>
      </c>
      <c r="K529" s="1" t="str">
        <f>INT(LOGS_Rx5[[#This Row],[Duree_Panne_Min]]/60) &amp; " h " &amp; MOD(LOGS_Rx5[[#This Row],[Duree_Panne_Min]],60) &amp; " min " &amp; "0 s"</f>
        <v>1 h 57 min 0 s</v>
      </c>
    </row>
    <row r="530" spans="1:11" x14ac:dyDescent="0.35">
      <c r="A530" s="1" t="s">
        <v>1294</v>
      </c>
      <c r="B530" s="2">
        <v>45205.768750000003</v>
      </c>
      <c r="C530" s="1" t="s">
        <v>1303</v>
      </c>
      <c r="D530">
        <v>36</v>
      </c>
      <c r="E530" s="1" t="s">
        <v>735</v>
      </c>
      <c r="F530" s="1" t="str">
        <f>VLOOKUP(C530,REGISTRE!B:G,2,FALSE)</f>
        <v>Kongo-Central</v>
      </c>
      <c r="G530" s="1">
        <f>VLOOKUP(C530,REGISTRE!B:G,3,FALSE)</f>
        <v>-0.469945</v>
      </c>
      <c r="H530" s="1">
        <f>VLOOKUP(C530,REGISTRE!B:G,4,FALSE)</f>
        <v>21.038527999999999</v>
      </c>
      <c r="I530" s="1" t="str">
        <f>VLOOKUP(C530,REGISTRE!B:G,5,FALSE)</f>
        <v>3G</v>
      </c>
      <c r="J530" s="1" t="str">
        <f>VLOOKUP(C530,REGISTRE!B:G,6,FALSE)</f>
        <v>Ericsson</v>
      </c>
      <c r="K530" s="1" t="str">
        <f>INT(LOGS_Rx5[[#This Row],[Duree_Panne_Min]]/60) &amp; " h " &amp; MOD(LOGS_Rx5[[#This Row],[Duree_Panne_Min]],60) &amp; " min " &amp; "0 s"</f>
        <v>0 h 36 min 0 s</v>
      </c>
    </row>
    <row r="531" spans="1:11" x14ac:dyDescent="0.35">
      <c r="A531" s="1" t="s">
        <v>1414</v>
      </c>
      <c r="B531" s="2">
        <v>45225.888194444437</v>
      </c>
      <c r="C531" s="1" t="s">
        <v>1421</v>
      </c>
      <c r="D531">
        <v>87</v>
      </c>
      <c r="E531" s="1" t="s">
        <v>740</v>
      </c>
      <c r="F531" s="1" t="str">
        <f>VLOOKUP(C531,REGISTRE!B:G,2,FALSE)</f>
        <v>Haut-Lomami</v>
      </c>
      <c r="G531" s="1">
        <f>VLOOKUP(C531,REGISTRE!B:G,3,FALSE)</f>
        <v>-5.8145569999999998</v>
      </c>
      <c r="H531" s="1">
        <f>VLOOKUP(C531,REGISTRE!B:G,4,FALSE)</f>
        <v>21.942052</v>
      </c>
      <c r="I531" s="1" t="str">
        <f>VLOOKUP(C531,REGISTRE!B:G,5,FALSE)</f>
        <v>5G</v>
      </c>
      <c r="J531" s="1" t="str">
        <f>VLOOKUP(C531,REGISTRE!B:G,6,FALSE)</f>
        <v>Huawei</v>
      </c>
      <c r="K531" s="1" t="str">
        <f>INT(LOGS_Rx5[[#This Row],[Duree_Panne_Min]]/60) &amp; " h " &amp; MOD(LOGS_Rx5[[#This Row],[Duree_Panne_Min]],60) &amp; " min " &amp; "0 s"</f>
        <v>1 h 27 min 0 s</v>
      </c>
    </row>
    <row r="532" spans="1:11" x14ac:dyDescent="0.35">
      <c r="A532" s="1" t="s">
        <v>1267</v>
      </c>
      <c r="B532" s="2">
        <v>45209.907638888893</v>
      </c>
      <c r="C532" s="1" t="s">
        <v>1270</v>
      </c>
      <c r="D532">
        <v>99</v>
      </c>
      <c r="E532" s="1" t="s">
        <v>740</v>
      </c>
      <c r="F532" s="1" t="str">
        <f>VLOOKUP(C532,REGISTRE!B:G,2,FALSE)</f>
        <v>Kasaï</v>
      </c>
      <c r="G532" s="1">
        <f>VLOOKUP(C532,REGISTRE!B:G,3,FALSE)</f>
        <v>-7.6757720000000003</v>
      </c>
      <c r="H532" s="1">
        <f>VLOOKUP(C532,REGISTRE!B:G,4,FALSE)</f>
        <v>30.222971000000001</v>
      </c>
      <c r="I532" s="1" t="str">
        <f>VLOOKUP(C532,REGISTRE!B:G,5,FALSE)</f>
        <v>5G</v>
      </c>
      <c r="J532" s="1" t="str">
        <f>VLOOKUP(C532,REGISTRE!B:G,6,FALSE)</f>
        <v>Ericsson</v>
      </c>
      <c r="K532" s="1" t="str">
        <f>INT(LOGS_Rx5[[#This Row],[Duree_Panne_Min]]/60) &amp; " h " &amp; MOD(LOGS_Rx5[[#This Row],[Duree_Panne_Min]],60) &amp; " min " &amp; "0 s"</f>
        <v>1 h 39 min 0 s</v>
      </c>
    </row>
    <row r="533" spans="1:11" x14ac:dyDescent="0.35">
      <c r="A533" s="1" t="s">
        <v>1091</v>
      </c>
      <c r="B533" s="2">
        <v>45209.53125</v>
      </c>
      <c r="C533" s="1" t="s">
        <v>1101</v>
      </c>
      <c r="D533">
        <v>63</v>
      </c>
      <c r="E533" s="1" t="s">
        <v>735</v>
      </c>
      <c r="F533" s="1" t="str">
        <f>VLOOKUP(C533,REGISTRE!B:G,2,FALSE)</f>
        <v>Maniema</v>
      </c>
      <c r="G533" s="1">
        <f>VLOOKUP(C533,REGISTRE!B:G,3,FALSE)</f>
        <v>1.727095</v>
      </c>
      <c r="H533" s="1">
        <f>VLOOKUP(C533,REGISTRE!B:G,4,FALSE)</f>
        <v>22.099651999999999</v>
      </c>
      <c r="I533" s="1" t="str">
        <f>VLOOKUP(C533,REGISTRE!B:G,5,FALSE)</f>
        <v>4G</v>
      </c>
      <c r="J533" s="1" t="str">
        <f>VLOOKUP(C533,REGISTRE!B:G,6,FALSE)</f>
        <v>Huawei</v>
      </c>
      <c r="K533" s="1" t="str">
        <f>INT(LOGS_Rx5[[#This Row],[Duree_Panne_Min]]/60) &amp; " h " &amp; MOD(LOGS_Rx5[[#This Row],[Duree_Panne_Min]],60) &amp; " min " &amp; "0 s"</f>
        <v>1 h 3 min 0 s</v>
      </c>
    </row>
    <row r="534" spans="1:11" x14ac:dyDescent="0.35">
      <c r="A534" s="1" t="s">
        <v>1120</v>
      </c>
      <c r="B534" s="2">
        <v>45224.775000000001</v>
      </c>
      <c r="C534" s="1" t="s">
        <v>1130</v>
      </c>
      <c r="D534">
        <v>107</v>
      </c>
      <c r="E534" s="1" t="s">
        <v>740</v>
      </c>
      <c r="F534" s="1" t="str">
        <f>VLOOKUP(C534,REGISTRE!B:G,2,FALSE)</f>
        <v>Equateur</v>
      </c>
      <c r="G534" s="1">
        <f>VLOOKUP(C534,REGISTRE!B:G,3,FALSE)</f>
        <v>-5.7200150000000001</v>
      </c>
      <c r="H534" s="1">
        <f>VLOOKUP(C534,REGISTRE!B:G,4,FALSE)</f>
        <v>25.022109</v>
      </c>
      <c r="I534" s="1" t="str">
        <f>VLOOKUP(C534,REGISTRE!B:G,5,FALSE)</f>
        <v>5G</v>
      </c>
      <c r="J534" s="1" t="str">
        <f>VLOOKUP(C534,REGISTRE!B:G,6,FALSE)</f>
        <v>ZTE</v>
      </c>
      <c r="K534" s="1" t="str">
        <f>INT(LOGS_Rx5[[#This Row],[Duree_Panne_Min]]/60) &amp; " h " &amp; MOD(LOGS_Rx5[[#This Row],[Duree_Panne_Min]],60) &amp; " min " &amp; "0 s"</f>
        <v>1 h 47 min 0 s</v>
      </c>
    </row>
    <row r="535" spans="1:11" x14ac:dyDescent="0.35">
      <c r="A535" s="1" t="s">
        <v>1120</v>
      </c>
      <c r="B535" s="2">
        <v>45216.274305555547</v>
      </c>
      <c r="C535" s="1" t="s">
        <v>1130</v>
      </c>
      <c r="D535">
        <v>30</v>
      </c>
      <c r="E535" s="1" t="s">
        <v>738</v>
      </c>
      <c r="F535" s="1" t="str">
        <f>VLOOKUP(C535,REGISTRE!B:G,2,FALSE)</f>
        <v>Equateur</v>
      </c>
      <c r="G535" s="1">
        <f>VLOOKUP(C535,REGISTRE!B:G,3,FALSE)</f>
        <v>-5.7200150000000001</v>
      </c>
      <c r="H535" s="1">
        <f>VLOOKUP(C535,REGISTRE!B:G,4,FALSE)</f>
        <v>25.022109</v>
      </c>
      <c r="I535" s="1" t="str">
        <f>VLOOKUP(C535,REGISTRE!B:G,5,FALSE)</f>
        <v>5G</v>
      </c>
      <c r="J535" s="1" t="str">
        <f>VLOOKUP(C535,REGISTRE!B:G,6,FALSE)</f>
        <v>ZTE</v>
      </c>
      <c r="K535" s="1" t="str">
        <f>INT(LOGS_Rx5[[#This Row],[Duree_Panne_Min]]/60) &amp; " h " &amp; MOD(LOGS_Rx5[[#This Row],[Duree_Panne_Min]],60) &amp; " min " &amp; "0 s"</f>
        <v>0 h 30 min 0 s</v>
      </c>
    </row>
    <row r="536" spans="1:11" x14ac:dyDescent="0.35">
      <c r="A536" s="1" t="s">
        <v>1267</v>
      </c>
      <c r="B536" s="2">
        <v>45230.50277777778</v>
      </c>
      <c r="C536" s="1" t="s">
        <v>1130</v>
      </c>
      <c r="D536">
        <v>99</v>
      </c>
      <c r="E536" s="1" t="s">
        <v>735</v>
      </c>
      <c r="F536" s="1" t="str">
        <f>VLOOKUP(C536,REGISTRE!B:G,2,FALSE)</f>
        <v>Equateur</v>
      </c>
      <c r="G536" s="1">
        <f>VLOOKUP(C536,REGISTRE!B:G,3,FALSE)</f>
        <v>-5.7200150000000001</v>
      </c>
      <c r="H536" s="1">
        <f>VLOOKUP(C536,REGISTRE!B:G,4,FALSE)</f>
        <v>25.022109</v>
      </c>
      <c r="I536" s="1" t="str">
        <f>VLOOKUP(C536,REGISTRE!B:G,5,FALSE)</f>
        <v>5G</v>
      </c>
      <c r="J536" s="1" t="str">
        <f>VLOOKUP(C536,REGISTRE!B:G,6,FALSE)</f>
        <v>ZTE</v>
      </c>
      <c r="K536" s="1" t="str">
        <f>INT(LOGS_Rx5[[#This Row],[Duree_Panne_Min]]/60) &amp; " h " &amp; MOD(LOGS_Rx5[[#This Row],[Duree_Panne_Min]],60) &amp; " min " &amp; "0 s"</f>
        <v>1 h 39 min 0 s</v>
      </c>
    </row>
    <row r="537" spans="1:11" x14ac:dyDescent="0.35">
      <c r="A537" s="1" t="s">
        <v>1028</v>
      </c>
      <c r="B537" s="2">
        <v>45201.057638888888</v>
      </c>
      <c r="C537" s="1" t="s">
        <v>1029</v>
      </c>
      <c r="D537">
        <v>103</v>
      </c>
      <c r="E537" s="1" t="s">
        <v>735</v>
      </c>
      <c r="F537" s="1" t="str">
        <f>VLOOKUP(C537,REGISTRE!B:G,2,FALSE)</f>
        <v>Haut-Katanga</v>
      </c>
      <c r="G537" s="1">
        <f>VLOOKUP(C537,REGISTRE!B:G,3,FALSE)</f>
        <v>-11.594525000000001</v>
      </c>
      <c r="H537" s="1">
        <f>VLOOKUP(C537,REGISTRE!B:G,4,FALSE)</f>
        <v>29.744895</v>
      </c>
      <c r="I537" s="1" t="str">
        <f>VLOOKUP(C537,REGISTRE!B:G,5,FALSE)</f>
        <v>3G</v>
      </c>
      <c r="J537" s="1" t="str">
        <f>VLOOKUP(C537,REGISTRE!B:G,6,FALSE)</f>
        <v>ZTE</v>
      </c>
      <c r="K537" s="1" t="str">
        <f>INT(LOGS_Rx5[[#This Row],[Duree_Panne_Min]]/60) &amp; " h " &amp; MOD(LOGS_Rx5[[#This Row],[Duree_Panne_Min]],60) &amp; " min " &amp; "0 s"</f>
        <v>1 h 43 min 0 s</v>
      </c>
    </row>
    <row r="538" spans="1:11" x14ac:dyDescent="0.35">
      <c r="A538" s="1" t="s">
        <v>1314</v>
      </c>
      <c r="B538" s="2">
        <v>45226.659722222219</v>
      </c>
      <c r="C538" s="1" t="s">
        <v>1029</v>
      </c>
      <c r="D538">
        <v>65</v>
      </c>
      <c r="E538" s="1" t="s">
        <v>738</v>
      </c>
      <c r="F538" s="1" t="str">
        <f>VLOOKUP(C538,REGISTRE!B:G,2,FALSE)</f>
        <v>Haut-Katanga</v>
      </c>
      <c r="G538" s="1">
        <f>VLOOKUP(C538,REGISTRE!B:G,3,FALSE)</f>
        <v>-11.594525000000001</v>
      </c>
      <c r="H538" s="1">
        <f>VLOOKUP(C538,REGISTRE!B:G,4,FALSE)</f>
        <v>29.744895</v>
      </c>
      <c r="I538" s="1" t="str">
        <f>VLOOKUP(C538,REGISTRE!B:G,5,FALSE)</f>
        <v>3G</v>
      </c>
      <c r="J538" s="1" t="str">
        <f>VLOOKUP(C538,REGISTRE!B:G,6,FALSE)</f>
        <v>ZTE</v>
      </c>
      <c r="K538" s="1" t="str">
        <f>INT(LOGS_Rx5[[#This Row],[Duree_Panne_Min]]/60) &amp; " h " &amp; MOD(LOGS_Rx5[[#This Row],[Duree_Panne_Min]],60) &amp; " min " &amp; "0 s"</f>
        <v>1 h 5 min 0 s</v>
      </c>
    </row>
    <row r="539" spans="1:11" x14ac:dyDescent="0.35">
      <c r="A539" s="1" t="s">
        <v>1002</v>
      </c>
      <c r="B539" s="2">
        <v>45207.140277777777</v>
      </c>
      <c r="C539" s="1" t="s">
        <v>1006</v>
      </c>
      <c r="D539">
        <v>46</v>
      </c>
      <c r="E539" s="1" t="s">
        <v>738</v>
      </c>
      <c r="F539" s="1" t="str">
        <f>VLOOKUP(C539,REGISTRE!B:G,2,FALSE)</f>
        <v>Kongo-Central</v>
      </c>
      <c r="G539" s="1">
        <f>VLOOKUP(C539,REGISTRE!B:G,3,FALSE)</f>
        <v>-12.112399999999999</v>
      </c>
      <c r="H539" s="1">
        <f>VLOOKUP(C539,REGISTRE!B:G,4,FALSE)</f>
        <v>15.872226</v>
      </c>
      <c r="I539" s="1" t="str">
        <f>VLOOKUP(C539,REGISTRE!B:G,5,FALSE)</f>
        <v>4G</v>
      </c>
      <c r="J539" s="1" t="str">
        <f>VLOOKUP(C539,REGISTRE!B:G,6,FALSE)</f>
        <v>Nokia</v>
      </c>
      <c r="K539" s="1" t="str">
        <f>INT(LOGS_Rx5[[#This Row],[Duree_Panne_Min]]/60) &amp; " h " &amp; MOD(LOGS_Rx5[[#This Row],[Duree_Panne_Min]],60) &amp; " min " &amp; "0 s"</f>
        <v>0 h 46 min 0 s</v>
      </c>
    </row>
    <row r="540" spans="1:11" x14ac:dyDescent="0.35">
      <c r="A540" s="1" t="s">
        <v>1028</v>
      </c>
      <c r="B540" s="2">
        <v>45220.847916666673</v>
      </c>
      <c r="C540" s="1" t="s">
        <v>1006</v>
      </c>
      <c r="D540">
        <v>103</v>
      </c>
      <c r="E540" s="1" t="s">
        <v>735</v>
      </c>
      <c r="F540" s="1" t="str">
        <f>VLOOKUP(C540,REGISTRE!B:G,2,FALSE)</f>
        <v>Kongo-Central</v>
      </c>
      <c r="G540" s="1">
        <f>VLOOKUP(C540,REGISTRE!B:G,3,FALSE)</f>
        <v>-12.112399999999999</v>
      </c>
      <c r="H540" s="1">
        <f>VLOOKUP(C540,REGISTRE!B:G,4,FALSE)</f>
        <v>15.872226</v>
      </c>
      <c r="I540" s="1" t="str">
        <f>VLOOKUP(C540,REGISTRE!B:G,5,FALSE)</f>
        <v>4G</v>
      </c>
      <c r="J540" s="1" t="str">
        <f>VLOOKUP(C540,REGISTRE!B:G,6,FALSE)</f>
        <v>Nokia</v>
      </c>
      <c r="K540" s="1" t="str">
        <f>INT(LOGS_Rx5[[#This Row],[Duree_Panne_Min]]/60) &amp; " h " &amp; MOD(LOGS_Rx5[[#This Row],[Duree_Panne_Min]],60) &amp; " min " &amp; "0 s"</f>
        <v>1 h 43 min 0 s</v>
      </c>
    </row>
    <row r="541" spans="1:11" x14ac:dyDescent="0.35">
      <c r="A541" s="1" t="s">
        <v>1091</v>
      </c>
      <c r="B541" s="2">
        <v>45201.867361111108</v>
      </c>
      <c r="C541" s="1" t="s">
        <v>1006</v>
      </c>
      <c r="D541">
        <v>18</v>
      </c>
      <c r="E541" s="1" t="s">
        <v>735</v>
      </c>
      <c r="F541" s="1" t="str">
        <f>VLOOKUP(C541,REGISTRE!B:G,2,FALSE)</f>
        <v>Kongo-Central</v>
      </c>
      <c r="G541" s="1">
        <f>VLOOKUP(C541,REGISTRE!B:G,3,FALSE)</f>
        <v>-12.112399999999999</v>
      </c>
      <c r="H541" s="1">
        <f>VLOOKUP(C541,REGISTRE!B:G,4,FALSE)</f>
        <v>15.872226</v>
      </c>
      <c r="I541" s="1" t="str">
        <f>VLOOKUP(C541,REGISTRE!B:G,5,FALSE)</f>
        <v>4G</v>
      </c>
      <c r="J541" s="1" t="str">
        <f>VLOOKUP(C541,REGISTRE!B:G,6,FALSE)</f>
        <v>Nokia</v>
      </c>
      <c r="K541" s="1" t="str">
        <f>INT(LOGS_Rx5[[#This Row],[Duree_Panne_Min]]/60) &amp; " h " &amp; MOD(LOGS_Rx5[[#This Row],[Duree_Panne_Min]],60) &amp; " min " &amp; "0 s"</f>
        <v>0 h 18 min 0 s</v>
      </c>
    </row>
    <row r="542" spans="1:11" x14ac:dyDescent="0.35">
      <c r="A542" s="1" t="s">
        <v>1336</v>
      </c>
      <c r="B542" s="2">
        <v>45215.372916666667</v>
      </c>
      <c r="C542" s="1" t="s">
        <v>1006</v>
      </c>
      <c r="D542">
        <v>70</v>
      </c>
      <c r="E542" s="1" t="s">
        <v>738</v>
      </c>
      <c r="F542" s="1" t="str">
        <f>VLOOKUP(C542,REGISTRE!B:G,2,FALSE)</f>
        <v>Kongo-Central</v>
      </c>
      <c r="G542" s="1">
        <f>VLOOKUP(C542,REGISTRE!B:G,3,FALSE)</f>
        <v>-12.112399999999999</v>
      </c>
      <c r="H542" s="1">
        <f>VLOOKUP(C542,REGISTRE!B:G,4,FALSE)</f>
        <v>15.872226</v>
      </c>
      <c r="I542" s="1" t="str">
        <f>VLOOKUP(C542,REGISTRE!B:G,5,FALSE)</f>
        <v>4G</v>
      </c>
      <c r="J542" s="1" t="str">
        <f>VLOOKUP(C542,REGISTRE!B:G,6,FALSE)</f>
        <v>Nokia</v>
      </c>
      <c r="K542" s="1" t="str">
        <f>INT(LOGS_Rx5[[#This Row],[Duree_Panne_Min]]/60) &amp; " h " &amp; MOD(LOGS_Rx5[[#This Row],[Duree_Panne_Min]],60) &amp; " min " &amp; "0 s"</f>
        <v>1 h 10 min 0 s</v>
      </c>
    </row>
    <row r="543" spans="1:11" x14ac:dyDescent="0.35">
      <c r="A543" s="1" t="s">
        <v>942</v>
      </c>
      <c r="B543" s="2">
        <v>45209.852083333331</v>
      </c>
      <c r="C543" s="1" t="s">
        <v>979</v>
      </c>
      <c r="D543">
        <v>91</v>
      </c>
      <c r="E543" s="1" t="s">
        <v>740</v>
      </c>
      <c r="F543" s="1" t="str">
        <f>VLOOKUP(C543,REGISTRE!B:G,2,FALSE)</f>
        <v>Kwango</v>
      </c>
      <c r="G543" s="1">
        <f>VLOOKUP(C543,REGISTRE!B:G,3,FALSE)</f>
        <v>-12.431227</v>
      </c>
      <c r="H543" s="1">
        <f>VLOOKUP(C543,REGISTRE!B:G,4,FALSE)</f>
        <v>18.414290999999999</v>
      </c>
      <c r="I543" s="1" t="str">
        <f>VLOOKUP(C543,REGISTRE!B:G,5,FALSE)</f>
        <v>5G</v>
      </c>
      <c r="J543" s="1" t="str">
        <f>VLOOKUP(C543,REGISTRE!B:G,6,FALSE)</f>
        <v>Huawei</v>
      </c>
      <c r="K543" s="1" t="str">
        <f>INT(LOGS_Rx5[[#This Row],[Duree_Panne_Min]]/60) &amp; " h " &amp; MOD(LOGS_Rx5[[#This Row],[Duree_Panne_Min]],60) &amp; " min " &amp; "0 s"</f>
        <v>1 h 31 min 0 s</v>
      </c>
    </row>
    <row r="544" spans="1:11" x14ac:dyDescent="0.35">
      <c r="A544" s="1" t="s">
        <v>905</v>
      </c>
      <c r="B544" s="2">
        <v>45226.100694444453</v>
      </c>
      <c r="C544" s="1" t="s">
        <v>908</v>
      </c>
      <c r="D544">
        <v>110</v>
      </c>
      <c r="E544" s="1" t="s">
        <v>738</v>
      </c>
      <c r="F544" s="1" t="str">
        <f>VLOOKUP(C544,REGISTRE!B:G,2,FALSE)</f>
        <v>Lomami</v>
      </c>
      <c r="G544" s="1">
        <f>VLOOKUP(C544,REGISTRE!B:G,3,FALSE)</f>
        <v>-2.2681789999999999</v>
      </c>
      <c r="H544" s="1">
        <f>VLOOKUP(C544,REGISTRE!B:G,4,FALSE)</f>
        <v>25.699068</v>
      </c>
      <c r="I544" s="1" t="str">
        <f>VLOOKUP(C544,REGISTRE!B:G,5,FALSE)</f>
        <v>3G</v>
      </c>
      <c r="J544" s="1" t="str">
        <f>VLOOKUP(C544,REGISTRE!B:G,6,FALSE)</f>
        <v>ZTE</v>
      </c>
      <c r="K544" s="1" t="str">
        <f>INT(LOGS_Rx5[[#This Row],[Duree_Panne_Min]]/60) &amp; " h " &amp; MOD(LOGS_Rx5[[#This Row],[Duree_Panne_Min]],60) &amp; " min " &amp; "0 s"</f>
        <v>1 h 50 min 0 s</v>
      </c>
    </row>
    <row r="545" spans="1:11" x14ac:dyDescent="0.35">
      <c r="A545" s="1" t="s">
        <v>1294</v>
      </c>
      <c r="B545" s="2">
        <v>45205.345138888893</v>
      </c>
      <c r="C545" s="1" t="s">
        <v>908</v>
      </c>
      <c r="D545">
        <v>109</v>
      </c>
      <c r="E545" s="1" t="s">
        <v>738</v>
      </c>
      <c r="F545" s="1" t="str">
        <f>VLOOKUP(C545,REGISTRE!B:G,2,FALSE)</f>
        <v>Lomami</v>
      </c>
      <c r="G545" s="1">
        <f>VLOOKUP(C545,REGISTRE!B:G,3,FALSE)</f>
        <v>-2.2681789999999999</v>
      </c>
      <c r="H545" s="1">
        <f>VLOOKUP(C545,REGISTRE!B:G,4,FALSE)</f>
        <v>25.699068</v>
      </c>
      <c r="I545" s="1" t="str">
        <f>VLOOKUP(C545,REGISTRE!B:G,5,FALSE)</f>
        <v>3G</v>
      </c>
      <c r="J545" s="1" t="str">
        <f>VLOOKUP(C545,REGISTRE!B:G,6,FALSE)</f>
        <v>ZTE</v>
      </c>
      <c r="K545" s="1" t="str">
        <f>INT(LOGS_Rx5[[#This Row],[Duree_Panne_Min]]/60) &amp; " h " &amp; MOD(LOGS_Rx5[[#This Row],[Duree_Panne_Min]],60) &amp; " min " &amp; "0 s"</f>
        <v>1 h 49 min 0 s</v>
      </c>
    </row>
    <row r="546" spans="1:11" x14ac:dyDescent="0.35">
      <c r="A546" s="1" t="s">
        <v>942</v>
      </c>
      <c r="B546" s="2">
        <v>45213.779861111107</v>
      </c>
      <c r="C546" s="1" t="s">
        <v>970</v>
      </c>
      <c r="D546">
        <v>120</v>
      </c>
      <c r="E546" s="1" t="s">
        <v>735</v>
      </c>
      <c r="F546" s="1" t="str">
        <f>VLOOKUP(C546,REGISTRE!B:G,2,FALSE)</f>
        <v>Sankuru</v>
      </c>
      <c r="G546" s="1">
        <f>VLOOKUP(C546,REGISTRE!B:G,3,FALSE)</f>
        <v>-7.5969509999999998</v>
      </c>
      <c r="H546" s="1">
        <f>VLOOKUP(C546,REGISTRE!B:G,4,FALSE)</f>
        <v>22.153986</v>
      </c>
      <c r="I546" s="1" t="str">
        <f>VLOOKUP(C546,REGISTRE!B:G,5,FALSE)</f>
        <v>3G</v>
      </c>
      <c r="J546" s="1" t="str">
        <f>VLOOKUP(C546,REGISTRE!B:G,6,FALSE)</f>
        <v>Ericsson</v>
      </c>
      <c r="K546" s="1" t="str">
        <f>INT(LOGS_Rx5[[#This Row],[Duree_Panne_Min]]/60) &amp; " h " &amp; MOD(LOGS_Rx5[[#This Row],[Duree_Panne_Min]],60) &amp; " min " &amp; "0 s"</f>
        <v>2 h 0 min 0 s</v>
      </c>
    </row>
    <row r="547" spans="1:11" x14ac:dyDescent="0.35">
      <c r="A547" s="1" t="s">
        <v>1314</v>
      </c>
      <c r="B547" s="2">
        <v>45222.902777777781</v>
      </c>
      <c r="C547" s="1" t="s">
        <v>970</v>
      </c>
      <c r="D547">
        <v>31</v>
      </c>
      <c r="E547" s="1" t="s">
        <v>740</v>
      </c>
      <c r="F547" s="1" t="str">
        <f>VLOOKUP(C547,REGISTRE!B:G,2,FALSE)</f>
        <v>Sankuru</v>
      </c>
      <c r="G547" s="1">
        <f>VLOOKUP(C547,REGISTRE!B:G,3,FALSE)</f>
        <v>-7.5969509999999998</v>
      </c>
      <c r="H547" s="1">
        <f>VLOOKUP(C547,REGISTRE!B:G,4,FALSE)</f>
        <v>22.153986</v>
      </c>
      <c r="I547" s="1" t="str">
        <f>VLOOKUP(C547,REGISTRE!B:G,5,FALSE)</f>
        <v>3G</v>
      </c>
      <c r="J547" s="1" t="str">
        <f>VLOOKUP(C547,REGISTRE!B:G,6,FALSE)</f>
        <v>Ericsson</v>
      </c>
      <c r="K547" s="1" t="str">
        <f>INT(LOGS_Rx5[[#This Row],[Duree_Panne_Min]]/60) &amp; " h " &amp; MOD(LOGS_Rx5[[#This Row],[Duree_Panne_Min]],60) &amp; " min " &amp; "0 s"</f>
        <v>0 h 31 min 0 s</v>
      </c>
    </row>
    <row r="548" spans="1:11" x14ac:dyDescent="0.35">
      <c r="A548" s="1" t="s">
        <v>905</v>
      </c>
      <c r="B548" s="2">
        <v>45216.729861111111</v>
      </c>
      <c r="C548" s="1" t="s">
        <v>938</v>
      </c>
      <c r="D548">
        <v>109</v>
      </c>
      <c r="E548" s="1" t="s">
        <v>740</v>
      </c>
      <c r="F548" s="1" t="str">
        <f>VLOOKUP(C548,REGISTRE!B:G,2,FALSE)</f>
        <v>Kasai-Oriental</v>
      </c>
      <c r="G548" s="1">
        <f>VLOOKUP(C548,REGISTRE!B:G,3,FALSE)</f>
        <v>0.639208</v>
      </c>
      <c r="H548" s="1">
        <f>VLOOKUP(C548,REGISTRE!B:G,4,FALSE)</f>
        <v>20.701739</v>
      </c>
      <c r="I548" s="1" t="str">
        <f>VLOOKUP(C548,REGISTRE!B:G,5,FALSE)</f>
        <v>4G</v>
      </c>
      <c r="J548" s="1" t="str">
        <f>VLOOKUP(C548,REGISTRE!B:G,6,FALSE)</f>
        <v>Huawei</v>
      </c>
      <c r="K548" s="1" t="str">
        <f>INT(LOGS_Rx5[[#This Row],[Duree_Panne_Min]]/60) &amp; " h " &amp; MOD(LOGS_Rx5[[#This Row],[Duree_Panne_Min]],60) &amp; " min " &amp; "0 s"</f>
        <v>1 h 49 min 0 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8FFBC-0FB1-440E-9267-EA5BC99EA66A}">
  <sheetPr>
    <tabColor rgb="FFFFC000"/>
  </sheetPr>
  <dimension ref="B8:L16"/>
  <sheetViews>
    <sheetView tabSelected="1" topLeftCell="B1" workbookViewId="0">
      <selection activeCell="G16" sqref="G16"/>
    </sheetView>
  </sheetViews>
  <sheetFormatPr baseColWidth="10" defaultRowHeight="14.5" x14ac:dyDescent="0.35"/>
  <cols>
    <col min="2" max="2" width="15.08984375" bestFit="1" customWidth="1"/>
    <col min="3" max="3" width="12.26953125" customWidth="1"/>
    <col min="4" max="4" width="14.6328125" bestFit="1" customWidth="1"/>
    <col min="5" max="5" width="15.08984375" bestFit="1" customWidth="1"/>
    <col min="6" max="6" width="11" customWidth="1"/>
    <col min="8" max="8" width="26.08984375" bestFit="1" customWidth="1"/>
    <col min="9" max="9" width="24.1796875" bestFit="1" customWidth="1"/>
    <col min="10" max="10" width="14.54296875" customWidth="1"/>
    <col min="11" max="11" width="16.453125" bestFit="1" customWidth="1"/>
    <col min="12" max="12" width="31.453125" customWidth="1"/>
    <col min="13" max="13" width="26.08984375" bestFit="1" customWidth="1"/>
    <col min="14" max="14" width="24.1796875" bestFit="1" customWidth="1"/>
  </cols>
  <sheetData>
    <row r="8" spans="2:12" ht="37" x14ac:dyDescent="0.35">
      <c r="B8" s="37" t="s">
        <v>1656</v>
      </c>
      <c r="D8" s="38" t="s">
        <v>1648</v>
      </c>
      <c r="E8" s="38"/>
      <c r="H8" s="38" t="s">
        <v>1649</v>
      </c>
      <c r="I8" s="38"/>
      <c r="K8" s="38" t="s">
        <v>1650</v>
      </c>
      <c r="L8" s="38"/>
    </row>
    <row r="11" spans="2:12" x14ac:dyDescent="0.35">
      <c r="B11" t="s">
        <v>1645</v>
      </c>
      <c r="D11" s="20" t="s">
        <v>1646</v>
      </c>
      <c r="E11" t="s">
        <v>1645</v>
      </c>
      <c r="H11" t="s">
        <v>1643</v>
      </c>
      <c r="I11" t="s">
        <v>1644</v>
      </c>
      <c r="K11" s="20" t="s">
        <v>1647</v>
      </c>
      <c r="L11" t="s">
        <v>1643</v>
      </c>
    </row>
    <row r="12" spans="2:12" x14ac:dyDescent="0.35">
      <c r="B12" s="1">
        <v>27</v>
      </c>
      <c r="D12" s="21" t="s">
        <v>1641</v>
      </c>
      <c r="E12" s="1">
        <v>5</v>
      </c>
      <c r="H12" s="18">
        <v>1471.78</v>
      </c>
      <c r="I12" s="1">
        <v>447.90699999999998</v>
      </c>
      <c r="K12" s="21" t="s">
        <v>18</v>
      </c>
      <c r="L12" s="1">
        <v>400.62</v>
      </c>
    </row>
    <row r="13" spans="2:12" x14ac:dyDescent="0.35">
      <c r="D13" s="21" t="s">
        <v>1642</v>
      </c>
      <c r="E13" s="1">
        <v>22</v>
      </c>
      <c r="K13" s="21" t="s">
        <v>21</v>
      </c>
      <c r="L13" s="1">
        <v>236.03</v>
      </c>
    </row>
    <row r="14" spans="2:12" x14ac:dyDescent="0.35">
      <c r="D14" s="21" t="s">
        <v>1632</v>
      </c>
      <c r="E14" s="1">
        <v>27</v>
      </c>
      <c r="K14" s="21" t="s">
        <v>10</v>
      </c>
      <c r="L14" s="1">
        <v>380.57</v>
      </c>
    </row>
    <row r="15" spans="2:12" x14ac:dyDescent="0.35">
      <c r="K15" s="21" t="s">
        <v>13</v>
      </c>
      <c r="L15" s="1">
        <v>454.56</v>
      </c>
    </row>
    <row r="16" spans="2:12" x14ac:dyDescent="0.35">
      <c r="K16" s="26" t="s">
        <v>1632</v>
      </c>
      <c r="L16" s="27">
        <v>1471.78</v>
      </c>
    </row>
  </sheetData>
  <mergeCells count="3">
    <mergeCell ref="D8:E8"/>
    <mergeCell ref="H8:I8"/>
    <mergeCell ref="K8:L8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872E-AC12-41C9-9818-EA874500B769}">
  <sheetPr>
    <tabColor rgb="FFFFC000"/>
  </sheetPr>
  <dimension ref="A1:M679"/>
  <sheetViews>
    <sheetView workbookViewId="0">
      <selection activeCell="A2" sqref="A2:M679"/>
    </sheetView>
  </sheetViews>
  <sheetFormatPr baseColWidth="10" defaultRowHeight="14.5" x14ac:dyDescent="0.35"/>
  <cols>
    <col min="1" max="1" width="23" bestFit="1" customWidth="1"/>
    <col min="2" max="2" width="10.81640625" bestFit="1" customWidth="1"/>
    <col min="3" max="3" width="16.26953125" bestFit="1" customWidth="1"/>
    <col min="4" max="4" width="17.36328125" bestFit="1" customWidth="1"/>
    <col min="5" max="5" width="16.453125" bestFit="1" customWidth="1"/>
    <col min="6" max="6" width="26.7265625" bestFit="1" customWidth="1"/>
    <col min="7" max="7" width="19" bestFit="1" customWidth="1"/>
    <col min="8" max="8" width="22.90625" bestFit="1" customWidth="1"/>
    <col min="10" max="10" width="10.90625" style="19"/>
    <col min="11" max="11" width="10.90625" style="17"/>
    <col min="13" max="13" width="10.90625" style="18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1628</v>
      </c>
      <c r="J1" s="19" t="s">
        <v>1627</v>
      </c>
      <c r="K1" s="17" t="s">
        <v>1629</v>
      </c>
      <c r="L1" t="s">
        <v>1630</v>
      </c>
      <c r="M1" s="18" t="s">
        <v>1631</v>
      </c>
    </row>
    <row r="2" spans="1:13" x14ac:dyDescent="0.35">
      <c r="A2" s="1" t="s">
        <v>220</v>
      </c>
      <c r="B2" s="1" t="s">
        <v>236</v>
      </c>
      <c r="C2" s="1" t="s">
        <v>35</v>
      </c>
      <c r="D2">
        <v>110</v>
      </c>
      <c r="E2" s="1" t="s">
        <v>18</v>
      </c>
      <c r="F2" s="17">
        <v>112</v>
      </c>
      <c r="G2">
        <v>98.95</v>
      </c>
      <c r="H2">
        <v>5</v>
      </c>
      <c r="I2" t="str">
        <f t="shared" ref="I2:I65" si="0">IF(E3="Pro Monde","B2B","B2C")</f>
        <v>B2B</v>
      </c>
      <c r="J2" s="19">
        <f>CLIENT[[#This Row],[Duree_Cumulee_Panne_Min]]/1440</f>
        <v>7.7777777777777779E-2</v>
      </c>
      <c r="K2" s="17">
        <f>CLIENT[[#This Row],[Anciennete_Mois]]/12</f>
        <v>9.1666666666666661</v>
      </c>
      <c r="L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" s="18">
        <f>CLIENT[[#This Row],[Facture_Mensuelle]]*CLIENT[[#This Row],[Remise]]</f>
        <v>9.8950000000000014</v>
      </c>
    </row>
    <row r="3" spans="1:13" x14ac:dyDescent="0.35">
      <c r="A3" s="1" t="s">
        <v>453</v>
      </c>
      <c r="B3" s="1" t="s">
        <v>462</v>
      </c>
      <c r="C3" s="1" t="s">
        <v>48</v>
      </c>
      <c r="D3">
        <v>105</v>
      </c>
      <c r="E3" s="1" t="s">
        <v>13</v>
      </c>
      <c r="F3" s="17">
        <v>297</v>
      </c>
      <c r="G3">
        <v>84.66</v>
      </c>
      <c r="H3">
        <v>2</v>
      </c>
      <c r="I3" t="str">
        <f t="shared" si="0"/>
        <v>B2C</v>
      </c>
      <c r="J3" s="19">
        <f>CLIENT[[#This Row],[Duree_Cumulee_Panne_Min]]/1440</f>
        <v>0.20624999999999999</v>
      </c>
      <c r="K3" s="17">
        <f>CLIENT[[#This Row],[Anciennete_Mois]]/12</f>
        <v>8.75</v>
      </c>
      <c r="L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" s="18">
        <f>CLIENT[[#This Row],[Facture_Mensuelle]]*CLIENT[[#This Row],[Remise]]</f>
        <v>38.097000000000001</v>
      </c>
    </row>
    <row r="4" spans="1:13" x14ac:dyDescent="0.35">
      <c r="A4" s="1" t="s">
        <v>453</v>
      </c>
      <c r="B4" s="1" t="s">
        <v>490</v>
      </c>
      <c r="C4" s="1" t="s">
        <v>59</v>
      </c>
      <c r="D4">
        <v>105</v>
      </c>
      <c r="E4" s="1" t="s">
        <v>21</v>
      </c>
      <c r="F4" s="17">
        <v>172</v>
      </c>
      <c r="G4">
        <v>15.88</v>
      </c>
      <c r="H4">
        <v>5</v>
      </c>
      <c r="I4" t="str">
        <f t="shared" si="0"/>
        <v>B2C</v>
      </c>
      <c r="J4" s="19">
        <f>CLIENT[[#This Row],[Duree_Cumulee_Panne_Min]]/1440</f>
        <v>0.11944444444444445</v>
      </c>
      <c r="K4" s="17">
        <f>CLIENT[[#This Row],[Anciennete_Mois]]/12</f>
        <v>8.75</v>
      </c>
      <c r="L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" s="18">
        <f>CLIENT[[#This Row],[Facture_Mensuelle]]*CLIENT[[#This Row],[Remise]]</f>
        <v>0</v>
      </c>
    </row>
    <row r="5" spans="1:13" x14ac:dyDescent="0.35">
      <c r="A5" s="1" t="s">
        <v>129</v>
      </c>
      <c r="B5" s="1" t="s">
        <v>173</v>
      </c>
      <c r="C5" s="1" t="s">
        <v>35</v>
      </c>
      <c r="D5">
        <v>29</v>
      </c>
      <c r="E5" s="1" t="s">
        <v>21</v>
      </c>
      <c r="F5" s="17">
        <v>124</v>
      </c>
      <c r="G5">
        <v>43.83</v>
      </c>
      <c r="H5">
        <v>5</v>
      </c>
      <c r="I5" t="str">
        <f t="shared" si="0"/>
        <v>B2C</v>
      </c>
      <c r="J5" s="19">
        <f>CLIENT[[#This Row],[Duree_Cumulee_Panne_Min]]/1440</f>
        <v>8.611111111111111E-2</v>
      </c>
      <c r="K5" s="17">
        <f>CLIENT[[#This Row],[Anciennete_Mois]]/12</f>
        <v>2.4166666666666665</v>
      </c>
      <c r="L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" s="18">
        <f>CLIENT[[#This Row],[Facture_Mensuelle]]*CLIENT[[#This Row],[Remise]]</f>
        <v>0</v>
      </c>
    </row>
    <row r="6" spans="1:13" x14ac:dyDescent="0.35">
      <c r="A6" s="1" t="s">
        <v>314</v>
      </c>
      <c r="B6" s="1" t="s">
        <v>345</v>
      </c>
      <c r="C6" s="1" t="s">
        <v>17</v>
      </c>
      <c r="D6">
        <v>77</v>
      </c>
      <c r="E6" s="1" t="s">
        <v>10</v>
      </c>
      <c r="F6" s="17">
        <v>488</v>
      </c>
      <c r="G6">
        <v>21.17</v>
      </c>
      <c r="H6">
        <v>0</v>
      </c>
      <c r="I6" t="str">
        <f t="shared" si="0"/>
        <v>B2B</v>
      </c>
      <c r="J6" s="19">
        <f>CLIENT[[#This Row],[Duree_Cumulee_Panne_Min]]/1440</f>
        <v>0.33888888888888891</v>
      </c>
      <c r="K6" s="17">
        <f>CLIENT[[#This Row],[Anciennete_Mois]]/12</f>
        <v>6.416666666666667</v>
      </c>
      <c r="L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" s="18">
        <f>CLIENT[[#This Row],[Facture_Mensuelle]]*CLIENT[[#This Row],[Remise]]</f>
        <v>9.5265000000000004</v>
      </c>
    </row>
    <row r="7" spans="1:13" x14ac:dyDescent="0.35">
      <c r="A7" s="1" t="s">
        <v>591</v>
      </c>
      <c r="B7" s="1" t="s">
        <v>632</v>
      </c>
      <c r="C7" s="1" t="s">
        <v>48</v>
      </c>
      <c r="D7">
        <v>18</v>
      </c>
      <c r="E7" s="1" t="s">
        <v>13</v>
      </c>
      <c r="F7" s="17">
        <v>216</v>
      </c>
      <c r="G7">
        <v>33.74</v>
      </c>
      <c r="H7">
        <v>5</v>
      </c>
      <c r="I7" t="str">
        <f t="shared" si="0"/>
        <v>B2B</v>
      </c>
      <c r="J7" s="19">
        <f>CLIENT[[#This Row],[Duree_Cumulee_Panne_Min]]/1440</f>
        <v>0.15</v>
      </c>
      <c r="K7" s="17">
        <f>CLIENT[[#This Row],[Anciennete_Mois]]/12</f>
        <v>1.5</v>
      </c>
      <c r="L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7" s="18">
        <f>CLIENT[[#This Row],[Facture_Mensuelle]]*CLIENT[[#This Row],[Remise]]</f>
        <v>3.3740000000000006</v>
      </c>
    </row>
    <row r="8" spans="1:13" x14ac:dyDescent="0.35">
      <c r="A8" s="1" t="s">
        <v>267</v>
      </c>
      <c r="B8" s="1" t="s">
        <v>301</v>
      </c>
      <c r="C8" s="1" t="s">
        <v>24</v>
      </c>
      <c r="D8">
        <v>119</v>
      </c>
      <c r="E8" s="1" t="s">
        <v>13</v>
      </c>
      <c r="F8" s="17">
        <v>344</v>
      </c>
      <c r="G8">
        <v>10.28</v>
      </c>
      <c r="H8">
        <v>0</v>
      </c>
      <c r="I8" t="str">
        <f t="shared" si="0"/>
        <v>B2C</v>
      </c>
      <c r="J8" s="19">
        <f>CLIENT[[#This Row],[Duree_Cumulee_Panne_Min]]/1440</f>
        <v>0.2388888888888889</v>
      </c>
      <c r="K8" s="17">
        <f>CLIENT[[#This Row],[Anciennete_Mois]]/12</f>
        <v>9.9166666666666661</v>
      </c>
      <c r="L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" s="18">
        <f>CLIENT[[#This Row],[Facture_Mensuelle]]*CLIENT[[#This Row],[Remise]]</f>
        <v>4.6259999999999994</v>
      </c>
    </row>
    <row r="9" spans="1:13" x14ac:dyDescent="0.35">
      <c r="A9" s="1" t="s">
        <v>591</v>
      </c>
      <c r="B9" s="1" t="s">
        <v>601</v>
      </c>
      <c r="C9" s="1" t="s">
        <v>59</v>
      </c>
      <c r="D9">
        <v>25</v>
      </c>
      <c r="E9" s="1" t="s">
        <v>18</v>
      </c>
      <c r="F9" s="17">
        <v>95</v>
      </c>
      <c r="G9">
        <v>15.93</v>
      </c>
      <c r="H9">
        <v>4</v>
      </c>
      <c r="I9" t="str">
        <f t="shared" si="0"/>
        <v>B2C</v>
      </c>
      <c r="J9" s="19">
        <f>CLIENT[[#This Row],[Duree_Cumulee_Panne_Min]]/1440</f>
        <v>6.5972222222222224E-2</v>
      </c>
      <c r="K9" s="17">
        <f>CLIENT[[#This Row],[Anciennete_Mois]]/12</f>
        <v>2.0833333333333335</v>
      </c>
      <c r="L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9" s="18">
        <f>CLIENT[[#This Row],[Facture_Mensuelle]]*CLIENT[[#This Row],[Remise]]</f>
        <v>0</v>
      </c>
    </row>
    <row r="10" spans="1:13" x14ac:dyDescent="0.35">
      <c r="A10" s="1" t="s">
        <v>591</v>
      </c>
      <c r="B10" s="1" t="s">
        <v>628</v>
      </c>
      <c r="C10" s="1" t="s">
        <v>35</v>
      </c>
      <c r="D10">
        <v>35</v>
      </c>
      <c r="E10" s="1" t="s">
        <v>10</v>
      </c>
      <c r="F10" s="17">
        <v>332</v>
      </c>
      <c r="G10">
        <v>11.15</v>
      </c>
      <c r="H10">
        <v>0</v>
      </c>
      <c r="I10" t="str">
        <f t="shared" si="0"/>
        <v>B2B</v>
      </c>
      <c r="J10" s="19">
        <f>CLIENT[[#This Row],[Duree_Cumulee_Panne_Min]]/1440</f>
        <v>0.23055555555555557</v>
      </c>
      <c r="K10" s="17">
        <f>CLIENT[[#This Row],[Anciennete_Mois]]/12</f>
        <v>2.9166666666666665</v>
      </c>
      <c r="L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0" s="18">
        <f>CLIENT[[#This Row],[Facture_Mensuelle]]*CLIENT[[#This Row],[Remise]]</f>
        <v>5.0175000000000001</v>
      </c>
    </row>
    <row r="11" spans="1:13" x14ac:dyDescent="0.35">
      <c r="A11" s="1" t="s">
        <v>685</v>
      </c>
      <c r="B11" s="1" t="s">
        <v>703</v>
      </c>
      <c r="C11" s="1" t="s">
        <v>72</v>
      </c>
      <c r="D11">
        <v>119</v>
      </c>
      <c r="E11" s="1" t="s">
        <v>13</v>
      </c>
      <c r="F11" s="17">
        <v>31</v>
      </c>
      <c r="G11">
        <v>21.27</v>
      </c>
      <c r="H11">
        <v>5</v>
      </c>
      <c r="I11" t="str">
        <f t="shared" si="0"/>
        <v>B2B</v>
      </c>
      <c r="J11" s="19">
        <f>CLIENT[[#This Row],[Duree_Cumulee_Panne_Min]]/1440</f>
        <v>2.1527777777777778E-2</v>
      </c>
      <c r="K11" s="17">
        <f>CLIENT[[#This Row],[Anciennete_Mois]]/12</f>
        <v>9.9166666666666661</v>
      </c>
      <c r="L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1" s="18">
        <f>CLIENT[[#This Row],[Facture_Mensuelle]]*CLIENT[[#This Row],[Remise]]</f>
        <v>2.1270000000000002</v>
      </c>
    </row>
    <row r="12" spans="1:13" x14ac:dyDescent="0.35">
      <c r="A12" s="1" t="s">
        <v>8</v>
      </c>
      <c r="B12" s="1" t="s">
        <v>50</v>
      </c>
      <c r="C12" s="1" t="s">
        <v>9</v>
      </c>
      <c r="D12">
        <v>103</v>
      </c>
      <c r="E12" s="1" t="s">
        <v>13</v>
      </c>
      <c r="F12" s="17">
        <v>105</v>
      </c>
      <c r="G12">
        <v>61.52</v>
      </c>
      <c r="H12">
        <v>3</v>
      </c>
      <c r="I12" t="str">
        <f t="shared" si="0"/>
        <v>B2B</v>
      </c>
      <c r="J12" s="19">
        <f>CLIENT[[#This Row],[Duree_Cumulee_Panne_Min]]/1440</f>
        <v>7.2916666666666671E-2</v>
      </c>
      <c r="K12" s="17">
        <f>CLIENT[[#This Row],[Anciennete_Mois]]/12</f>
        <v>8.5833333333333339</v>
      </c>
      <c r="L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2" s="18">
        <f>CLIENT[[#This Row],[Facture_Mensuelle]]*CLIENT[[#This Row],[Remise]]</f>
        <v>6.152000000000001</v>
      </c>
    </row>
    <row r="13" spans="1:13" x14ac:dyDescent="0.35">
      <c r="A13" s="1" t="s">
        <v>267</v>
      </c>
      <c r="B13" s="1" t="s">
        <v>277</v>
      </c>
      <c r="C13" s="1" t="s">
        <v>122</v>
      </c>
      <c r="D13">
        <v>118</v>
      </c>
      <c r="E13" s="1" t="s">
        <v>13</v>
      </c>
      <c r="F13" s="17">
        <v>132</v>
      </c>
      <c r="G13">
        <v>40.880000000000003</v>
      </c>
      <c r="H13">
        <v>4</v>
      </c>
      <c r="I13" t="str">
        <f t="shared" si="0"/>
        <v>B2C</v>
      </c>
      <c r="J13" s="19">
        <f>CLIENT[[#This Row],[Duree_Cumulee_Panne_Min]]/1440</f>
        <v>9.166666666666666E-2</v>
      </c>
      <c r="K13" s="17">
        <f>CLIENT[[#This Row],[Anciennete_Mois]]/12</f>
        <v>9.8333333333333339</v>
      </c>
      <c r="L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" s="18">
        <f>CLIENT[[#This Row],[Facture_Mensuelle]]*CLIENT[[#This Row],[Remise]]</f>
        <v>0</v>
      </c>
    </row>
    <row r="14" spans="1:13" x14ac:dyDescent="0.35">
      <c r="A14" s="1" t="s">
        <v>129</v>
      </c>
      <c r="B14" s="1" t="s">
        <v>144</v>
      </c>
      <c r="C14" s="1" t="s">
        <v>62</v>
      </c>
      <c r="D14">
        <v>53</v>
      </c>
      <c r="E14" s="1" t="s">
        <v>21</v>
      </c>
      <c r="F14" s="17">
        <v>345</v>
      </c>
      <c r="G14">
        <v>83.73</v>
      </c>
      <c r="H14">
        <v>0</v>
      </c>
      <c r="I14" t="str">
        <f t="shared" si="0"/>
        <v>B2C</v>
      </c>
      <c r="J14" s="19">
        <f>CLIENT[[#This Row],[Duree_Cumulee_Panne_Min]]/1440</f>
        <v>0.23958333333333334</v>
      </c>
      <c r="K14" s="17">
        <f>CLIENT[[#This Row],[Anciennete_Mois]]/12</f>
        <v>4.416666666666667</v>
      </c>
      <c r="L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" s="18">
        <f>CLIENT[[#This Row],[Facture_Mensuelle]]*CLIENT[[#This Row],[Remise]]</f>
        <v>37.6785</v>
      </c>
    </row>
    <row r="15" spans="1:13" x14ac:dyDescent="0.35">
      <c r="A15" s="1" t="s">
        <v>640</v>
      </c>
      <c r="B15" s="1" t="s">
        <v>668</v>
      </c>
      <c r="C15" s="1" t="s">
        <v>35</v>
      </c>
      <c r="D15">
        <v>33</v>
      </c>
      <c r="E15" s="1" t="s">
        <v>18</v>
      </c>
      <c r="F15" s="17">
        <v>54</v>
      </c>
      <c r="G15">
        <v>71.319999999999993</v>
      </c>
      <c r="H15">
        <v>4</v>
      </c>
      <c r="I15" t="str">
        <f t="shared" si="0"/>
        <v>B2C</v>
      </c>
      <c r="J15" s="19">
        <f>CLIENT[[#This Row],[Duree_Cumulee_Panne_Min]]/1440</f>
        <v>3.7499999999999999E-2</v>
      </c>
      <c r="K15" s="17">
        <f>CLIENT[[#This Row],[Anciennete_Mois]]/12</f>
        <v>2.75</v>
      </c>
      <c r="L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5" s="18">
        <f>CLIENT[[#This Row],[Facture_Mensuelle]]*CLIENT[[#This Row],[Remise]]</f>
        <v>0</v>
      </c>
    </row>
    <row r="16" spans="1:13" x14ac:dyDescent="0.35">
      <c r="A16" s="1" t="s">
        <v>267</v>
      </c>
      <c r="B16" s="1" t="s">
        <v>278</v>
      </c>
      <c r="C16" s="1" t="s">
        <v>9</v>
      </c>
      <c r="D16">
        <v>16</v>
      </c>
      <c r="E16" s="1" t="s">
        <v>18</v>
      </c>
      <c r="F16" s="17">
        <v>461</v>
      </c>
      <c r="G16">
        <v>38.369999999999997</v>
      </c>
      <c r="H16">
        <v>4</v>
      </c>
      <c r="I16" t="str">
        <f t="shared" si="0"/>
        <v>B2C</v>
      </c>
      <c r="J16" s="19">
        <f>CLIENT[[#This Row],[Duree_Cumulee_Panne_Min]]/1440</f>
        <v>0.32013888888888886</v>
      </c>
      <c r="K16" s="17">
        <f>CLIENT[[#This Row],[Anciennete_Mois]]/12</f>
        <v>1.3333333333333333</v>
      </c>
      <c r="L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" s="18">
        <f>CLIENT[[#This Row],[Facture_Mensuelle]]*CLIENT[[#This Row],[Remise]]</f>
        <v>17.266500000000001</v>
      </c>
    </row>
    <row r="17" spans="1:13" x14ac:dyDescent="0.35">
      <c r="A17" s="1" t="s">
        <v>453</v>
      </c>
      <c r="B17" s="1" t="s">
        <v>473</v>
      </c>
      <c r="C17" s="1" t="s">
        <v>20</v>
      </c>
      <c r="D17">
        <v>34</v>
      </c>
      <c r="E17" s="1" t="s">
        <v>18</v>
      </c>
      <c r="F17" s="17">
        <v>40</v>
      </c>
      <c r="G17">
        <v>65.709999999999994</v>
      </c>
      <c r="H17">
        <v>5</v>
      </c>
      <c r="I17" t="str">
        <f t="shared" si="0"/>
        <v>B2C</v>
      </c>
      <c r="J17" s="19">
        <f>CLIENT[[#This Row],[Duree_Cumulee_Panne_Min]]/1440</f>
        <v>2.7777777777777776E-2</v>
      </c>
      <c r="K17" s="17">
        <f>CLIENT[[#This Row],[Anciennete_Mois]]/12</f>
        <v>2.8333333333333335</v>
      </c>
      <c r="L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7" s="18">
        <f>CLIENT[[#This Row],[Facture_Mensuelle]]*CLIENT[[#This Row],[Remise]]</f>
        <v>0</v>
      </c>
    </row>
    <row r="18" spans="1:13" x14ac:dyDescent="0.35">
      <c r="A18" s="1" t="s">
        <v>220</v>
      </c>
      <c r="B18" s="1" t="s">
        <v>225</v>
      </c>
      <c r="C18" s="1" t="s">
        <v>27</v>
      </c>
      <c r="D18">
        <v>4</v>
      </c>
      <c r="E18" s="1" t="s">
        <v>18</v>
      </c>
      <c r="F18" s="17">
        <v>182</v>
      </c>
      <c r="G18">
        <v>89.56</v>
      </c>
      <c r="H18">
        <v>4</v>
      </c>
      <c r="I18" t="str">
        <f t="shared" si="0"/>
        <v>B2B</v>
      </c>
      <c r="J18" s="19">
        <f>CLIENT[[#This Row],[Duree_Cumulee_Panne_Min]]/1440</f>
        <v>0.12638888888888888</v>
      </c>
      <c r="K18" s="17">
        <f>CLIENT[[#This Row],[Anciennete_Mois]]/12</f>
        <v>0.33333333333333331</v>
      </c>
      <c r="L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8" s="18">
        <f>CLIENT[[#This Row],[Facture_Mensuelle]]*CLIENT[[#This Row],[Remise]]</f>
        <v>8.9560000000000013</v>
      </c>
    </row>
    <row r="19" spans="1:13" x14ac:dyDescent="0.35">
      <c r="A19" s="1" t="s">
        <v>8</v>
      </c>
      <c r="B19" s="1" t="s">
        <v>30</v>
      </c>
      <c r="C19" s="1" t="s">
        <v>31</v>
      </c>
      <c r="D19">
        <v>72</v>
      </c>
      <c r="E19" s="1" t="s">
        <v>13</v>
      </c>
      <c r="F19" s="17">
        <v>160</v>
      </c>
      <c r="G19">
        <v>90.13</v>
      </c>
      <c r="H19">
        <v>2</v>
      </c>
      <c r="I19" t="str">
        <f t="shared" si="0"/>
        <v>B2C</v>
      </c>
      <c r="J19" s="19">
        <f>CLIENT[[#This Row],[Duree_Cumulee_Panne_Min]]/1440</f>
        <v>0.1111111111111111</v>
      </c>
      <c r="K19" s="17">
        <f>CLIENT[[#This Row],[Anciennete_Mois]]/12</f>
        <v>6</v>
      </c>
      <c r="L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9" s="18">
        <f>CLIENT[[#This Row],[Facture_Mensuelle]]*CLIENT[[#This Row],[Remise]]</f>
        <v>0</v>
      </c>
    </row>
    <row r="20" spans="1:13" x14ac:dyDescent="0.35">
      <c r="A20" s="1" t="s">
        <v>174</v>
      </c>
      <c r="B20" s="1" t="s">
        <v>194</v>
      </c>
      <c r="C20" s="1" t="s">
        <v>29</v>
      </c>
      <c r="D20">
        <v>52</v>
      </c>
      <c r="E20" s="1" t="s">
        <v>21</v>
      </c>
      <c r="F20" s="17">
        <v>119</v>
      </c>
      <c r="G20">
        <v>64.709999999999994</v>
      </c>
      <c r="H20">
        <v>4</v>
      </c>
      <c r="I20" t="str">
        <f t="shared" si="0"/>
        <v>B2C</v>
      </c>
      <c r="J20" s="19">
        <f>CLIENT[[#This Row],[Duree_Cumulee_Panne_Min]]/1440</f>
        <v>8.2638888888888887E-2</v>
      </c>
      <c r="K20" s="17">
        <f>CLIENT[[#This Row],[Anciennete_Mois]]/12</f>
        <v>4.333333333333333</v>
      </c>
      <c r="L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0" s="18">
        <f>CLIENT[[#This Row],[Facture_Mensuelle]]*CLIENT[[#This Row],[Remise]]</f>
        <v>0</v>
      </c>
    </row>
    <row r="21" spans="1:13" x14ac:dyDescent="0.35">
      <c r="A21" s="1" t="s">
        <v>129</v>
      </c>
      <c r="B21" s="1" t="s">
        <v>148</v>
      </c>
      <c r="C21" s="1" t="s">
        <v>27</v>
      </c>
      <c r="D21">
        <v>67</v>
      </c>
      <c r="E21" s="1" t="s">
        <v>21</v>
      </c>
      <c r="F21" s="17">
        <v>264</v>
      </c>
      <c r="G21">
        <v>97.89</v>
      </c>
      <c r="H21">
        <v>1</v>
      </c>
      <c r="I21" t="str">
        <f t="shared" si="0"/>
        <v>B2C</v>
      </c>
      <c r="J21" s="19">
        <f>CLIENT[[#This Row],[Duree_Cumulee_Panne_Min]]/1440</f>
        <v>0.18333333333333332</v>
      </c>
      <c r="K21" s="17">
        <f>CLIENT[[#This Row],[Anciennete_Mois]]/12</f>
        <v>5.583333333333333</v>
      </c>
      <c r="L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" s="18">
        <f>CLIENT[[#This Row],[Facture_Mensuelle]]*CLIENT[[#This Row],[Remise]]</f>
        <v>44.0505</v>
      </c>
    </row>
    <row r="22" spans="1:13" x14ac:dyDescent="0.35">
      <c r="A22" s="1" t="s">
        <v>406</v>
      </c>
      <c r="B22" s="1" t="s">
        <v>432</v>
      </c>
      <c r="C22" s="1" t="s">
        <v>59</v>
      </c>
      <c r="D22">
        <v>78</v>
      </c>
      <c r="E22" s="1" t="s">
        <v>10</v>
      </c>
      <c r="F22" s="17">
        <v>60</v>
      </c>
      <c r="G22">
        <v>33.159999999999997</v>
      </c>
      <c r="H22">
        <v>5</v>
      </c>
      <c r="I22" t="str">
        <f t="shared" si="0"/>
        <v>B2C</v>
      </c>
      <c r="J22" s="19">
        <f>CLIENT[[#This Row],[Duree_Cumulee_Panne_Min]]/1440</f>
        <v>4.1666666666666664E-2</v>
      </c>
      <c r="K22" s="17">
        <f>CLIENT[[#This Row],[Anciennete_Mois]]/12</f>
        <v>6.5</v>
      </c>
      <c r="L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2" s="18">
        <f>CLIENT[[#This Row],[Facture_Mensuelle]]*CLIENT[[#This Row],[Remise]]</f>
        <v>0</v>
      </c>
    </row>
    <row r="23" spans="1:13" x14ac:dyDescent="0.35">
      <c r="A23" s="1" t="s">
        <v>8</v>
      </c>
      <c r="B23" s="1" t="s">
        <v>22</v>
      </c>
      <c r="C23" s="1" t="s">
        <v>23</v>
      </c>
      <c r="D23">
        <v>46</v>
      </c>
      <c r="E23" s="1" t="s">
        <v>10</v>
      </c>
      <c r="F23" s="17">
        <v>283</v>
      </c>
      <c r="G23">
        <v>56.05</v>
      </c>
      <c r="H23">
        <v>1</v>
      </c>
      <c r="I23" t="str">
        <f t="shared" si="0"/>
        <v>B2C</v>
      </c>
      <c r="J23" s="19">
        <f>CLIENT[[#This Row],[Duree_Cumulee_Panne_Min]]/1440</f>
        <v>0.19652777777777777</v>
      </c>
      <c r="K23" s="17">
        <f>CLIENT[[#This Row],[Anciennete_Mois]]/12</f>
        <v>3.8333333333333335</v>
      </c>
      <c r="L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" s="18">
        <f>CLIENT[[#This Row],[Facture_Mensuelle]]*CLIENT[[#This Row],[Remise]]</f>
        <v>25.2225</v>
      </c>
    </row>
    <row r="24" spans="1:13" x14ac:dyDescent="0.35">
      <c r="A24" s="1" t="s">
        <v>540</v>
      </c>
      <c r="B24" s="1" t="s">
        <v>552</v>
      </c>
      <c r="C24" s="1" t="s">
        <v>118</v>
      </c>
      <c r="D24">
        <v>17</v>
      </c>
      <c r="E24" s="1" t="s">
        <v>10</v>
      </c>
      <c r="F24" s="17">
        <v>499</v>
      </c>
      <c r="G24">
        <v>27.81</v>
      </c>
      <c r="H24">
        <v>2</v>
      </c>
      <c r="I24" t="str">
        <f t="shared" si="0"/>
        <v>B2C</v>
      </c>
      <c r="J24" s="19">
        <f>CLIENT[[#This Row],[Duree_Cumulee_Panne_Min]]/1440</f>
        <v>0.34652777777777777</v>
      </c>
      <c r="K24" s="17">
        <f>CLIENT[[#This Row],[Anciennete_Mois]]/12</f>
        <v>1.4166666666666667</v>
      </c>
      <c r="L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" s="18">
        <f>CLIENT[[#This Row],[Facture_Mensuelle]]*CLIENT[[#This Row],[Remise]]</f>
        <v>12.5145</v>
      </c>
    </row>
    <row r="25" spans="1:13" x14ac:dyDescent="0.35">
      <c r="A25" s="1" t="s">
        <v>406</v>
      </c>
      <c r="B25" s="1" t="s">
        <v>440</v>
      </c>
      <c r="C25" s="1" t="s">
        <v>59</v>
      </c>
      <c r="D25">
        <v>15</v>
      </c>
      <c r="E25" s="1" t="s">
        <v>10</v>
      </c>
      <c r="F25" s="17">
        <v>75</v>
      </c>
      <c r="G25">
        <v>45.59</v>
      </c>
      <c r="H25">
        <v>0</v>
      </c>
      <c r="I25" t="str">
        <f t="shared" si="0"/>
        <v>B2B</v>
      </c>
      <c r="J25" s="19">
        <f>CLIENT[[#This Row],[Duree_Cumulee_Panne_Min]]/1440</f>
        <v>5.2083333333333336E-2</v>
      </c>
      <c r="K25" s="17">
        <f>CLIENT[[#This Row],[Anciennete_Mois]]/12</f>
        <v>1.25</v>
      </c>
      <c r="L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5" s="18">
        <f>CLIENT[[#This Row],[Facture_Mensuelle]]*CLIENT[[#This Row],[Remise]]</f>
        <v>20.515500000000003</v>
      </c>
    </row>
    <row r="26" spans="1:13" x14ac:dyDescent="0.35">
      <c r="A26" s="1" t="s">
        <v>360</v>
      </c>
      <c r="B26" s="1" t="s">
        <v>384</v>
      </c>
      <c r="C26" s="1" t="s">
        <v>15</v>
      </c>
      <c r="D26">
        <v>106</v>
      </c>
      <c r="E26" s="1" t="s">
        <v>13</v>
      </c>
      <c r="F26" s="17">
        <v>429</v>
      </c>
      <c r="G26">
        <v>23.83</v>
      </c>
      <c r="H26">
        <v>1</v>
      </c>
      <c r="I26" t="str">
        <f t="shared" si="0"/>
        <v>B2C</v>
      </c>
      <c r="J26" s="19">
        <f>CLIENT[[#This Row],[Duree_Cumulee_Panne_Min]]/1440</f>
        <v>0.29791666666666666</v>
      </c>
      <c r="K26" s="17">
        <f>CLIENT[[#This Row],[Anciennete_Mois]]/12</f>
        <v>8.8333333333333339</v>
      </c>
      <c r="L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" s="18">
        <f>CLIENT[[#This Row],[Facture_Mensuelle]]*CLIENT[[#This Row],[Remise]]</f>
        <v>10.7235</v>
      </c>
    </row>
    <row r="27" spans="1:13" x14ac:dyDescent="0.35">
      <c r="A27" s="1" t="s">
        <v>8</v>
      </c>
      <c r="B27" s="1" t="s">
        <v>44</v>
      </c>
      <c r="C27" s="1" t="s">
        <v>27</v>
      </c>
      <c r="D27">
        <v>14</v>
      </c>
      <c r="E27" s="1" t="s">
        <v>10</v>
      </c>
      <c r="F27" s="17">
        <v>75</v>
      </c>
      <c r="G27">
        <v>55.67</v>
      </c>
      <c r="H27">
        <v>3</v>
      </c>
      <c r="I27" t="str">
        <f t="shared" si="0"/>
        <v>B2C</v>
      </c>
      <c r="J27" s="19">
        <f>CLIENT[[#This Row],[Duree_Cumulee_Panne_Min]]/1440</f>
        <v>5.2083333333333336E-2</v>
      </c>
      <c r="K27" s="17">
        <f>CLIENT[[#This Row],[Anciennete_Mois]]/12</f>
        <v>1.1666666666666667</v>
      </c>
      <c r="L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7" s="18">
        <f>CLIENT[[#This Row],[Facture_Mensuelle]]*CLIENT[[#This Row],[Remise]]</f>
        <v>25.051500000000001</v>
      </c>
    </row>
    <row r="28" spans="1:13" x14ac:dyDescent="0.35">
      <c r="A28" s="1" t="s">
        <v>453</v>
      </c>
      <c r="B28" s="1" t="s">
        <v>492</v>
      </c>
      <c r="C28" s="1" t="s">
        <v>41</v>
      </c>
      <c r="D28">
        <v>15</v>
      </c>
      <c r="E28" s="1" t="s">
        <v>18</v>
      </c>
      <c r="F28" s="17">
        <v>400</v>
      </c>
      <c r="G28">
        <v>78.09</v>
      </c>
      <c r="H28">
        <v>0</v>
      </c>
      <c r="I28" t="str">
        <f t="shared" si="0"/>
        <v>B2C</v>
      </c>
      <c r="J28" s="19">
        <f>CLIENT[[#This Row],[Duree_Cumulee_Panne_Min]]/1440</f>
        <v>0.27777777777777779</v>
      </c>
      <c r="K28" s="17">
        <f>CLIENT[[#This Row],[Anciennete_Mois]]/12</f>
        <v>1.25</v>
      </c>
      <c r="L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" s="18">
        <f>CLIENT[[#This Row],[Facture_Mensuelle]]*CLIENT[[#This Row],[Remise]]</f>
        <v>35.140500000000003</v>
      </c>
    </row>
    <row r="29" spans="1:13" x14ac:dyDescent="0.35">
      <c r="A29" s="1" t="s">
        <v>360</v>
      </c>
      <c r="B29" s="1" t="s">
        <v>401</v>
      </c>
      <c r="C29" s="1" t="s">
        <v>57</v>
      </c>
      <c r="D29">
        <v>50</v>
      </c>
      <c r="E29" s="1" t="s">
        <v>18</v>
      </c>
      <c r="F29" s="17">
        <v>435</v>
      </c>
      <c r="G29">
        <v>27.86</v>
      </c>
      <c r="H29">
        <v>3</v>
      </c>
      <c r="I29" t="str">
        <f t="shared" si="0"/>
        <v>B2B</v>
      </c>
      <c r="J29" s="19">
        <f>CLIENT[[#This Row],[Duree_Cumulee_Panne_Min]]/1440</f>
        <v>0.30208333333333331</v>
      </c>
      <c r="K29" s="17">
        <f>CLIENT[[#This Row],[Anciennete_Mois]]/12</f>
        <v>4.166666666666667</v>
      </c>
      <c r="L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9" s="18">
        <f>CLIENT[[#This Row],[Facture_Mensuelle]]*CLIENT[[#This Row],[Remise]]</f>
        <v>12.537000000000001</v>
      </c>
    </row>
    <row r="30" spans="1:13" x14ac:dyDescent="0.35">
      <c r="A30" s="1" t="s">
        <v>540</v>
      </c>
      <c r="B30" s="1" t="s">
        <v>585</v>
      </c>
      <c r="C30" s="1" t="s">
        <v>72</v>
      </c>
      <c r="D30">
        <v>12</v>
      </c>
      <c r="E30" s="1" t="s">
        <v>13</v>
      </c>
      <c r="F30" s="17">
        <v>42</v>
      </c>
      <c r="G30">
        <v>48.64</v>
      </c>
      <c r="H30">
        <v>0</v>
      </c>
      <c r="I30" t="str">
        <f t="shared" si="0"/>
        <v>B2B</v>
      </c>
      <c r="J30" s="19">
        <f>CLIENT[[#This Row],[Duree_Cumulee_Panne_Min]]/1440</f>
        <v>2.9166666666666667E-2</v>
      </c>
      <c r="K30" s="17">
        <f>CLIENT[[#This Row],[Anciennete_Mois]]/12</f>
        <v>1</v>
      </c>
      <c r="L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" s="18">
        <f>CLIENT[[#This Row],[Facture_Mensuelle]]*CLIENT[[#This Row],[Remise]]</f>
        <v>4.8640000000000008</v>
      </c>
    </row>
    <row r="31" spans="1:13" x14ac:dyDescent="0.35">
      <c r="A31" s="1" t="s">
        <v>360</v>
      </c>
      <c r="B31" s="1" t="s">
        <v>373</v>
      </c>
      <c r="C31" s="1" t="s">
        <v>37</v>
      </c>
      <c r="D31">
        <v>29</v>
      </c>
      <c r="E31" s="1" t="s">
        <v>13</v>
      </c>
      <c r="F31" s="17">
        <v>493</v>
      </c>
      <c r="G31">
        <v>42.02</v>
      </c>
      <c r="H31">
        <v>1</v>
      </c>
      <c r="I31" t="str">
        <f t="shared" si="0"/>
        <v>B2B</v>
      </c>
      <c r="J31" s="19">
        <f>CLIENT[[#This Row],[Duree_Cumulee_Panne_Min]]/1440</f>
        <v>0.34236111111111112</v>
      </c>
      <c r="K31" s="17">
        <f>CLIENT[[#This Row],[Anciennete_Mois]]/12</f>
        <v>2.4166666666666665</v>
      </c>
      <c r="L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" s="18">
        <f>CLIENT[[#This Row],[Facture_Mensuelle]]*CLIENT[[#This Row],[Remise]]</f>
        <v>18.909000000000002</v>
      </c>
    </row>
    <row r="32" spans="1:13" x14ac:dyDescent="0.35">
      <c r="A32" s="1" t="s">
        <v>540</v>
      </c>
      <c r="B32" s="1" t="s">
        <v>582</v>
      </c>
      <c r="C32" s="1" t="s">
        <v>17</v>
      </c>
      <c r="D32">
        <v>42</v>
      </c>
      <c r="E32" s="1" t="s">
        <v>13</v>
      </c>
      <c r="F32" s="17">
        <v>167</v>
      </c>
      <c r="G32">
        <v>45.85</v>
      </c>
      <c r="H32">
        <v>2</v>
      </c>
      <c r="I32" t="str">
        <f t="shared" si="0"/>
        <v>B2C</v>
      </c>
      <c r="J32" s="19">
        <f>CLIENT[[#This Row],[Duree_Cumulee_Panne_Min]]/1440</f>
        <v>0.11597222222222223</v>
      </c>
      <c r="K32" s="17">
        <f>CLIENT[[#This Row],[Anciennete_Mois]]/12</f>
        <v>3.5</v>
      </c>
      <c r="L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" s="18">
        <f>CLIENT[[#This Row],[Facture_Mensuelle]]*CLIENT[[#This Row],[Remise]]</f>
        <v>0</v>
      </c>
    </row>
    <row r="33" spans="1:13" x14ac:dyDescent="0.35">
      <c r="A33" s="1" t="s">
        <v>496</v>
      </c>
      <c r="B33" s="1" t="s">
        <v>501</v>
      </c>
      <c r="C33" s="1" t="s">
        <v>68</v>
      </c>
      <c r="D33">
        <v>74</v>
      </c>
      <c r="E33" s="1" t="s">
        <v>18</v>
      </c>
      <c r="F33" s="17">
        <v>388</v>
      </c>
      <c r="G33">
        <v>10.89</v>
      </c>
      <c r="H33">
        <v>4</v>
      </c>
      <c r="I33" t="str">
        <f t="shared" si="0"/>
        <v>B2C</v>
      </c>
      <c r="J33" s="19">
        <f>CLIENT[[#This Row],[Duree_Cumulee_Panne_Min]]/1440</f>
        <v>0.26944444444444443</v>
      </c>
      <c r="K33" s="17">
        <f>CLIENT[[#This Row],[Anciennete_Mois]]/12</f>
        <v>6.166666666666667</v>
      </c>
      <c r="L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" s="18">
        <f>CLIENT[[#This Row],[Facture_Mensuelle]]*CLIENT[[#This Row],[Remise]]</f>
        <v>4.9005000000000001</v>
      </c>
    </row>
    <row r="34" spans="1:13" x14ac:dyDescent="0.35">
      <c r="A34" s="1" t="s">
        <v>267</v>
      </c>
      <c r="B34" s="1" t="s">
        <v>290</v>
      </c>
      <c r="C34" s="1" t="s">
        <v>118</v>
      </c>
      <c r="D34">
        <v>93</v>
      </c>
      <c r="E34" s="1" t="s">
        <v>10</v>
      </c>
      <c r="F34" s="17">
        <v>150</v>
      </c>
      <c r="G34">
        <v>93.25</v>
      </c>
      <c r="H34">
        <v>3</v>
      </c>
      <c r="I34" t="str">
        <f t="shared" si="0"/>
        <v>B2C</v>
      </c>
      <c r="J34" s="19">
        <f>CLIENT[[#This Row],[Duree_Cumulee_Panne_Min]]/1440</f>
        <v>0.10416666666666667</v>
      </c>
      <c r="K34" s="17">
        <f>CLIENT[[#This Row],[Anciennete_Mois]]/12</f>
        <v>7.75</v>
      </c>
      <c r="L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4" s="18">
        <f>CLIENT[[#This Row],[Facture_Mensuelle]]*CLIENT[[#This Row],[Remise]]</f>
        <v>0</v>
      </c>
    </row>
    <row r="35" spans="1:13" x14ac:dyDescent="0.35">
      <c r="A35" s="1" t="s">
        <v>640</v>
      </c>
      <c r="B35" s="1" t="s">
        <v>681</v>
      </c>
      <c r="C35" s="1" t="s">
        <v>12</v>
      </c>
      <c r="D35">
        <v>19</v>
      </c>
      <c r="E35" s="1" t="s">
        <v>18</v>
      </c>
      <c r="F35" s="17">
        <v>345</v>
      </c>
      <c r="G35">
        <v>54.37</v>
      </c>
      <c r="H35">
        <v>2</v>
      </c>
      <c r="I35" t="str">
        <f t="shared" si="0"/>
        <v>B2C</v>
      </c>
      <c r="J35" s="19">
        <f>CLIENT[[#This Row],[Duree_Cumulee_Panne_Min]]/1440</f>
        <v>0.23958333333333334</v>
      </c>
      <c r="K35" s="17">
        <f>CLIENT[[#This Row],[Anciennete_Mois]]/12</f>
        <v>1.5833333333333333</v>
      </c>
      <c r="L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5" s="18">
        <f>CLIENT[[#This Row],[Facture_Mensuelle]]*CLIENT[[#This Row],[Remise]]</f>
        <v>24.4665</v>
      </c>
    </row>
    <row r="36" spans="1:13" x14ac:dyDescent="0.35">
      <c r="A36" s="1" t="s">
        <v>220</v>
      </c>
      <c r="B36" s="1" t="s">
        <v>227</v>
      </c>
      <c r="C36" s="1" t="s">
        <v>54</v>
      </c>
      <c r="D36">
        <v>82</v>
      </c>
      <c r="E36" s="1" t="s">
        <v>10</v>
      </c>
      <c r="F36" s="17">
        <v>88</v>
      </c>
      <c r="G36">
        <v>86.64</v>
      </c>
      <c r="H36">
        <v>1</v>
      </c>
      <c r="I36" t="str">
        <f t="shared" si="0"/>
        <v>B2C</v>
      </c>
      <c r="J36" s="19">
        <f>CLIENT[[#This Row],[Duree_Cumulee_Panne_Min]]/1440</f>
        <v>6.1111111111111109E-2</v>
      </c>
      <c r="K36" s="17">
        <f>CLIENT[[#This Row],[Anciennete_Mois]]/12</f>
        <v>6.833333333333333</v>
      </c>
      <c r="L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6" s="18">
        <f>CLIENT[[#This Row],[Facture_Mensuelle]]*CLIENT[[#This Row],[Remise]]</f>
        <v>0</v>
      </c>
    </row>
    <row r="37" spans="1:13" x14ac:dyDescent="0.35">
      <c r="A37" s="1" t="s">
        <v>406</v>
      </c>
      <c r="B37" s="1" t="s">
        <v>426</v>
      </c>
      <c r="C37" s="1" t="s">
        <v>15</v>
      </c>
      <c r="D37">
        <v>42</v>
      </c>
      <c r="E37" s="1" t="s">
        <v>18</v>
      </c>
      <c r="F37" s="17">
        <v>436</v>
      </c>
      <c r="G37">
        <v>88.12</v>
      </c>
      <c r="H37">
        <v>0</v>
      </c>
      <c r="I37" t="str">
        <f t="shared" si="0"/>
        <v>B2C</v>
      </c>
      <c r="J37" s="19">
        <f>CLIENT[[#This Row],[Duree_Cumulee_Panne_Min]]/1440</f>
        <v>0.30277777777777776</v>
      </c>
      <c r="K37" s="17">
        <f>CLIENT[[#This Row],[Anciennete_Mois]]/12</f>
        <v>3.5</v>
      </c>
      <c r="L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" s="18">
        <f>CLIENT[[#This Row],[Facture_Mensuelle]]*CLIENT[[#This Row],[Remise]]</f>
        <v>39.654000000000003</v>
      </c>
    </row>
    <row r="38" spans="1:13" x14ac:dyDescent="0.35">
      <c r="A38" s="1" t="s">
        <v>129</v>
      </c>
      <c r="B38" s="1" t="s">
        <v>153</v>
      </c>
      <c r="C38" s="1" t="s">
        <v>83</v>
      </c>
      <c r="D38">
        <v>98</v>
      </c>
      <c r="E38" s="1" t="s">
        <v>18</v>
      </c>
      <c r="F38" s="17">
        <v>52</v>
      </c>
      <c r="G38">
        <v>52.82</v>
      </c>
      <c r="H38">
        <v>2</v>
      </c>
      <c r="I38" t="str">
        <f t="shared" si="0"/>
        <v>B2C</v>
      </c>
      <c r="J38" s="19">
        <f>CLIENT[[#This Row],[Duree_Cumulee_Panne_Min]]/1440</f>
        <v>3.6111111111111108E-2</v>
      </c>
      <c r="K38" s="17">
        <f>CLIENT[[#This Row],[Anciennete_Mois]]/12</f>
        <v>8.1666666666666661</v>
      </c>
      <c r="L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8" s="18">
        <f>CLIENT[[#This Row],[Facture_Mensuelle]]*CLIENT[[#This Row],[Remise]]</f>
        <v>0</v>
      </c>
    </row>
    <row r="39" spans="1:13" x14ac:dyDescent="0.35">
      <c r="A39" s="1" t="s">
        <v>8</v>
      </c>
      <c r="B39" s="1" t="s">
        <v>51</v>
      </c>
      <c r="C39" s="1" t="s">
        <v>24</v>
      </c>
      <c r="D39">
        <v>59</v>
      </c>
      <c r="E39" s="1" t="s">
        <v>21</v>
      </c>
      <c r="F39" s="17">
        <v>454</v>
      </c>
      <c r="G39">
        <v>10.47</v>
      </c>
      <c r="H39">
        <v>5</v>
      </c>
      <c r="I39" t="str">
        <f t="shared" si="0"/>
        <v>B2C</v>
      </c>
      <c r="J39" s="19">
        <f>CLIENT[[#This Row],[Duree_Cumulee_Panne_Min]]/1440</f>
        <v>0.31527777777777777</v>
      </c>
      <c r="K39" s="17">
        <f>CLIENT[[#This Row],[Anciennete_Mois]]/12</f>
        <v>4.916666666666667</v>
      </c>
      <c r="L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" s="18">
        <f>CLIENT[[#This Row],[Facture_Mensuelle]]*CLIENT[[#This Row],[Remise]]</f>
        <v>4.7115</v>
      </c>
    </row>
    <row r="40" spans="1:13" x14ac:dyDescent="0.35">
      <c r="A40" s="1" t="s">
        <v>79</v>
      </c>
      <c r="B40" s="1" t="s">
        <v>124</v>
      </c>
      <c r="C40" s="1" t="s">
        <v>41</v>
      </c>
      <c r="D40">
        <v>25</v>
      </c>
      <c r="E40" s="1" t="s">
        <v>10</v>
      </c>
      <c r="F40" s="17">
        <v>64</v>
      </c>
      <c r="G40">
        <v>38.950000000000003</v>
      </c>
      <c r="H40">
        <v>5</v>
      </c>
      <c r="I40" t="str">
        <f t="shared" si="0"/>
        <v>B2C</v>
      </c>
      <c r="J40" s="19">
        <f>CLIENT[[#This Row],[Duree_Cumulee_Panne_Min]]/1440</f>
        <v>4.4444444444444446E-2</v>
      </c>
      <c r="K40" s="17">
        <f>CLIENT[[#This Row],[Anciennete_Mois]]/12</f>
        <v>2.0833333333333335</v>
      </c>
      <c r="L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0" s="18">
        <f>CLIENT[[#This Row],[Facture_Mensuelle]]*CLIENT[[#This Row],[Remise]]</f>
        <v>17.527500000000003</v>
      </c>
    </row>
    <row r="41" spans="1:13" x14ac:dyDescent="0.35">
      <c r="A41" s="1" t="s">
        <v>360</v>
      </c>
      <c r="B41" s="1" t="s">
        <v>364</v>
      </c>
      <c r="C41" s="1" t="s">
        <v>27</v>
      </c>
      <c r="D41">
        <v>43</v>
      </c>
      <c r="E41" s="1" t="s">
        <v>10</v>
      </c>
      <c r="F41" s="17">
        <v>486</v>
      </c>
      <c r="G41">
        <v>76.42</v>
      </c>
      <c r="H41">
        <v>1</v>
      </c>
      <c r="I41" t="str">
        <f t="shared" si="0"/>
        <v>B2C</v>
      </c>
      <c r="J41" s="19">
        <f>CLIENT[[#This Row],[Duree_Cumulee_Panne_Min]]/1440</f>
        <v>0.33750000000000002</v>
      </c>
      <c r="K41" s="17">
        <f>CLIENT[[#This Row],[Anciennete_Mois]]/12</f>
        <v>3.5833333333333335</v>
      </c>
      <c r="L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" s="18">
        <f>CLIENT[[#This Row],[Facture_Mensuelle]]*CLIENT[[#This Row],[Remise]]</f>
        <v>34.389000000000003</v>
      </c>
    </row>
    <row r="42" spans="1:13" x14ac:dyDescent="0.35">
      <c r="A42" s="1" t="s">
        <v>685</v>
      </c>
      <c r="B42" s="1" t="s">
        <v>701</v>
      </c>
      <c r="C42" s="1" t="s">
        <v>41</v>
      </c>
      <c r="D42">
        <v>108</v>
      </c>
      <c r="E42" s="1" t="s">
        <v>18</v>
      </c>
      <c r="F42" s="17">
        <v>467</v>
      </c>
      <c r="G42">
        <v>44.84</v>
      </c>
      <c r="H42">
        <v>4</v>
      </c>
      <c r="I42" t="str">
        <f t="shared" si="0"/>
        <v>B2C</v>
      </c>
      <c r="J42" s="19">
        <f>CLIENT[[#This Row],[Duree_Cumulee_Panne_Min]]/1440</f>
        <v>0.32430555555555557</v>
      </c>
      <c r="K42" s="17">
        <f>CLIENT[[#This Row],[Anciennete_Mois]]/12</f>
        <v>9</v>
      </c>
      <c r="L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" s="18">
        <f>CLIENT[[#This Row],[Facture_Mensuelle]]*CLIENT[[#This Row],[Remise]]</f>
        <v>20.178000000000001</v>
      </c>
    </row>
    <row r="43" spans="1:13" x14ac:dyDescent="0.35">
      <c r="A43" s="1" t="s">
        <v>174</v>
      </c>
      <c r="B43" s="1" t="s">
        <v>214</v>
      </c>
      <c r="C43" s="1" t="s">
        <v>23</v>
      </c>
      <c r="D43">
        <v>120</v>
      </c>
      <c r="E43" s="1" t="s">
        <v>21</v>
      </c>
      <c r="F43" s="17">
        <v>224</v>
      </c>
      <c r="G43">
        <v>69.36</v>
      </c>
      <c r="H43">
        <v>0</v>
      </c>
      <c r="I43" t="str">
        <f t="shared" si="0"/>
        <v>B2C</v>
      </c>
      <c r="J43" s="19">
        <f>CLIENT[[#This Row],[Duree_Cumulee_Panne_Min]]/1440</f>
        <v>0.15555555555555556</v>
      </c>
      <c r="K43" s="17">
        <f>CLIENT[[#This Row],[Anciennete_Mois]]/12</f>
        <v>10</v>
      </c>
      <c r="L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3" s="18">
        <f>CLIENT[[#This Row],[Facture_Mensuelle]]*CLIENT[[#This Row],[Remise]]</f>
        <v>0</v>
      </c>
    </row>
    <row r="44" spans="1:13" x14ac:dyDescent="0.35">
      <c r="A44" s="1" t="s">
        <v>496</v>
      </c>
      <c r="B44" s="1" t="s">
        <v>505</v>
      </c>
      <c r="C44" s="1" t="s">
        <v>68</v>
      </c>
      <c r="D44">
        <v>23</v>
      </c>
      <c r="E44" s="1" t="s">
        <v>18</v>
      </c>
      <c r="F44" s="17">
        <v>325</v>
      </c>
      <c r="G44">
        <v>65.489999999999995</v>
      </c>
      <c r="H44">
        <v>1</v>
      </c>
      <c r="I44" t="str">
        <f t="shared" si="0"/>
        <v>B2B</v>
      </c>
      <c r="J44" s="19">
        <f>CLIENT[[#This Row],[Duree_Cumulee_Panne_Min]]/1440</f>
        <v>0.22569444444444445</v>
      </c>
      <c r="K44" s="17">
        <f>CLIENT[[#This Row],[Anciennete_Mois]]/12</f>
        <v>1.9166666666666667</v>
      </c>
      <c r="L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4" s="18">
        <f>CLIENT[[#This Row],[Facture_Mensuelle]]*CLIENT[[#This Row],[Remise]]</f>
        <v>29.470499999999998</v>
      </c>
    </row>
    <row r="45" spans="1:13" x14ac:dyDescent="0.35">
      <c r="A45" s="1" t="s">
        <v>360</v>
      </c>
      <c r="B45" s="1" t="s">
        <v>361</v>
      </c>
      <c r="C45" s="1" t="s">
        <v>62</v>
      </c>
      <c r="D45">
        <v>12</v>
      </c>
      <c r="E45" s="1" t="s">
        <v>13</v>
      </c>
      <c r="F45" s="17">
        <v>125</v>
      </c>
      <c r="G45">
        <v>36.93</v>
      </c>
      <c r="H45">
        <v>0</v>
      </c>
      <c r="I45" t="str">
        <f t="shared" si="0"/>
        <v>B2C</v>
      </c>
      <c r="J45" s="19">
        <f>CLIENT[[#This Row],[Duree_Cumulee_Panne_Min]]/1440</f>
        <v>8.6805555555555552E-2</v>
      </c>
      <c r="K45" s="17">
        <f>CLIENT[[#This Row],[Anciennete_Mois]]/12</f>
        <v>1</v>
      </c>
      <c r="L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" s="18">
        <f>CLIENT[[#This Row],[Facture_Mensuelle]]*CLIENT[[#This Row],[Remise]]</f>
        <v>0</v>
      </c>
    </row>
    <row r="46" spans="1:13" x14ac:dyDescent="0.35">
      <c r="A46" s="1" t="s">
        <v>540</v>
      </c>
      <c r="B46" s="1" t="s">
        <v>584</v>
      </c>
      <c r="C46" s="1" t="s">
        <v>72</v>
      </c>
      <c r="D46">
        <v>12</v>
      </c>
      <c r="E46" s="1" t="s">
        <v>21</v>
      </c>
      <c r="F46" s="17">
        <v>112</v>
      </c>
      <c r="G46">
        <v>82.81</v>
      </c>
      <c r="H46">
        <v>0</v>
      </c>
      <c r="I46" t="str">
        <f t="shared" si="0"/>
        <v>B2B</v>
      </c>
      <c r="J46" s="19">
        <f>CLIENT[[#This Row],[Duree_Cumulee_Panne_Min]]/1440</f>
        <v>7.7777777777777779E-2</v>
      </c>
      <c r="K46" s="17">
        <f>CLIENT[[#This Row],[Anciennete_Mois]]/12</f>
        <v>1</v>
      </c>
      <c r="L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6" s="18">
        <f>CLIENT[[#This Row],[Facture_Mensuelle]]*CLIENT[[#This Row],[Remise]]</f>
        <v>8.2810000000000006</v>
      </c>
    </row>
    <row r="47" spans="1:13" x14ac:dyDescent="0.35">
      <c r="A47" s="1" t="s">
        <v>453</v>
      </c>
      <c r="B47" s="1" t="s">
        <v>467</v>
      </c>
      <c r="C47" s="1" t="s">
        <v>54</v>
      </c>
      <c r="D47">
        <v>35</v>
      </c>
      <c r="E47" s="1" t="s">
        <v>13</v>
      </c>
      <c r="F47" s="17">
        <v>445</v>
      </c>
      <c r="G47">
        <v>24.11</v>
      </c>
      <c r="H47">
        <v>2</v>
      </c>
      <c r="I47" t="str">
        <f t="shared" si="0"/>
        <v>B2C</v>
      </c>
      <c r="J47" s="19">
        <f>CLIENT[[#This Row],[Duree_Cumulee_Panne_Min]]/1440</f>
        <v>0.30902777777777779</v>
      </c>
      <c r="K47" s="17">
        <f>CLIENT[[#This Row],[Anciennete_Mois]]/12</f>
        <v>2.9166666666666665</v>
      </c>
      <c r="L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7" s="18">
        <f>CLIENT[[#This Row],[Facture_Mensuelle]]*CLIENT[[#This Row],[Remise]]</f>
        <v>10.849500000000001</v>
      </c>
    </row>
    <row r="48" spans="1:13" x14ac:dyDescent="0.35">
      <c r="A48" s="1" t="s">
        <v>591</v>
      </c>
      <c r="B48" s="1" t="s">
        <v>622</v>
      </c>
      <c r="C48" s="1" t="s">
        <v>72</v>
      </c>
      <c r="D48">
        <v>43</v>
      </c>
      <c r="E48" s="1" t="s">
        <v>10</v>
      </c>
      <c r="F48" s="17">
        <v>27</v>
      </c>
      <c r="G48">
        <v>31.48</v>
      </c>
      <c r="H48">
        <v>5</v>
      </c>
      <c r="I48" t="str">
        <f t="shared" si="0"/>
        <v>B2C</v>
      </c>
      <c r="J48" s="19">
        <f>CLIENT[[#This Row],[Duree_Cumulee_Panne_Min]]/1440</f>
        <v>1.8749999999999999E-2</v>
      </c>
      <c r="K48" s="17">
        <f>CLIENT[[#This Row],[Anciennete_Mois]]/12</f>
        <v>3.5833333333333335</v>
      </c>
      <c r="L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" s="18">
        <f>CLIENT[[#This Row],[Facture_Mensuelle]]*CLIENT[[#This Row],[Remise]]</f>
        <v>14.166</v>
      </c>
    </row>
    <row r="49" spans="1:13" x14ac:dyDescent="0.35">
      <c r="A49" s="1" t="s">
        <v>540</v>
      </c>
      <c r="B49" s="1" t="s">
        <v>570</v>
      </c>
      <c r="C49" s="1" t="s">
        <v>9</v>
      </c>
      <c r="D49">
        <v>81</v>
      </c>
      <c r="E49" s="1" t="s">
        <v>21</v>
      </c>
      <c r="F49" s="17">
        <v>11</v>
      </c>
      <c r="G49">
        <v>41.76</v>
      </c>
      <c r="H49">
        <v>5</v>
      </c>
      <c r="I49" t="str">
        <f t="shared" si="0"/>
        <v>B2C</v>
      </c>
      <c r="J49" s="19">
        <f>CLIENT[[#This Row],[Duree_Cumulee_Panne_Min]]/1440</f>
        <v>7.6388888888888886E-3</v>
      </c>
      <c r="K49" s="17">
        <f>CLIENT[[#This Row],[Anciennete_Mois]]/12</f>
        <v>6.75</v>
      </c>
      <c r="L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9" s="18">
        <f>CLIENT[[#This Row],[Facture_Mensuelle]]*CLIENT[[#This Row],[Remise]]</f>
        <v>0</v>
      </c>
    </row>
    <row r="50" spans="1:13" x14ac:dyDescent="0.35">
      <c r="A50" s="1" t="s">
        <v>174</v>
      </c>
      <c r="B50" s="1" t="s">
        <v>197</v>
      </c>
      <c r="C50" s="1" t="s">
        <v>57</v>
      </c>
      <c r="D50">
        <v>102</v>
      </c>
      <c r="E50" s="1" t="s">
        <v>10</v>
      </c>
      <c r="F50" s="17">
        <v>402</v>
      </c>
      <c r="G50">
        <v>28.38</v>
      </c>
      <c r="H50">
        <v>5</v>
      </c>
      <c r="I50" t="str">
        <f t="shared" si="0"/>
        <v>B2B</v>
      </c>
      <c r="J50" s="19">
        <f>CLIENT[[#This Row],[Duree_Cumulee_Panne_Min]]/1440</f>
        <v>0.27916666666666667</v>
      </c>
      <c r="K50" s="17">
        <f>CLIENT[[#This Row],[Anciennete_Mois]]/12</f>
        <v>8.5</v>
      </c>
      <c r="L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" s="18">
        <f>CLIENT[[#This Row],[Facture_Mensuelle]]*CLIENT[[#This Row],[Remise]]</f>
        <v>12.770999999999999</v>
      </c>
    </row>
    <row r="51" spans="1:13" x14ac:dyDescent="0.35">
      <c r="A51" s="1" t="s">
        <v>591</v>
      </c>
      <c r="B51" s="1" t="s">
        <v>599</v>
      </c>
      <c r="C51" s="1" t="s">
        <v>41</v>
      </c>
      <c r="D51">
        <v>22</v>
      </c>
      <c r="E51" s="1" t="s">
        <v>13</v>
      </c>
      <c r="F51" s="17">
        <v>457</v>
      </c>
      <c r="G51">
        <v>13.21</v>
      </c>
      <c r="H51">
        <v>1</v>
      </c>
      <c r="I51" t="str">
        <f t="shared" si="0"/>
        <v>B2C</v>
      </c>
      <c r="J51" s="19">
        <f>CLIENT[[#This Row],[Duree_Cumulee_Panne_Min]]/1440</f>
        <v>0.31736111111111109</v>
      </c>
      <c r="K51" s="17">
        <f>CLIENT[[#This Row],[Anciennete_Mois]]/12</f>
        <v>1.8333333333333333</v>
      </c>
      <c r="L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" s="18">
        <f>CLIENT[[#This Row],[Facture_Mensuelle]]*CLIENT[[#This Row],[Remise]]</f>
        <v>5.9445000000000006</v>
      </c>
    </row>
    <row r="52" spans="1:13" x14ac:dyDescent="0.35">
      <c r="A52" s="1" t="s">
        <v>220</v>
      </c>
      <c r="B52" s="1" t="s">
        <v>242</v>
      </c>
      <c r="C52" s="1" t="s">
        <v>27</v>
      </c>
      <c r="D52">
        <v>91</v>
      </c>
      <c r="E52" s="1" t="s">
        <v>18</v>
      </c>
      <c r="F52" s="17">
        <v>188</v>
      </c>
      <c r="G52">
        <v>65.78</v>
      </c>
      <c r="H52">
        <v>4</v>
      </c>
      <c r="I52" t="str">
        <f t="shared" si="0"/>
        <v>B2C</v>
      </c>
      <c r="J52" s="19">
        <f>CLIENT[[#This Row],[Duree_Cumulee_Panne_Min]]/1440</f>
        <v>0.13055555555555556</v>
      </c>
      <c r="K52" s="17">
        <f>CLIENT[[#This Row],[Anciennete_Mois]]/12</f>
        <v>7.583333333333333</v>
      </c>
      <c r="L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2" s="18">
        <f>CLIENT[[#This Row],[Facture_Mensuelle]]*CLIENT[[#This Row],[Remise]]</f>
        <v>0</v>
      </c>
    </row>
    <row r="53" spans="1:13" x14ac:dyDescent="0.35">
      <c r="A53" s="1" t="s">
        <v>591</v>
      </c>
      <c r="B53" s="1" t="s">
        <v>609</v>
      </c>
      <c r="C53" s="1" t="s">
        <v>24</v>
      </c>
      <c r="D53">
        <v>1</v>
      </c>
      <c r="E53" s="1" t="s">
        <v>18</v>
      </c>
      <c r="F53" s="17">
        <v>135</v>
      </c>
      <c r="G53">
        <v>89.16</v>
      </c>
      <c r="H53">
        <v>3</v>
      </c>
      <c r="I53" t="str">
        <f t="shared" si="0"/>
        <v>B2B</v>
      </c>
      <c r="J53" s="19">
        <f>CLIENT[[#This Row],[Duree_Cumulee_Panne_Min]]/1440</f>
        <v>9.375E-2</v>
      </c>
      <c r="K53" s="17">
        <f>CLIENT[[#This Row],[Anciennete_Mois]]/12</f>
        <v>8.3333333333333329E-2</v>
      </c>
      <c r="L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3" s="18">
        <f>CLIENT[[#This Row],[Facture_Mensuelle]]*CLIENT[[#This Row],[Remise]]</f>
        <v>8.9160000000000004</v>
      </c>
    </row>
    <row r="54" spans="1:13" x14ac:dyDescent="0.35">
      <c r="A54" s="1" t="s">
        <v>8</v>
      </c>
      <c r="B54" s="1" t="s">
        <v>55</v>
      </c>
      <c r="C54" s="1" t="s">
        <v>31</v>
      </c>
      <c r="D54">
        <v>15</v>
      </c>
      <c r="E54" s="1" t="s">
        <v>13</v>
      </c>
      <c r="F54" s="17">
        <v>403</v>
      </c>
      <c r="G54">
        <v>77.12</v>
      </c>
      <c r="H54">
        <v>1</v>
      </c>
      <c r="I54" t="str">
        <f t="shared" si="0"/>
        <v>B2B</v>
      </c>
      <c r="J54" s="19">
        <f>CLIENT[[#This Row],[Duree_Cumulee_Panne_Min]]/1440</f>
        <v>0.27986111111111112</v>
      </c>
      <c r="K54" s="17">
        <f>CLIENT[[#This Row],[Anciennete_Mois]]/12</f>
        <v>1.25</v>
      </c>
      <c r="L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" s="18">
        <f>CLIENT[[#This Row],[Facture_Mensuelle]]*CLIENT[[#This Row],[Remise]]</f>
        <v>34.704000000000001</v>
      </c>
    </row>
    <row r="55" spans="1:13" x14ac:dyDescent="0.35">
      <c r="A55" s="1" t="s">
        <v>267</v>
      </c>
      <c r="B55" s="1" t="s">
        <v>269</v>
      </c>
      <c r="C55" s="1" t="s">
        <v>29</v>
      </c>
      <c r="D55">
        <v>50</v>
      </c>
      <c r="E55" s="1" t="s">
        <v>13</v>
      </c>
      <c r="F55" s="17">
        <v>108</v>
      </c>
      <c r="G55">
        <v>43.81</v>
      </c>
      <c r="H55">
        <v>5</v>
      </c>
      <c r="I55" t="str">
        <f t="shared" si="0"/>
        <v>B2C</v>
      </c>
      <c r="J55" s="19">
        <f>CLIENT[[#This Row],[Duree_Cumulee_Panne_Min]]/1440</f>
        <v>7.4999999999999997E-2</v>
      </c>
      <c r="K55" s="17">
        <f>CLIENT[[#This Row],[Anciennete_Mois]]/12</f>
        <v>4.166666666666667</v>
      </c>
      <c r="L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5" s="18">
        <f>CLIENT[[#This Row],[Facture_Mensuelle]]*CLIENT[[#This Row],[Remise]]</f>
        <v>0</v>
      </c>
    </row>
    <row r="56" spans="1:13" x14ac:dyDescent="0.35">
      <c r="A56" s="1" t="s">
        <v>314</v>
      </c>
      <c r="B56" s="1" t="s">
        <v>344</v>
      </c>
      <c r="C56" s="1" t="s">
        <v>72</v>
      </c>
      <c r="D56">
        <v>19</v>
      </c>
      <c r="E56" s="1" t="s">
        <v>18</v>
      </c>
      <c r="F56" s="17">
        <v>305</v>
      </c>
      <c r="G56">
        <v>81.11</v>
      </c>
      <c r="H56">
        <v>1</v>
      </c>
      <c r="I56" t="str">
        <f t="shared" si="0"/>
        <v>B2C</v>
      </c>
      <c r="J56" s="19">
        <f>CLIENT[[#This Row],[Duree_Cumulee_Panne_Min]]/1440</f>
        <v>0.21180555555555555</v>
      </c>
      <c r="K56" s="17">
        <f>CLIENT[[#This Row],[Anciennete_Mois]]/12</f>
        <v>1.5833333333333333</v>
      </c>
      <c r="L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" s="18">
        <f>CLIENT[[#This Row],[Facture_Mensuelle]]*CLIENT[[#This Row],[Remise]]</f>
        <v>36.499499999999998</v>
      </c>
    </row>
    <row r="57" spans="1:13" x14ac:dyDescent="0.35">
      <c r="A57" s="1" t="s">
        <v>640</v>
      </c>
      <c r="B57" s="1" t="s">
        <v>663</v>
      </c>
      <c r="C57" s="1" t="s">
        <v>62</v>
      </c>
      <c r="D57">
        <v>56</v>
      </c>
      <c r="E57" s="1" t="s">
        <v>18</v>
      </c>
      <c r="F57" s="17">
        <v>27</v>
      </c>
      <c r="G57">
        <v>46.41</v>
      </c>
      <c r="H57">
        <v>3</v>
      </c>
      <c r="I57" t="str">
        <f t="shared" si="0"/>
        <v>B2C</v>
      </c>
      <c r="J57" s="19">
        <f>CLIENT[[#This Row],[Duree_Cumulee_Panne_Min]]/1440</f>
        <v>1.8749999999999999E-2</v>
      </c>
      <c r="K57" s="17">
        <f>CLIENT[[#This Row],[Anciennete_Mois]]/12</f>
        <v>4.666666666666667</v>
      </c>
      <c r="L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" s="18">
        <f>CLIENT[[#This Row],[Facture_Mensuelle]]*CLIENT[[#This Row],[Remise]]</f>
        <v>0</v>
      </c>
    </row>
    <row r="58" spans="1:13" x14ac:dyDescent="0.35">
      <c r="A58" s="1" t="s">
        <v>267</v>
      </c>
      <c r="B58" s="1" t="s">
        <v>284</v>
      </c>
      <c r="C58" s="1" t="s">
        <v>41</v>
      </c>
      <c r="D58">
        <v>98</v>
      </c>
      <c r="E58" s="1" t="s">
        <v>10</v>
      </c>
      <c r="F58" s="17">
        <v>319</v>
      </c>
      <c r="G58">
        <v>88.58</v>
      </c>
      <c r="H58">
        <v>0</v>
      </c>
      <c r="I58" t="str">
        <f t="shared" si="0"/>
        <v>B2C</v>
      </c>
      <c r="J58" s="19">
        <f>CLIENT[[#This Row],[Duree_Cumulee_Panne_Min]]/1440</f>
        <v>0.22152777777777777</v>
      </c>
      <c r="K58" s="17">
        <f>CLIENT[[#This Row],[Anciennete_Mois]]/12</f>
        <v>8.1666666666666661</v>
      </c>
      <c r="L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" s="18">
        <f>CLIENT[[#This Row],[Facture_Mensuelle]]*CLIENT[[#This Row],[Remise]]</f>
        <v>39.860999999999997</v>
      </c>
    </row>
    <row r="59" spans="1:13" x14ac:dyDescent="0.35">
      <c r="A59" s="1" t="s">
        <v>360</v>
      </c>
      <c r="B59" s="1" t="s">
        <v>392</v>
      </c>
      <c r="C59" s="1" t="s">
        <v>61</v>
      </c>
      <c r="D59">
        <v>71</v>
      </c>
      <c r="E59" s="1" t="s">
        <v>10</v>
      </c>
      <c r="F59" s="17">
        <v>191</v>
      </c>
      <c r="G59">
        <v>83.04</v>
      </c>
      <c r="H59">
        <v>4</v>
      </c>
      <c r="I59" t="str">
        <f t="shared" si="0"/>
        <v>B2B</v>
      </c>
      <c r="J59" s="19">
        <f>CLIENT[[#This Row],[Duree_Cumulee_Panne_Min]]/1440</f>
        <v>0.13263888888888889</v>
      </c>
      <c r="K59" s="17">
        <f>CLIENT[[#This Row],[Anciennete_Mois]]/12</f>
        <v>5.916666666666667</v>
      </c>
      <c r="L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9" s="18">
        <f>CLIENT[[#This Row],[Facture_Mensuelle]]*CLIENT[[#This Row],[Remise]]</f>
        <v>8.3040000000000003</v>
      </c>
    </row>
    <row r="60" spans="1:13" x14ac:dyDescent="0.35">
      <c r="A60" s="1" t="s">
        <v>8</v>
      </c>
      <c r="B60" s="1" t="s">
        <v>71</v>
      </c>
      <c r="C60" s="1" t="s">
        <v>72</v>
      </c>
      <c r="D60">
        <v>81</v>
      </c>
      <c r="E60" s="1" t="s">
        <v>13</v>
      </c>
      <c r="F60" s="17">
        <v>154</v>
      </c>
      <c r="G60">
        <v>19.47</v>
      </c>
      <c r="H60">
        <v>3</v>
      </c>
      <c r="I60" t="str">
        <f t="shared" si="0"/>
        <v>B2C</v>
      </c>
      <c r="J60" s="19">
        <f>CLIENT[[#This Row],[Duree_Cumulee_Panne_Min]]/1440</f>
        <v>0.10694444444444444</v>
      </c>
      <c r="K60" s="17">
        <f>CLIENT[[#This Row],[Anciennete_Mois]]/12</f>
        <v>6.75</v>
      </c>
      <c r="L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0" s="18">
        <f>CLIENT[[#This Row],[Facture_Mensuelle]]*CLIENT[[#This Row],[Remise]]</f>
        <v>0</v>
      </c>
    </row>
    <row r="61" spans="1:13" x14ac:dyDescent="0.35">
      <c r="A61" s="1" t="s">
        <v>496</v>
      </c>
      <c r="B61" s="1" t="s">
        <v>509</v>
      </c>
      <c r="C61" s="1" t="s">
        <v>23</v>
      </c>
      <c r="D61">
        <v>34</v>
      </c>
      <c r="E61" s="1" t="s">
        <v>18</v>
      </c>
      <c r="F61" s="17">
        <v>35</v>
      </c>
      <c r="G61">
        <v>76.86</v>
      </c>
      <c r="H61">
        <v>1</v>
      </c>
      <c r="I61" t="str">
        <f t="shared" si="0"/>
        <v>B2C</v>
      </c>
      <c r="J61" s="19">
        <f>CLIENT[[#This Row],[Duree_Cumulee_Panne_Min]]/1440</f>
        <v>2.4305555555555556E-2</v>
      </c>
      <c r="K61" s="17">
        <f>CLIENT[[#This Row],[Anciennete_Mois]]/12</f>
        <v>2.8333333333333335</v>
      </c>
      <c r="L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1" s="18">
        <f>CLIENT[[#This Row],[Facture_Mensuelle]]*CLIENT[[#This Row],[Remise]]</f>
        <v>0</v>
      </c>
    </row>
    <row r="62" spans="1:13" x14ac:dyDescent="0.35">
      <c r="A62" s="1" t="s">
        <v>540</v>
      </c>
      <c r="B62" s="1" t="s">
        <v>551</v>
      </c>
      <c r="C62" s="1" t="s">
        <v>23</v>
      </c>
      <c r="D62">
        <v>55</v>
      </c>
      <c r="E62" s="1" t="s">
        <v>21</v>
      </c>
      <c r="F62" s="17">
        <v>60</v>
      </c>
      <c r="G62">
        <v>32.51</v>
      </c>
      <c r="H62">
        <v>4</v>
      </c>
      <c r="I62" t="str">
        <f t="shared" si="0"/>
        <v>B2B</v>
      </c>
      <c r="J62" s="19">
        <f>CLIENT[[#This Row],[Duree_Cumulee_Panne_Min]]/1440</f>
        <v>4.1666666666666664E-2</v>
      </c>
      <c r="K62" s="17">
        <f>CLIENT[[#This Row],[Anciennete_Mois]]/12</f>
        <v>4.583333333333333</v>
      </c>
      <c r="L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2" s="18">
        <f>CLIENT[[#This Row],[Facture_Mensuelle]]*CLIENT[[#This Row],[Remise]]</f>
        <v>3.2509999999999999</v>
      </c>
    </row>
    <row r="63" spans="1:13" x14ac:dyDescent="0.35">
      <c r="A63" s="1" t="s">
        <v>406</v>
      </c>
      <c r="B63" s="1" t="s">
        <v>451</v>
      </c>
      <c r="C63" s="1" t="s">
        <v>68</v>
      </c>
      <c r="D63">
        <v>47</v>
      </c>
      <c r="E63" s="1" t="s">
        <v>13</v>
      </c>
      <c r="F63" s="17">
        <v>107</v>
      </c>
      <c r="G63">
        <v>35.380000000000003</v>
      </c>
      <c r="H63">
        <v>1</v>
      </c>
      <c r="I63" t="str">
        <f t="shared" si="0"/>
        <v>B2C</v>
      </c>
      <c r="J63" s="19">
        <f>CLIENT[[#This Row],[Duree_Cumulee_Panne_Min]]/1440</f>
        <v>7.4305555555555555E-2</v>
      </c>
      <c r="K63" s="17">
        <f>CLIENT[[#This Row],[Anciennete_Mois]]/12</f>
        <v>3.9166666666666665</v>
      </c>
      <c r="L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3" s="18">
        <f>CLIENT[[#This Row],[Facture_Mensuelle]]*CLIENT[[#This Row],[Remise]]</f>
        <v>0</v>
      </c>
    </row>
    <row r="64" spans="1:13" x14ac:dyDescent="0.35">
      <c r="A64" s="1" t="s">
        <v>453</v>
      </c>
      <c r="B64" s="1" t="s">
        <v>471</v>
      </c>
      <c r="C64" s="1" t="s">
        <v>122</v>
      </c>
      <c r="D64">
        <v>48</v>
      </c>
      <c r="E64" s="1" t="s">
        <v>21</v>
      </c>
      <c r="F64" s="17">
        <v>187</v>
      </c>
      <c r="G64">
        <v>21.26</v>
      </c>
      <c r="H64">
        <v>2</v>
      </c>
      <c r="I64" t="str">
        <f t="shared" si="0"/>
        <v>B2B</v>
      </c>
      <c r="J64" s="19">
        <f>CLIENT[[#This Row],[Duree_Cumulee_Panne_Min]]/1440</f>
        <v>0.12986111111111112</v>
      </c>
      <c r="K64" s="17">
        <f>CLIENT[[#This Row],[Anciennete_Mois]]/12</f>
        <v>4</v>
      </c>
      <c r="L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4" s="18">
        <f>CLIENT[[#This Row],[Facture_Mensuelle]]*CLIENT[[#This Row],[Remise]]</f>
        <v>2.1260000000000003</v>
      </c>
    </row>
    <row r="65" spans="1:13" x14ac:dyDescent="0.35">
      <c r="A65" s="1" t="s">
        <v>360</v>
      </c>
      <c r="B65" s="1" t="s">
        <v>362</v>
      </c>
      <c r="C65" s="1" t="s">
        <v>122</v>
      </c>
      <c r="D65">
        <v>47</v>
      </c>
      <c r="E65" s="1" t="s">
        <v>13</v>
      </c>
      <c r="F65" s="17">
        <v>378</v>
      </c>
      <c r="G65">
        <v>36.42</v>
      </c>
      <c r="H65">
        <v>1</v>
      </c>
      <c r="I65" t="str">
        <f t="shared" si="0"/>
        <v>B2C</v>
      </c>
      <c r="J65" s="19">
        <f>CLIENT[[#This Row],[Duree_Cumulee_Panne_Min]]/1440</f>
        <v>0.26250000000000001</v>
      </c>
      <c r="K65" s="17">
        <f>CLIENT[[#This Row],[Anciennete_Mois]]/12</f>
        <v>3.9166666666666665</v>
      </c>
      <c r="L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" s="18">
        <f>CLIENT[[#This Row],[Facture_Mensuelle]]*CLIENT[[#This Row],[Remise]]</f>
        <v>16.389000000000003</v>
      </c>
    </row>
    <row r="66" spans="1:13" x14ac:dyDescent="0.35">
      <c r="A66" s="1" t="s">
        <v>496</v>
      </c>
      <c r="B66" s="1" t="s">
        <v>533</v>
      </c>
      <c r="C66" s="1" t="s">
        <v>33</v>
      </c>
      <c r="D66">
        <v>109</v>
      </c>
      <c r="E66" s="1" t="s">
        <v>21</v>
      </c>
      <c r="F66" s="17">
        <v>84</v>
      </c>
      <c r="G66">
        <v>97.46</v>
      </c>
      <c r="H66">
        <v>5</v>
      </c>
      <c r="I66" t="str">
        <f t="shared" ref="I66:I129" si="1">IF(E67="Pro Monde","B2B","B2C")</f>
        <v>B2C</v>
      </c>
      <c r="J66" s="19">
        <f>CLIENT[[#This Row],[Duree_Cumulee_Panne_Min]]/1440</f>
        <v>5.8333333333333334E-2</v>
      </c>
      <c r="K66" s="17">
        <f>CLIENT[[#This Row],[Anciennete_Mois]]/12</f>
        <v>9.0833333333333339</v>
      </c>
      <c r="L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6" s="18">
        <f>CLIENT[[#This Row],[Facture_Mensuelle]]*CLIENT[[#This Row],[Remise]]</f>
        <v>0</v>
      </c>
    </row>
    <row r="67" spans="1:13" x14ac:dyDescent="0.35">
      <c r="A67" s="1" t="s">
        <v>174</v>
      </c>
      <c r="B67" s="1" t="s">
        <v>209</v>
      </c>
      <c r="C67" s="1" t="s">
        <v>24</v>
      </c>
      <c r="D67">
        <v>40</v>
      </c>
      <c r="E67" s="1" t="s">
        <v>21</v>
      </c>
      <c r="F67" s="17">
        <v>219</v>
      </c>
      <c r="G67">
        <v>53.98</v>
      </c>
      <c r="H67">
        <v>2</v>
      </c>
      <c r="I67" t="str">
        <f t="shared" si="1"/>
        <v>B2C</v>
      </c>
      <c r="J67" s="19">
        <f>CLIENT[[#This Row],[Duree_Cumulee_Panne_Min]]/1440</f>
        <v>0.15208333333333332</v>
      </c>
      <c r="K67" s="17">
        <f>CLIENT[[#This Row],[Anciennete_Mois]]/12</f>
        <v>3.3333333333333335</v>
      </c>
      <c r="L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7" s="18">
        <f>CLIENT[[#This Row],[Facture_Mensuelle]]*CLIENT[[#This Row],[Remise]]</f>
        <v>0</v>
      </c>
    </row>
    <row r="68" spans="1:13" x14ac:dyDescent="0.35">
      <c r="A68" s="1" t="s">
        <v>640</v>
      </c>
      <c r="B68" s="1" t="s">
        <v>684</v>
      </c>
      <c r="C68" s="1" t="s">
        <v>12</v>
      </c>
      <c r="D68">
        <v>56</v>
      </c>
      <c r="E68" s="1" t="s">
        <v>21</v>
      </c>
      <c r="F68" s="17">
        <v>367</v>
      </c>
      <c r="G68">
        <v>72.790000000000006</v>
      </c>
      <c r="H68">
        <v>1</v>
      </c>
      <c r="I68" t="str">
        <f t="shared" si="1"/>
        <v>B2C</v>
      </c>
      <c r="J68" s="19">
        <f>CLIENT[[#This Row],[Duree_Cumulee_Panne_Min]]/1440</f>
        <v>0.25486111111111109</v>
      </c>
      <c r="K68" s="17">
        <f>CLIENT[[#This Row],[Anciennete_Mois]]/12</f>
        <v>4.666666666666667</v>
      </c>
      <c r="L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8" s="18">
        <f>CLIENT[[#This Row],[Facture_Mensuelle]]*CLIENT[[#This Row],[Remise]]</f>
        <v>32.755500000000005</v>
      </c>
    </row>
    <row r="69" spans="1:13" x14ac:dyDescent="0.35">
      <c r="A69" s="1" t="s">
        <v>453</v>
      </c>
      <c r="B69" s="1" t="s">
        <v>480</v>
      </c>
      <c r="C69" s="1" t="s">
        <v>48</v>
      </c>
      <c r="D69">
        <v>111</v>
      </c>
      <c r="E69" s="1" t="s">
        <v>18</v>
      </c>
      <c r="F69" s="17">
        <v>76</v>
      </c>
      <c r="G69">
        <v>38.19</v>
      </c>
      <c r="H69">
        <v>5</v>
      </c>
      <c r="I69" t="str">
        <f t="shared" si="1"/>
        <v>B2C</v>
      </c>
      <c r="J69" s="19">
        <f>CLIENT[[#This Row],[Duree_Cumulee_Panne_Min]]/1440</f>
        <v>5.2777777777777778E-2</v>
      </c>
      <c r="K69" s="17">
        <f>CLIENT[[#This Row],[Anciennete_Mois]]/12</f>
        <v>9.25</v>
      </c>
      <c r="L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9" s="18">
        <f>CLIENT[[#This Row],[Facture_Mensuelle]]*CLIENT[[#This Row],[Remise]]</f>
        <v>0</v>
      </c>
    </row>
    <row r="70" spans="1:13" x14ac:dyDescent="0.35">
      <c r="A70" s="1" t="s">
        <v>79</v>
      </c>
      <c r="B70" s="1" t="s">
        <v>115</v>
      </c>
      <c r="C70" s="1" t="s">
        <v>33</v>
      </c>
      <c r="D70">
        <v>99</v>
      </c>
      <c r="E70" s="1" t="s">
        <v>21</v>
      </c>
      <c r="F70" s="17">
        <v>493</v>
      </c>
      <c r="G70">
        <v>55.43</v>
      </c>
      <c r="H70">
        <v>2</v>
      </c>
      <c r="I70" t="str">
        <f t="shared" si="1"/>
        <v>B2C</v>
      </c>
      <c r="J70" s="19">
        <f>CLIENT[[#This Row],[Duree_Cumulee_Panne_Min]]/1440</f>
        <v>0.34236111111111112</v>
      </c>
      <c r="K70" s="17">
        <f>CLIENT[[#This Row],[Anciennete_Mois]]/12</f>
        <v>8.25</v>
      </c>
      <c r="L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0" s="18">
        <f>CLIENT[[#This Row],[Facture_Mensuelle]]*CLIENT[[#This Row],[Remise]]</f>
        <v>24.9435</v>
      </c>
    </row>
    <row r="71" spans="1:13" x14ac:dyDescent="0.35">
      <c r="A71" s="1" t="s">
        <v>540</v>
      </c>
      <c r="B71" s="1" t="s">
        <v>587</v>
      </c>
      <c r="C71" s="1" t="s">
        <v>83</v>
      </c>
      <c r="D71">
        <v>56</v>
      </c>
      <c r="E71" s="1" t="s">
        <v>10</v>
      </c>
      <c r="F71" s="17">
        <v>354</v>
      </c>
      <c r="G71">
        <v>32.08</v>
      </c>
      <c r="H71">
        <v>1</v>
      </c>
      <c r="I71" t="str">
        <f t="shared" si="1"/>
        <v>B2B</v>
      </c>
      <c r="J71" s="19">
        <f>CLIENT[[#This Row],[Duree_Cumulee_Panne_Min]]/1440</f>
        <v>0.24583333333333332</v>
      </c>
      <c r="K71" s="17">
        <f>CLIENT[[#This Row],[Anciennete_Mois]]/12</f>
        <v>4.666666666666667</v>
      </c>
      <c r="L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1" s="18">
        <f>CLIENT[[#This Row],[Facture_Mensuelle]]*CLIENT[[#This Row],[Remise]]</f>
        <v>14.436</v>
      </c>
    </row>
    <row r="72" spans="1:13" x14ac:dyDescent="0.35">
      <c r="A72" s="1" t="s">
        <v>220</v>
      </c>
      <c r="B72" s="1" t="s">
        <v>243</v>
      </c>
      <c r="C72" s="1" t="s">
        <v>62</v>
      </c>
      <c r="D72">
        <v>118</v>
      </c>
      <c r="E72" s="1" t="s">
        <v>13</v>
      </c>
      <c r="F72" s="17">
        <v>22</v>
      </c>
      <c r="G72">
        <v>15.39</v>
      </c>
      <c r="H72">
        <v>1</v>
      </c>
      <c r="I72" t="str">
        <f t="shared" si="1"/>
        <v>B2C</v>
      </c>
      <c r="J72" s="19">
        <f>CLIENT[[#This Row],[Duree_Cumulee_Panne_Min]]/1440</f>
        <v>1.5277777777777777E-2</v>
      </c>
      <c r="K72" s="17">
        <f>CLIENT[[#This Row],[Anciennete_Mois]]/12</f>
        <v>9.8333333333333339</v>
      </c>
      <c r="L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72" s="18">
        <f>CLIENT[[#This Row],[Facture_Mensuelle]]*CLIENT[[#This Row],[Remise]]</f>
        <v>0</v>
      </c>
    </row>
    <row r="73" spans="1:13" x14ac:dyDescent="0.35">
      <c r="A73" s="1" t="s">
        <v>79</v>
      </c>
      <c r="B73" s="1" t="s">
        <v>81</v>
      </c>
      <c r="C73" s="1" t="s">
        <v>20</v>
      </c>
      <c r="D73">
        <v>59</v>
      </c>
      <c r="E73" s="1" t="s">
        <v>21</v>
      </c>
      <c r="F73" s="17">
        <v>192</v>
      </c>
      <c r="G73">
        <v>86.17</v>
      </c>
      <c r="H73">
        <v>1</v>
      </c>
      <c r="I73" t="str">
        <f t="shared" si="1"/>
        <v>B2C</v>
      </c>
      <c r="J73" s="19">
        <f>CLIENT[[#This Row],[Duree_Cumulee_Panne_Min]]/1440</f>
        <v>0.13333333333333333</v>
      </c>
      <c r="K73" s="17">
        <f>CLIENT[[#This Row],[Anciennete_Mois]]/12</f>
        <v>4.916666666666667</v>
      </c>
      <c r="L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73" s="18">
        <f>CLIENT[[#This Row],[Facture_Mensuelle]]*CLIENT[[#This Row],[Remise]]</f>
        <v>0</v>
      </c>
    </row>
    <row r="74" spans="1:13" x14ac:dyDescent="0.35">
      <c r="A74" s="1" t="s">
        <v>129</v>
      </c>
      <c r="B74" s="1" t="s">
        <v>131</v>
      </c>
      <c r="C74" s="1" t="s">
        <v>35</v>
      </c>
      <c r="D74">
        <v>69</v>
      </c>
      <c r="E74" s="1" t="s">
        <v>18</v>
      </c>
      <c r="F74" s="17">
        <v>306</v>
      </c>
      <c r="G74">
        <v>13.97</v>
      </c>
      <c r="H74">
        <v>1</v>
      </c>
      <c r="I74" t="str">
        <f t="shared" si="1"/>
        <v>B2C</v>
      </c>
      <c r="J74" s="19">
        <f>CLIENT[[#This Row],[Duree_Cumulee_Panne_Min]]/1440</f>
        <v>0.21249999999999999</v>
      </c>
      <c r="K74" s="17">
        <f>CLIENT[[#This Row],[Anciennete_Mois]]/12</f>
        <v>5.75</v>
      </c>
      <c r="L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4" s="18">
        <f>CLIENT[[#This Row],[Facture_Mensuelle]]*CLIENT[[#This Row],[Remise]]</f>
        <v>6.2865000000000002</v>
      </c>
    </row>
    <row r="75" spans="1:13" x14ac:dyDescent="0.35">
      <c r="A75" s="1" t="s">
        <v>591</v>
      </c>
      <c r="B75" s="1" t="s">
        <v>602</v>
      </c>
      <c r="C75" s="1" t="s">
        <v>57</v>
      </c>
      <c r="D75">
        <v>93</v>
      </c>
      <c r="E75" s="1" t="s">
        <v>10</v>
      </c>
      <c r="F75" s="17">
        <v>136</v>
      </c>
      <c r="G75">
        <v>19.09</v>
      </c>
      <c r="H75">
        <v>1</v>
      </c>
      <c r="I75" t="str">
        <f t="shared" si="1"/>
        <v>B2C</v>
      </c>
      <c r="J75" s="19">
        <f>CLIENT[[#This Row],[Duree_Cumulee_Panne_Min]]/1440</f>
        <v>9.4444444444444442E-2</v>
      </c>
      <c r="K75" s="17">
        <f>CLIENT[[#This Row],[Anciennete_Mois]]/12</f>
        <v>7.75</v>
      </c>
      <c r="L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75" s="18">
        <f>CLIENT[[#This Row],[Facture_Mensuelle]]*CLIENT[[#This Row],[Remise]]</f>
        <v>0</v>
      </c>
    </row>
    <row r="76" spans="1:13" x14ac:dyDescent="0.35">
      <c r="A76" s="1" t="s">
        <v>406</v>
      </c>
      <c r="B76" s="1" t="s">
        <v>438</v>
      </c>
      <c r="C76" s="1" t="s">
        <v>31</v>
      </c>
      <c r="D76">
        <v>43</v>
      </c>
      <c r="E76" s="1" t="s">
        <v>18</v>
      </c>
      <c r="F76" s="17">
        <v>20</v>
      </c>
      <c r="G76">
        <v>66.680000000000007</v>
      </c>
      <c r="H76">
        <v>5</v>
      </c>
      <c r="I76" t="str">
        <f t="shared" si="1"/>
        <v>B2C</v>
      </c>
      <c r="J76" s="19">
        <f>CLIENT[[#This Row],[Duree_Cumulee_Panne_Min]]/1440</f>
        <v>1.3888888888888888E-2</v>
      </c>
      <c r="K76" s="17">
        <f>CLIENT[[#This Row],[Anciennete_Mois]]/12</f>
        <v>3.5833333333333335</v>
      </c>
      <c r="L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76" s="18">
        <f>CLIENT[[#This Row],[Facture_Mensuelle]]*CLIENT[[#This Row],[Remise]]</f>
        <v>0</v>
      </c>
    </row>
    <row r="77" spans="1:13" x14ac:dyDescent="0.35">
      <c r="A77" s="1" t="s">
        <v>591</v>
      </c>
      <c r="B77" s="1" t="s">
        <v>631</v>
      </c>
      <c r="C77" s="1" t="s">
        <v>15</v>
      </c>
      <c r="D77">
        <v>119</v>
      </c>
      <c r="E77" s="1" t="s">
        <v>21</v>
      </c>
      <c r="F77" s="17">
        <v>475</v>
      </c>
      <c r="G77">
        <v>25.98</v>
      </c>
      <c r="H77">
        <v>4</v>
      </c>
      <c r="I77" t="str">
        <f t="shared" si="1"/>
        <v>B2C</v>
      </c>
      <c r="J77" s="19">
        <f>CLIENT[[#This Row],[Duree_Cumulee_Panne_Min]]/1440</f>
        <v>0.3298611111111111</v>
      </c>
      <c r="K77" s="17">
        <f>CLIENT[[#This Row],[Anciennete_Mois]]/12</f>
        <v>9.9166666666666661</v>
      </c>
      <c r="L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7" s="18">
        <f>CLIENT[[#This Row],[Facture_Mensuelle]]*CLIENT[[#This Row],[Remise]]</f>
        <v>11.691000000000001</v>
      </c>
    </row>
    <row r="78" spans="1:13" x14ac:dyDescent="0.35">
      <c r="A78" s="1" t="s">
        <v>360</v>
      </c>
      <c r="B78" s="1" t="s">
        <v>399</v>
      </c>
      <c r="C78" s="1" t="s">
        <v>48</v>
      </c>
      <c r="D78">
        <v>41</v>
      </c>
      <c r="E78" s="1" t="s">
        <v>18</v>
      </c>
      <c r="F78" s="17">
        <v>425</v>
      </c>
      <c r="G78">
        <v>42.33</v>
      </c>
      <c r="H78">
        <v>3</v>
      </c>
      <c r="I78" t="str">
        <f t="shared" si="1"/>
        <v>B2C</v>
      </c>
      <c r="J78" s="19">
        <f>CLIENT[[#This Row],[Duree_Cumulee_Panne_Min]]/1440</f>
        <v>0.2951388888888889</v>
      </c>
      <c r="K78" s="17">
        <f>CLIENT[[#This Row],[Anciennete_Mois]]/12</f>
        <v>3.4166666666666665</v>
      </c>
      <c r="L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8" s="18">
        <f>CLIENT[[#This Row],[Facture_Mensuelle]]*CLIENT[[#This Row],[Remise]]</f>
        <v>19.048500000000001</v>
      </c>
    </row>
    <row r="79" spans="1:13" x14ac:dyDescent="0.35">
      <c r="A79" s="1" t="s">
        <v>267</v>
      </c>
      <c r="B79" s="1" t="s">
        <v>300</v>
      </c>
      <c r="C79" s="1" t="s">
        <v>35</v>
      </c>
      <c r="D79">
        <v>50</v>
      </c>
      <c r="E79" s="1" t="s">
        <v>18</v>
      </c>
      <c r="F79" s="17">
        <v>248</v>
      </c>
      <c r="G79">
        <v>69.42</v>
      </c>
      <c r="H79">
        <v>0</v>
      </c>
      <c r="I79" t="str">
        <f t="shared" si="1"/>
        <v>B2C</v>
      </c>
      <c r="J79" s="19">
        <f>CLIENT[[#This Row],[Duree_Cumulee_Panne_Min]]/1440</f>
        <v>0.17222222222222222</v>
      </c>
      <c r="K79" s="17">
        <f>CLIENT[[#This Row],[Anciennete_Mois]]/12</f>
        <v>4.166666666666667</v>
      </c>
      <c r="L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79" s="18">
        <f>CLIENT[[#This Row],[Facture_Mensuelle]]*CLIENT[[#This Row],[Remise]]</f>
        <v>31.239000000000001</v>
      </c>
    </row>
    <row r="80" spans="1:13" x14ac:dyDescent="0.35">
      <c r="A80" s="1" t="s">
        <v>267</v>
      </c>
      <c r="B80" s="1" t="s">
        <v>309</v>
      </c>
      <c r="C80" s="1" t="s">
        <v>20</v>
      </c>
      <c r="D80">
        <v>47</v>
      </c>
      <c r="E80" s="1" t="s">
        <v>21</v>
      </c>
      <c r="F80" s="17">
        <v>340</v>
      </c>
      <c r="G80">
        <v>31.02</v>
      </c>
      <c r="H80">
        <v>5</v>
      </c>
      <c r="I80" t="str">
        <f t="shared" si="1"/>
        <v>B2C</v>
      </c>
      <c r="J80" s="19">
        <f>CLIENT[[#This Row],[Duree_Cumulee_Panne_Min]]/1440</f>
        <v>0.2361111111111111</v>
      </c>
      <c r="K80" s="17">
        <f>CLIENT[[#This Row],[Anciennete_Mois]]/12</f>
        <v>3.9166666666666665</v>
      </c>
      <c r="L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0" s="18">
        <f>CLIENT[[#This Row],[Facture_Mensuelle]]*CLIENT[[#This Row],[Remise]]</f>
        <v>13.959</v>
      </c>
    </row>
    <row r="81" spans="1:13" x14ac:dyDescent="0.35">
      <c r="A81" s="1" t="s">
        <v>496</v>
      </c>
      <c r="B81" s="1" t="s">
        <v>523</v>
      </c>
      <c r="C81" s="1" t="s">
        <v>37</v>
      </c>
      <c r="D81">
        <v>52</v>
      </c>
      <c r="E81" s="1" t="s">
        <v>10</v>
      </c>
      <c r="F81" s="17">
        <v>425</v>
      </c>
      <c r="G81">
        <v>97.25</v>
      </c>
      <c r="H81">
        <v>0</v>
      </c>
      <c r="I81" t="str">
        <f t="shared" si="1"/>
        <v>B2C</v>
      </c>
      <c r="J81" s="19">
        <f>CLIENT[[#This Row],[Duree_Cumulee_Panne_Min]]/1440</f>
        <v>0.2951388888888889</v>
      </c>
      <c r="K81" s="17">
        <f>CLIENT[[#This Row],[Anciennete_Mois]]/12</f>
        <v>4.333333333333333</v>
      </c>
      <c r="L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1" s="18">
        <f>CLIENT[[#This Row],[Facture_Mensuelle]]*CLIENT[[#This Row],[Remise]]</f>
        <v>43.762500000000003</v>
      </c>
    </row>
    <row r="82" spans="1:13" x14ac:dyDescent="0.35">
      <c r="A82" s="1" t="s">
        <v>79</v>
      </c>
      <c r="B82" s="1" t="s">
        <v>87</v>
      </c>
      <c r="C82" s="1" t="s">
        <v>41</v>
      </c>
      <c r="D82">
        <v>20</v>
      </c>
      <c r="E82" s="1" t="s">
        <v>18</v>
      </c>
      <c r="F82" s="17">
        <v>26</v>
      </c>
      <c r="G82">
        <v>25.14</v>
      </c>
      <c r="H82">
        <v>0</v>
      </c>
      <c r="I82" t="str">
        <f t="shared" si="1"/>
        <v>B2C</v>
      </c>
      <c r="J82" s="19">
        <f>CLIENT[[#This Row],[Duree_Cumulee_Panne_Min]]/1440</f>
        <v>1.8055555555555554E-2</v>
      </c>
      <c r="K82" s="17">
        <f>CLIENT[[#This Row],[Anciennete_Mois]]/12</f>
        <v>1.6666666666666667</v>
      </c>
      <c r="L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82" s="18">
        <f>CLIENT[[#This Row],[Facture_Mensuelle]]*CLIENT[[#This Row],[Remise]]</f>
        <v>0</v>
      </c>
    </row>
    <row r="83" spans="1:13" x14ac:dyDescent="0.35">
      <c r="A83" s="1" t="s">
        <v>129</v>
      </c>
      <c r="B83" s="1" t="s">
        <v>166</v>
      </c>
      <c r="C83" s="1" t="s">
        <v>68</v>
      </c>
      <c r="D83">
        <v>43</v>
      </c>
      <c r="E83" s="1" t="s">
        <v>18</v>
      </c>
      <c r="F83" s="17">
        <v>181</v>
      </c>
      <c r="G83">
        <v>72.39</v>
      </c>
      <c r="H83">
        <v>2</v>
      </c>
      <c r="I83" t="str">
        <f t="shared" si="1"/>
        <v>B2B</v>
      </c>
      <c r="J83" s="19">
        <f>CLIENT[[#This Row],[Duree_Cumulee_Panne_Min]]/1440</f>
        <v>0.12569444444444444</v>
      </c>
      <c r="K83" s="17">
        <f>CLIENT[[#This Row],[Anciennete_Mois]]/12</f>
        <v>3.5833333333333335</v>
      </c>
      <c r="L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83" s="18">
        <f>CLIENT[[#This Row],[Facture_Mensuelle]]*CLIENT[[#This Row],[Remise]]</f>
        <v>7.2390000000000008</v>
      </c>
    </row>
    <row r="84" spans="1:13" x14ac:dyDescent="0.35">
      <c r="A84" s="1" t="s">
        <v>79</v>
      </c>
      <c r="B84" s="1" t="s">
        <v>99</v>
      </c>
      <c r="C84" s="1" t="s">
        <v>9</v>
      </c>
      <c r="D84">
        <v>44</v>
      </c>
      <c r="E84" s="1" t="s">
        <v>13</v>
      </c>
      <c r="F84" s="17">
        <v>137</v>
      </c>
      <c r="G84">
        <v>32.58</v>
      </c>
      <c r="H84">
        <v>0</v>
      </c>
      <c r="I84" t="str">
        <f t="shared" si="1"/>
        <v>B2B</v>
      </c>
      <c r="J84" s="19">
        <f>CLIENT[[#This Row],[Duree_Cumulee_Panne_Min]]/1440</f>
        <v>9.5138888888888884E-2</v>
      </c>
      <c r="K84" s="17">
        <f>CLIENT[[#This Row],[Anciennete_Mois]]/12</f>
        <v>3.6666666666666665</v>
      </c>
      <c r="L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84" s="18">
        <f>CLIENT[[#This Row],[Facture_Mensuelle]]*CLIENT[[#This Row],[Remise]]</f>
        <v>3.258</v>
      </c>
    </row>
    <row r="85" spans="1:13" x14ac:dyDescent="0.35">
      <c r="A85" s="1" t="s">
        <v>640</v>
      </c>
      <c r="B85" s="1" t="s">
        <v>648</v>
      </c>
      <c r="C85" s="1" t="s">
        <v>122</v>
      </c>
      <c r="D85">
        <v>63</v>
      </c>
      <c r="E85" s="1" t="s">
        <v>13</v>
      </c>
      <c r="F85" s="17">
        <v>449</v>
      </c>
      <c r="G85">
        <v>37.08</v>
      </c>
      <c r="H85">
        <v>0</v>
      </c>
      <c r="I85" t="str">
        <f t="shared" si="1"/>
        <v>B2C</v>
      </c>
      <c r="J85" s="19">
        <f>CLIENT[[#This Row],[Duree_Cumulee_Panne_Min]]/1440</f>
        <v>0.31180555555555556</v>
      </c>
      <c r="K85" s="17">
        <f>CLIENT[[#This Row],[Anciennete_Mois]]/12</f>
        <v>5.25</v>
      </c>
      <c r="L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5" s="18">
        <f>CLIENT[[#This Row],[Facture_Mensuelle]]*CLIENT[[#This Row],[Remise]]</f>
        <v>16.686</v>
      </c>
    </row>
    <row r="86" spans="1:13" x14ac:dyDescent="0.35">
      <c r="A86" s="1" t="s">
        <v>360</v>
      </c>
      <c r="B86" s="1" t="s">
        <v>402</v>
      </c>
      <c r="C86" s="1" t="s">
        <v>9</v>
      </c>
      <c r="D86">
        <v>24</v>
      </c>
      <c r="E86" s="1" t="s">
        <v>21</v>
      </c>
      <c r="F86" s="17">
        <v>392</v>
      </c>
      <c r="G86">
        <v>27.06</v>
      </c>
      <c r="H86">
        <v>1</v>
      </c>
      <c r="I86" t="str">
        <f t="shared" si="1"/>
        <v>B2C</v>
      </c>
      <c r="J86" s="19">
        <f>CLIENT[[#This Row],[Duree_Cumulee_Panne_Min]]/1440</f>
        <v>0.2722222222222222</v>
      </c>
      <c r="K86" s="17">
        <f>CLIENT[[#This Row],[Anciennete_Mois]]/12</f>
        <v>2</v>
      </c>
      <c r="L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6" s="18">
        <f>CLIENT[[#This Row],[Facture_Mensuelle]]*CLIENT[[#This Row],[Remise]]</f>
        <v>12.177</v>
      </c>
    </row>
    <row r="87" spans="1:13" x14ac:dyDescent="0.35">
      <c r="A87" s="1" t="s">
        <v>496</v>
      </c>
      <c r="B87" s="1" t="s">
        <v>499</v>
      </c>
      <c r="C87" s="1" t="s">
        <v>35</v>
      </c>
      <c r="D87">
        <v>9</v>
      </c>
      <c r="E87" s="1" t="s">
        <v>18</v>
      </c>
      <c r="F87" s="17">
        <v>11</v>
      </c>
      <c r="G87">
        <v>72.36</v>
      </c>
      <c r="H87">
        <v>2</v>
      </c>
      <c r="I87" t="str">
        <f t="shared" si="1"/>
        <v>B2C</v>
      </c>
      <c r="J87" s="19">
        <f>CLIENT[[#This Row],[Duree_Cumulee_Panne_Min]]/1440</f>
        <v>7.6388888888888886E-3</v>
      </c>
      <c r="K87" s="17">
        <f>CLIENT[[#This Row],[Anciennete_Mois]]/12</f>
        <v>0.75</v>
      </c>
      <c r="L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87" s="18">
        <f>CLIENT[[#This Row],[Facture_Mensuelle]]*CLIENT[[#This Row],[Remise]]</f>
        <v>0</v>
      </c>
    </row>
    <row r="88" spans="1:13" x14ac:dyDescent="0.35">
      <c r="A88" s="1" t="s">
        <v>220</v>
      </c>
      <c r="B88" s="1" t="s">
        <v>251</v>
      </c>
      <c r="C88" s="1" t="s">
        <v>31</v>
      </c>
      <c r="D88">
        <v>11</v>
      </c>
      <c r="E88" s="1" t="s">
        <v>18</v>
      </c>
      <c r="F88" s="17">
        <v>52</v>
      </c>
      <c r="G88">
        <v>76.53</v>
      </c>
      <c r="H88">
        <v>5</v>
      </c>
      <c r="I88" t="str">
        <f t="shared" si="1"/>
        <v>B2C</v>
      </c>
      <c r="J88" s="19">
        <f>CLIENT[[#This Row],[Duree_Cumulee_Panne_Min]]/1440</f>
        <v>3.6111111111111108E-2</v>
      </c>
      <c r="K88" s="17">
        <f>CLIENT[[#This Row],[Anciennete_Mois]]/12</f>
        <v>0.91666666666666663</v>
      </c>
      <c r="L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88" s="18">
        <f>CLIENT[[#This Row],[Facture_Mensuelle]]*CLIENT[[#This Row],[Remise]]</f>
        <v>0</v>
      </c>
    </row>
    <row r="89" spans="1:13" x14ac:dyDescent="0.35">
      <c r="A89" s="1" t="s">
        <v>496</v>
      </c>
      <c r="B89" s="1" t="s">
        <v>530</v>
      </c>
      <c r="C89" s="1" t="s">
        <v>61</v>
      </c>
      <c r="D89">
        <v>57</v>
      </c>
      <c r="E89" s="1" t="s">
        <v>18</v>
      </c>
      <c r="F89" s="17">
        <v>493</v>
      </c>
      <c r="G89">
        <v>43.98</v>
      </c>
      <c r="H89">
        <v>3</v>
      </c>
      <c r="I89" t="str">
        <f t="shared" si="1"/>
        <v>B2C</v>
      </c>
      <c r="J89" s="19">
        <f>CLIENT[[#This Row],[Duree_Cumulee_Panne_Min]]/1440</f>
        <v>0.34236111111111112</v>
      </c>
      <c r="K89" s="17">
        <f>CLIENT[[#This Row],[Anciennete_Mois]]/12</f>
        <v>4.75</v>
      </c>
      <c r="L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89" s="18">
        <f>CLIENT[[#This Row],[Facture_Mensuelle]]*CLIENT[[#This Row],[Remise]]</f>
        <v>19.791</v>
      </c>
    </row>
    <row r="90" spans="1:13" x14ac:dyDescent="0.35">
      <c r="A90" s="1" t="s">
        <v>360</v>
      </c>
      <c r="B90" s="1" t="s">
        <v>382</v>
      </c>
      <c r="C90" s="1" t="s">
        <v>83</v>
      </c>
      <c r="D90">
        <v>40</v>
      </c>
      <c r="E90" s="1" t="s">
        <v>18</v>
      </c>
      <c r="F90" s="17">
        <v>38</v>
      </c>
      <c r="G90">
        <v>17.63</v>
      </c>
      <c r="H90">
        <v>0</v>
      </c>
      <c r="I90" t="str">
        <f t="shared" si="1"/>
        <v>B2C</v>
      </c>
      <c r="J90" s="19">
        <f>CLIENT[[#This Row],[Duree_Cumulee_Panne_Min]]/1440</f>
        <v>2.6388888888888889E-2</v>
      </c>
      <c r="K90" s="17">
        <f>CLIENT[[#This Row],[Anciennete_Mois]]/12</f>
        <v>3.3333333333333335</v>
      </c>
      <c r="L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90" s="18">
        <f>CLIENT[[#This Row],[Facture_Mensuelle]]*CLIENT[[#This Row],[Remise]]</f>
        <v>0</v>
      </c>
    </row>
    <row r="91" spans="1:13" x14ac:dyDescent="0.35">
      <c r="A91" s="1" t="s">
        <v>314</v>
      </c>
      <c r="B91" s="1" t="s">
        <v>347</v>
      </c>
      <c r="C91" s="1" t="s">
        <v>31</v>
      </c>
      <c r="D91">
        <v>19</v>
      </c>
      <c r="E91" s="1" t="s">
        <v>21</v>
      </c>
      <c r="F91" s="17">
        <v>334</v>
      </c>
      <c r="G91">
        <v>96.91</v>
      </c>
      <c r="H91">
        <v>1</v>
      </c>
      <c r="I91" t="str">
        <f t="shared" si="1"/>
        <v>B2B</v>
      </c>
      <c r="J91" s="19">
        <f>CLIENT[[#This Row],[Duree_Cumulee_Panne_Min]]/1440</f>
        <v>0.23194444444444445</v>
      </c>
      <c r="K91" s="17">
        <f>CLIENT[[#This Row],[Anciennete_Mois]]/12</f>
        <v>1.5833333333333333</v>
      </c>
      <c r="L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1" s="18">
        <f>CLIENT[[#This Row],[Facture_Mensuelle]]*CLIENT[[#This Row],[Remise]]</f>
        <v>43.609499999999997</v>
      </c>
    </row>
    <row r="92" spans="1:13" x14ac:dyDescent="0.35">
      <c r="A92" s="1" t="s">
        <v>220</v>
      </c>
      <c r="B92" s="1" t="s">
        <v>261</v>
      </c>
      <c r="C92" s="1" t="s">
        <v>68</v>
      </c>
      <c r="D92">
        <v>108</v>
      </c>
      <c r="E92" s="1" t="s">
        <v>13</v>
      </c>
      <c r="F92" s="17">
        <v>48</v>
      </c>
      <c r="G92">
        <v>86.22</v>
      </c>
      <c r="H92">
        <v>3</v>
      </c>
      <c r="I92" t="str">
        <f t="shared" si="1"/>
        <v>B2B</v>
      </c>
      <c r="J92" s="19">
        <f>CLIENT[[#This Row],[Duree_Cumulee_Panne_Min]]/1440</f>
        <v>3.3333333333333333E-2</v>
      </c>
      <c r="K92" s="17">
        <f>CLIENT[[#This Row],[Anciennete_Mois]]/12</f>
        <v>9</v>
      </c>
      <c r="L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92" s="18">
        <f>CLIENT[[#This Row],[Facture_Mensuelle]]*CLIENT[[#This Row],[Remise]]</f>
        <v>8.6219999999999999</v>
      </c>
    </row>
    <row r="93" spans="1:13" x14ac:dyDescent="0.35">
      <c r="A93" s="1" t="s">
        <v>640</v>
      </c>
      <c r="B93" s="1" t="s">
        <v>649</v>
      </c>
      <c r="C93" s="1" t="s">
        <v>15</v>
      </c>
      <c r="D93">
        <v>37</v>
      </c>
      <c r="E93" s="1" t="s">
        <v>13</v>
      </c>
      <c r="F93" s="17">
        <v>150</v>
      </c>
      <c r="G93">
        <v>37.979999999999997</v>
      </c>
      <c r="H93">
        <v>4</v>
      </c>
      <c r="I93" t="str">
        <f t="shared" si="1"/>
        <v>B2B</v>
      </c>
      <c r="J93" s="19">
        <f>CLIENT[[#This Row],[Duree_Cumulee_Panne_Min]]/1440</f>
        <v>0.10416666666666667</v>
      </c>
      <c r="K93" s="17">
        <f>CLIENT[[#This Row],[Anciennete_Mois]]/12</f>
        <v>3.0833333333333335</v>
      </c>
      <c r="L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93" s="18">
        <f>CLIENT[[#This Row],[Facture_Mensuelle]]*CLIENT[[#This Row],[Remise]]</f>
        <v>3.798</v>
      </c>
    </row>
    <row r="94" spans="1:13" x14ac:dyDescent="0.35">
      <c r="A94" s="1" t="s">
        <v>220</v>
      </c>
      <c r="B94" s="1" t="s">
        <v>235</v>
      </c>
      <c r="C94" s="1" t="s">
        <v>27</v>
      </c>
      <c r="D94">
        <v>52</v>
      </c>
      <c r="E94" s="1" t="s">
        <v>13</v>
      </c>
      <c r="F94" s="17">
        <v>234</v>
      </c>
      <c r="G94">
        <v>62.87</v>
      </c>
      <c r="H94">
        <v>0</v>
      </c>
      <c r="I94" t="str">
        <f t="shared" si="1"/>
        <v>B2C</v>
      </c>
      <c r="J94" s="19">
        <f>CLIENT[[#This Row],[Duree_Cumulee_Panne_Min]]/1440</f>
        <v>0.16250000000000001</v>
      </c>
      <c r="K94" s="17">
        <f>CLIENT[[#This Row],[Anciennete_Mois]]/12</f>
        <v>4.333333333333333</v>
      </c>
      <c r="L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94" s="18">
        <f>CLIENT[[#This Row],[Facture_Mensuelle]]*CLIENT[[#This Row],[Remise]]</f>
        <v>0</v>
      </c>
    </row>
    <row r="95" spans="1:13" x14ac:dyDescent="0.35">
      <c r="A95" s="1" t="s">
        <v>8</v>
      </c>
      <c r="B95" s="1" t="s">
        <v>28</v>
      </c>
      <c r="C95" s="1" t="s">
        <v>29</v>
      </c>
      <c r="D95">
        <v>113</v>
      </c>
      <c r="E95" s="1" t="s">
        <v>21</v>
      </c>
      <c r="F95" s="17">
        <v>380</v>
      </c>
      <c r="G95">
        <v>12.11</v>
      </c>
      <c r="H95">
        <v>0</v>
      </c>
      <c r="I95" t="str">
        <f t="shared" si="1"/>
        <v>B2C</v>
      </c>
      <c r="J95" s="19">
        <f>CLIENT[[#This Row],[Duree_Cumulee_Panne_Min]]/1440</f>
        <v>0.2638888888888889</v>
      </c>
      <c r="K95" s="17">
        <f>CLIENT[[#This Row],[Anciennete_Mois]]/12</f>
        <v>9.4166666666666661</v>
      </c>
      <c r="L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5" s="18">
        <f>CLIENT[[#This Row],[Facture_Mensuelle]]*CLIENT[[#This Row],[Remise]]</f>
        <v>5.4494999999999996</v>
      </c>
    </row>
    <row r="96" spans="1:13" x14ac:dyDescent="0.35">
      <c r="A96" s="1" t="s">
        <v>8</v>
      </c>
      <c r="B96" s="1" t="s">
        <v>78</v>
      </c>
      <c r="C96" s="1" t="s">
        <v>57</v>
      </c>
      <c r="D96">
        <v>21</v>
      </c>
      <c r="E96" s="1" t="s">
        <v>10</v>
      </c>
      <c r="F96" s="17">
        <v>371</v>
      </c>
      <c r="G96">
        <v>48.31</v>
      </c>
      <c r="H96">
        <v>0</v>
      </c>
      <c r="I96" t="str">
        <f t="shared" si="1"/>
        <v>B2B</v>
      </c>
      <c r="J96" s="19">
        <f>CLIENT[[#This Row],[Duree_Cumulee_Panne_Min]]/1440</f>
        <v>0.25763888888888886</v>
      </c>
      <c r="K96" s="17">
        <f>CLIENT[[#This Row],[Anciennete_Mois]]/12</f>
        <v>1.75</v>
      </c>
      <c r="L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6" s="18">
        <f>CLIENT[[#This Row],[Facture_Mensuelle]]*CLIENT[[#This Row],[Remise]]</f>
        <v>21.739500000000003</v>
      </c>
    </row>
    <row r="97" spans="1:13" x14ac:dyDescent="0.35">
      <c r="A97" s="1" t="s">
        <v>360</v>
      </c>
      <c r="B97" s="1" t="s">
        <v>397</v>
      </c>
      <c r="C97" s="1" t="s">
        <v>48</v>
      </c>
      <c r="D97">
        <v>7</v>
      </c>
      <c r="E97" s="1" t="s">
        <v>13</v>
      </c>
      <c r="F97" s="17">
        <v>347</v>
      </c>
      <c r="G97">
        <v>41.84</v>
      </c>
      <c r="H97">
        <v>2</v>
      </c>
      <c r="I97" t="str">
        <f t="shared" si="1"/>
        <v>B2B</v>
      </c>
      <c r="J97" s="19">
        <f>CLIENT[[#This Row],[Duree_Cumulee_Panne_Min]]/1440</f>
        <v>0.24097222222222223</v>
      </c>
      <c r="K97" s="17">
        <f>CLIENT[[#This Row],[Anciennete_Mois]]/12</f>
        <v>0.58333333333333337</v>
      </c>
      <c r="L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7" s="18">
        <f>CLIENT[[#This Row],[Facture_Mensuelle]]*CLIENT[[#This Row],[Remise]]</f>
        <v>18.828000000000003</v>
      </c>
    </row>
    <row r="98" spans="1:13" x14ac:dyDescent="0.35">
      <c r="A98" s="1" t="s">
        <v>79</v>
      </c>
      <c r="B98" s="1" t="s">
        <v>114</v>
      </c>
      <c r="C98" s="1" t="s">
        <v>83</v>
      </c>
      <c r="D98">
        <v>102</v>
      </c>
      <c r="E98" s="1" t="s">
        <v>13</v>
      </c>
      <c r="F98" s="17">
        <v>283</v>
      </c>
      <c r="G98">
        <v>28.98</v>
      </c>
      <c r="H98">
        <v>3</v>
      </c>
      <c r="I98" t="str">
        <f t="shared" si="1"/>
        <v>B2C</v>
      </c>
      <c r="J98" s="19">
        <f>CLIENT[[#This Row],[Duree_Cumulee_Panne_Min]]/1440</f>
        <v>0.19652777777777777</v>
      </c>
      <c r="K98" s="17">
        <f>CLIENT[[#This Row],[Anciennete_Mois]]/12</f>
        <v>8.5</v>
      </c>
      <c r="L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8" s="18">
        <f>CLIENT[[#This Row],[Facture_Mensuelle]]*CLIENT[[#This Row],[Remise]]</f>
        <v>13.041</v>
      </c>
    </row>
    <row r="99" spans="1:13" x14ac:dyDescent="0.35">
      <c r="A99" s="1" t="s">
        <v>640</v>
      </c>
      <c r="B99" s="1" t="s">
        <v>657</v>
      </c>
      <c r="C99" s="1" t="s">
        <v>12</v>
      </c>
      <c r="D99">
        <v>76</v>
      </c>
      <c r="E99" s="1" t="s">
        <v>10</v>
      </c>
      <c r="F99" s="17">
        <v>413</v>
      </c>
      <c r="G99">
        <v>28.39</v>
      </c>
      <c r="H99">
        <v>3</v>
      </c>
      <c r="I99" t="str">
        <f t="shared" si="1"/>
        <v>B2B</v>
      </c>
      <c r="J99" s="19">
        <f>CLIENT[[#This Row],[Duree_Cumulee_Panne_Min]]/1440</f>
        <v>0.28680555555555554</v>
      </c>
      <c r="K99" s="17">
        <f>CLIENT[[#This Row],[Anciennete_Mois]]/12</f>
        <v>6.333333333333333</v>
      </c>
      <c r="L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99" s="18">
        <f>CLIENT[[#This Row],[Facture_Mensuelle]]*CLIENT[[#This Row],[Remise]]</f>
        <v>12.775500000000001</v>
      </c>
    </row>
    <row r="100" spans="1:13" x14ac:dyDescent="0.35">
      <c r="A100" s="1" t="s">
        <v>314</v>
      </c>
      <c r="B100" s="1" t="s">
        <v>334</v>
      </c>
      <c r="C100" s="1" t="s">
        <v>15</v>
      </c>
      <c r="D100">
        <v>2</v>
      </c>
      <c r="E100" s="1" t="s">
        <v>13</v>
      </c>
      <c r="F100" s="17">
        <v>496</v>
      </c>
      <c r="G100">
        <v>15.71</v>
      </c>
      <c r="H100">
        <v>3</v>
      </c>
      <c r="I100" t="str">
        <f t="shared" si="1"/>
        <v>B2B</v>
      </c>
      <c r="J100" s="19">
        <f>CLIENT[[#This Row],[Duree_Cumulee_Panne_Min]]/1440</f>
        <v>0.34444444444444444</v>
      </c>
      <c r="K100" s="17">
        <f>CLIENT[[#This Row],[Anciennete_Mois]]/12</f>
        <v>0.16666666666666666</v>
      </c>
      <c r="L1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00" s="18">
        <f>CLIENT[[#This Row],[Facture_Mensuelle]]*CLIENT[[#This Row],[Remise]]</f>
        <v>7.0695000000000006</v>
      </c>
    </row>
    <row r="101" spans="1:13" x14ac:dyDescent="0.35">
      <c r="A101" s="1" t="s">
        <v>406</v>
      </c>
      <c r="B101" s="1" t="s">
        <v>449</v>
      </c>
      <c r="C101" s="1" t="s">
        <v>9</v>
      </c>
      <c r="D101">
        <v>47</v>
      </c>
      <c r="E101" s="1" t="s">
        <v>13</v>
      </c>
      <c r="F101" s="17">
        <v>328</v>
      </c>
      <c r="G101">
        <v>61.27</v>
      </c>
      <c r="H101">
        <v>3</v>
      </c>
      <c r="I101" t="str">
        <f t="shared" si="1"/>
        <v>B2C</v>
      </c>
      <c r="J101" s="19">
        <f>CLIENT[[#This Row],[Duree_Cumulee_Panne_Min]]/1440</f>
        <v>0.22777777777777777</v>
      </c>
      <c r="K101" s="17">
        <f>CLIENT[[#This Row],[Anciennete_Mois]]/12</f>
        <v>3.9166666666666665</v>
      </c>
      <c r="L1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01" s="18">
        <f>CLIENT[[#This Row],[Facture_Mensuelle]]*CLIENT[[#This Row],[Remise]]</f>
        <v>27.5715</v>
      </c>
    </row>
    <row r="102" spans="1:13" x14ac:dyDescent="0.35">
      <c r="A102" s="1" t="s">
        <v>406</v>
      </c>
      <c r="B102" s="1" t="s">
        <v>428</v>
      </c>
      <c r="C102" s="1" t="s">
        <v>54</v>
      </c>
      <c r="D102">
        <v>37</v>
      </c>
      <c r="E102" s="1" t="s">
        <v>21</v>
      </c>
      <c r="F102" s="17">
        <v>151</v>
      </c>
      <c r="G102">
        <v>62.49</v>
      </c>
      <c r="H102">
        <v>3</v>
      </c>
      <c r="I102" t="str">
        <f t="shared" si="1"/>
        <v>B2C</v>
      </c>
      <c r="J102" s="19">
        <f>CLIENT[[#This Row],[Duree_Cumulee_Panne_Min]]/1440</f>
        <v>0.10486111111111111</v>
      </c>
      <c r="K102" s="17">
        <f>CLIENT[[#This Row],[Anciennete_Mois]]/12</f>
        <v>3.0833333333333335</v>
      </c>
      <c r="L1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02" s="18">
        <f>CLIENT[[#This Row],[Facture_Mensuelle]]*CLIENT[[#This Row],[Remise]]</f>
        <v>0</v>
      </c>
    </row>
    <row r="103" spans="1:13" x14ac:dyDescent="0.35">
      <c r="A103" s="1" t="s">
        <v>267</v>
      </c>
      <c r="B103" s="1" t="s">
        <v>295</v>
      </c>
      <c r="C103" s="1" t="s">
        <v>29</v>
      </c>
      <c r="D103">
        <v>89</v>
      </c>
      <c r="E103" s="1" t="s">
        <v>18</v>
      </c>
      <c r="F103" s="17">
        <v>175</v>
      </c>
      <c r="G103">
        <v>32.369999999999997</v>
      </c>
      <c r="H103">
        <v>1</v>
      </c>
      <c r="I103" t="str">
        <f t="shared" si="1"/>
        <v>B2C</v>
      </c>
      <c r="J103" s="19">
        <f>CLIENT[[#This Row],[Duree_Cumulee_Panne_Min]]/1440</f>
        <v>0.12152777777777778</v>
      </c>
      <c r="K103" s="17">
        <f>CLIENT[[#This Row],[Anciennete_Mois]]/12</f>
        <v>7.416666666666667</v>
      </c>
      <c r="L1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03" s="18">
        <f>CLIENT[[#This Row],[Facture_Mensuelle]]*CLIENT[[#This Row],[Remise]]</f>
        <v>0</v>
      </c>
    </row>
    <row r="104" spans="1:13" x14ac:dyDescent="0.35">
      <c r="A104" s="1" t="s">
        <v>406</v>
      </c>
      <c r="B104" s="1" t="s">
        <v>421</v>
      </c>
      <c r="C104" s="1" t="s">
        <v>29</v>
      </c>
      <c r="D104">
        <v>6</v>
      </c>
      <c r="E104" s="1" t="s">
        <v>10</v>
      </c>
      <c r="F104" s="17">
        <v>362</v>
      </c>
      <c r="G104">
        <v>75.739999999999995</v>
      </c>
      <c r="H104">
        <v>4</v>
      </c>
      <c r="I104" t="str">
        <f t="shared" si="1"/>
        <v>B2C</v>
      </c>
      <c r="J104" s="19">
        <f>CLIENT[[#This Row],[Duree_Cumulee_Panne_Min]]/1440</f>
        <v>0.25138888888888888</v>
      </c>
      <c r="K104" s="17">
        <f>CLIENT[[#This Row],[Anciennete_Mois]]/12</f>
        <v>0.5</v>
      </c>
      <c r="L1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04" s="18">
        <f>CLIENT[[#This Row],[Facture_Mensuelle]]*CLIENT[[#This Row],[Remise]]</f>
        <v>34.082999999999998</v>
      </c>
    </row>
    <row r="105" spans="1:13" x14ac:dyDescent="0.35">
      <c r="A105" s="1" t="s">
        <v>640</v>
      </c>
      <c r="B105" s="1" t="s">
        <v>671</v>
      </c>
      <c r="C105" s="1" t="s">
        <v>48</v>
      </c>
      <c r="D105">
        <v>113</v>
      </c>
      <c r="E105" s="1" t="s">
        <v>10</v>
      </c>
      <c r="F105" s="17">
        <v>49</v>
      </c>
      <c r="G105">
        <v>48.91</v>
      </c>
      <c r="H105">
        <v>5</v>
      </c>
      <c r="I105" t="str">
        <f t="shared" si="1"/>
        <v>B2B</v>
      </c>
      <c r="J105" s="19">
        <f>CLIENT[[#This Row],[Duree_Cumulee_Panne_Min]]/1440</f>
        <v>3.4027777777777775E-2</v>
      </c>
      <c r="K105" s="17">
        <f>CLIENT[[#This Row],[Anciennete_Mois]]/12</f>
        <v>9.4166666666666661</v>
      </c>
      <c r="L1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05" s="18">
        <f>CLIENT[[#This Row],[Facture_Mensuelle]]*CLIENT[[#This Row],[Remise]]</f>
        <v>4.891</v>
      </c>
    </row>
    <row r="106" spans="1:13" x14ac:dyDescent="0.35">
      <c r="A106" s="1" t="s">
        <v>453</v>
      </c>
      <c r="B106" s="1" t="s">
        <v>482</v>
      </c>
      <c r="C106" s="1" t="s">
        <v>27</v>
      </c>
      <c r="D106">
        <v>20</v>
      </c>
      <c r="E106" s="1" t="s">
        <v>13</v>
      </c>
      <c r="F106" s="17">
        <v>93</v>
      </c>
      <c r="G106">
        <v>84.45</v>
      </c>
      <c r="H106">
        <v>0</v>
      </c>
      <c r="I106" t="str">
        <f t="shared" si="1"/>
        <v>B2C</v>
      </c>
      <c r="J106" s="19">
        <f>CLIENT[[#This Row],[Duree_Cumulee_Panne_Min]]/1440</f>
        <v>6.458333333333334E-2</v>
      </c>
      <c r="K106" s="17">
        <f>CLIENT[[#This Row],[Anciennete_Mois]]/12</f>
        <v>1.6666666666666667</v>
      </c>
      <c r="L1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06" s="18">
        <f>CLIENT[[#This Row],[Facture_Mensuelle]]*CLIENT[[#This Row],[Remise]]</f>
        <v>0</v>
      </c>
    </row>
    <row r="107" spans="1:13" x14ac:dyDescent="0.35">
      <c r="A107" s="1" t="s">
        <v>496</v>
      </c>
      <c r="B107" s="1" t="s">
        <v>522</v>
      </c>
      <c r="C107" s="1" t="s">
        <v>29</v>
      </c>
      <c r="D107">
        <v>37</v>
      </c>
      <c r="E107" s="1" t="s">
        <v>10</v>
      </c>
      <c r="F107" s="17">
        <v>94</v>
      </c>
      <c r="G107">
        <v>50.44</v>
      </c>
      <c r="H107">
        <v>4</v>
      </c>
      <c r="I107" t="str">
        <f t="shared" si="1"/>
        <v>B2C</v>
      </c>
      <c r="J107" s="19">
        <f>CLIENT[[#This Row],[Duree_Cumulee_Panne_Min]]/1440</f>
        <v>6.5277777777777782E-2</v>
      </c>
      <c r="K107" s="17">
        <f>CLIENT[[#This Row],[Anciennete_Mois]]/12</f>
        <v>3.0833333333333335</v>
      </c>
      <c r="L1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07" s="18">
        <f>CLIENT[[#This Row],[Facture_Mensuelle]]*CLIENT[[#This Row],[Remise]]</f>
        <v>22.698</v>
      </c>
    </row>
    <row r="108" spans="1:13" x14ac:dyDescent="0.35">
      <c r="A108" s="1" t="s">
        <v>540</v>
      </c>
      <c r="B108" s="1" t="s">
        <v>560</v>
      </c>
      <c r="C108" s="1" t="s">
        <v>20</v>
      </c>
      <c r="D108">
        <v>67</v>
      </c>
      <c r="E108" s="1" t="s">
        <v>21</v>
      </c>
      <c r="F108" s="17">
        <v>81</v>
      </c>
      <c r="G108">
        <v>28.52</v>
      </c>
      <c r="H108">
        <v>4</v>
      </c>
      <c r="I108" t="str">
        <f t="shared" si="1"/>
        <v>B2C</v>
      </c>
      <c r="J108" s="19">
        <f>CLIENT[[#This Row],[Duree_Cumulee_Panne_Min]]/1440</f>
        <v>5.6250000000000001E-2</v>
      </c>
      <c r="K108" s="17">
        <f>CLIENT[[#This Row],[Anciennete_Mois]]/12</f>
        <v>5.583333333333333</v>
      </c>
      <c r="L1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08" s="18">
        <f>CLIENT[[#This Row],[Facture_Mensuelle]]*CLIENT[[#This Row],[Remise]]</f>
        <v>0</v>
      </c>
    </row>
    <row r="109" spans="1:13" x14ac:dyDescent="0.35">
      <c r="A109" s="1" t="s">
        <v>220</v>
      </c>
      <c r="B109" s="1" t="s">
        <v>244</v>
      </c>
      <c r="C109" s="1" t="s">
        <v>15</v>
      </c>
      <c r="D109">
        <v>18</v>
      </c>
      <c r="E109" s="1" t="s">
        <v>21</v>
      </c>
      <c r="F109" s="17">
        <v>34</v>
      </c>
      <c r="G109">
        <v>43.71</v>
      </c>
      <c r="H109">
        <v>1</v>
      </c>
      <c r="I109" t="str">
        <f t="shared" si="1"/>
        <v>B2C</v>
      </c>
      <c r="J109" s="19">
        <f>CLIENT[[#This Row],[Duree_Cumulee_Panne_Min]]/1440</f>
        <v>2.361111111111111E-2</v>
      </c>
      <c r="K109" s="17">
        <f>CLIENT[[#This Row],[Anciennete_Mois]]/12</f>
        <v>1.5</v>
      </c>
      <c r="L1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09" s="18">
        <f>CLIENT[[#This Row],[Facture_Mensuelle]]*CLIENT[[#This Row],[Remise]]</f>
        <v>0</v>
      </c>
    </row>
    <row r="110" spans="1:13" x14ac:dyDescent="0.35">
      <c r="A110" s="1" t="s">
        <v>8</v>
      </c>
      <c r="B110" s="1" t="s">
        <v>25</v>
      </c>
      <c r="C110" s="1" t="s">
        <v>23</v>
      </c>
      <c r="D110">
        <v>6</v>
      </c>
      <c r="E110" s="1" t="s">
        <v>21</v>
      </c>
      <c r="F110" s="17">
        <v>155</v>
      </c>
      <c r="G110">
        <v>40.659999999999997</v>
      </c>
      <c r="H110">
        <v>1</v>
      </c>
      <c r="I110" t="str">
        <f t="shared" si="1"/>
        <v>B2B</v>
      </c>
      <c r="J110" s="19">
        <f>CLIENT[[#This Row],[Duree_Cumulee_Panne_Min]]/1440</f>
        <v>0.1076388888888889</v>
      </c>
      <c r="K110" s="17">
        <f>CLIENT[[#This Row],[Anciennete_Mois]]/12</f>
        <v>0.5</v>
      </c>
      <c r="L1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10" s="18">
        <f>CLIENT[[#This Row],[Facture_Mensuelle]]*CLIENT[[#This Row],[Remise]]</f>
        <v>4.0659999999999998</v>
      </c>
    </row>
    <row r="111" spans="1:13" x14ac:dyDescent="0.35">
      <c r="A111" s="1" t="s">
        <v>174</v>
      </c>
      <c r="B111" s="1" t="s">
        <v>184</v>
      </c>
      <c r="C111" s="1" t="s">
        <v>122</v>
      </c>
      <c r="D111">
        <v>92</v>
      </c>
      <c r="E111" s="1" t="s">
        <v>13</v>
      </c>
      <c r="F111" s="17">
        <v>487</v>
      </c>
      <c r="G111">
        <v>58.38</v>
      </c>
      <c r="H111">
        <v>1</v>
      </c>
      <c r="I111" t="str">
        <f t="shared" si="1"/>
        <v>B2B</v>
      </c>
      <c r="J111" s="19">
        <f>CLIENT[[#This Row],[Duree_Cumulee_Panne_Min]]/1440</f>
        <v>0.33819444444444446</v>
      </c>
      <c r="K111" s="17">
        <f>CLIENT[[#This Row],[Anciennete_Mois]]/12</f>
        <v>7.666666666666667</v>
      </c>
      <c r="L1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11" s="18">
        <f>CLIENT[[#This Row],[Facture_Mensuelle]]*CLIENT[[#This Row],[Remise]]</f>
        <v>26.271000000000001</v>
      </c>
    </row>
    <row r="112" spans="1:13" x14ac:dyDescent="0.35">
      <c r="A112" s="1" t="s">
        <v>496</v>
      </c>
      <c r="B112" s="1" t="s">
        <v>516</v>
      </c>
      <c r="C112" s="1" t="s">
        <v>126</v>
      </c>
      <c r="D112">
        <v>16</v>
      </c>
      <c r="E112" s="1" t="s">
        <v>13</v>
      </c>
      <c r="F112" s="17">
        <v>214</v>
      </c>
      <c r="G112">
        <v>46.57</v>
      </c>
      <c r="H112">
        <v>5</v>
      </c>
      <c r="I112" t="str">
        <f t="shared" si="1"/>
        <v>B2B</v>
      </c>
      <c r="J112" s="19">
        <f>CLIENT[[#This Row],[Duree_Cumulee_Panne_Min]]/1440</f>
        <v>0.14861111111111111</v>
      </c>
      <c r="K112" s="17">
        <f>CLIENT[[#This Row],[Anciennete_Mois]]/12</f>
        <v>1.3333333333333333</v>
      </c>
      <c r="L1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12" s="18">
        <f>CLIENT[[#This Row],[Facture_Mensuelle]]*CLIENT[[#This Row],[Remise]]</f>
        <v>4.657</v>
      </c>
    </row>
    <row r="113" spans="1:13" x14ac:dyDescent="0.35">
      <c r="A113" s="1" t="s">
        <v>406</v>
      </c>
      <c r="B113" s="1" t="s">
        <v>435</v>
      </c>
      <c r="C113" s="1" t="s">
        <v>41</v>
      </c>
      <c r="D113">
        <v>24</v>
      </c>
      <c r="E113" s="1" t="s">
        <v>13</v>
      </c>
      <c r="F113" s="17">
        <v>23</v>
      </c>
      <c r="G113">
        <v>28.55</v>
      </c>
      <c r="H113">
        <v>1</v>
      </c>
      <c r="I113" t="str">
        <f t="shared" si="1"/>
        <v>B2C</v>
      </c>
      <c r="J113" s="19">
        <f>CLIENT[[#This Row],[Duree_Cumulee_Panne_Min]]/1440</f>
        <v>1.5972222222222221E-2</v>
      </c>
      <c r="K113" s="17">
        <f>CLIENT[[#This Row],[Anciennete_Mois]]/12</f>
        <v>2</v>
      </c>
      <c r="L1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13" s="18">
        <f>CLIENT[[#This Row],[Facture_Mensuelle]]*CLIENT[[#This Row],[Remise]]</f>
        <v>0</v>
      </c>
    </row>
    <row r="114" spans="1:13" x14ac:dyDescent="0.35">
      <c r="A114" s="1" t="s">
        <v>406</v>
      </c>
      <c r="B114" s="1" t="s">
        <v>416</v>
      </c>
      <c r="C114" s="1" t="s">
        <v>23</v>
      </c>
      <c r="D114">
        <v>32</v>
      </c>
      <c r="E114" s="1" t="s">
        <v>21</v>
      </c>
      <c r="F114" s="17">
        <v>475</v>
      </c>
      <c r="G114">
        <v>36.54</v>
      </c>
      <c r="H114">
        <v>3</v>
      </c>
      <c r="I114" t="str">
        <f t="shared" si="1"/>
        <v>B2B</v>
      </c>
      <c r="J114" s="19">
        <f>CLIENT[[#This Row],[Duree_Cumulee_Panne_Min]]/1440</f>
        <v>0.3298611111111111</v>
      </c>
      <c r="K114" s="17">
        <f>CLIENT[[#This Row],[Anciennete_Mois]]/12</f>
        <v>2.6666666666666665</v>
      </c>
      <c r="L1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14" s="18">
        <f>CLIENT[[#This Row],[Facture_Mensuelle]]*CLIENT[[#This Row],[Remise]]</f>
        <v>16.443000000000001</v>
      </c>
    </row>
    <row r="115" spans="1:13" x14ac:dyDescent="0.35">
      <c r="A115" s="1" t="s">
        <v>640</v>
      </c>
      <c r="B115" s="1" t="s">
        <v>670</v>
      </c>
      <c r="C115" s="1" t="s">
        <v>29</v>
      </c>
      <c r="D115">
        <v>45</v>
      </c>
      <c r="E115" s="1" t="s">
        <v>13</v>
      </c>
      <c r="F115" s="17">
        <v>304</v>
      </c>
      <c r="G115">
        <v>65.540000000000006</v>
      </c>
      <c r="H115">
        <v>2</v>
      </c>
      <c r="I115" t="str">
        <f t="shared" si="1"/>
        <v>B2C</v>
      </c>
      <c r="J115" s="19">
        <f>CLIENT[[#This Row],[Duree_Cumulee_Panne_Min]]/1440</f>
        <v>0.21111111111111111</v>
      </c>
      <c r="K115" s="17">
        <f>CLIENT[[#This Row],[Anciennete_Mois]]/12</f>
        <v>3.75</v>
      </c>
      <c r="L1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15" s="18">
        <f>CLIENT[[#This Row],[Facture_Mensuelle]]*CLIENT[[#This Row],[Remise]]</f>
        <v>29.493000000000002</v>
      </c>
    </row>
    <row r="116" spans="1:13" x14ac:dyDescent="0.35">
      <c r="A116" s="1" t="s">
        <v>267</v>
      </c>
      <c r="B116" s="1" t="s">
        <v>289</v>
      </c>
      <c r="C116" s="1" t="s">
        <v>122</v>
      </c>
      <c r="D116">
        <v>97</v>
      </c>
      <c r="E116" s="1" t="s">
        <v>18</v>
      </c>
      <c r="F116" s="17">
        <v>40</v>
      </c>
      <c r="G116">
        <v>85.19</v>
      </c>
      <c r="H116">
        <v>1</v>
      </c>
      <c r="I116" t="str">
        <f t="shared" si="1"/>
        <v>B2C</v>
      </c>
      <c r="J116" s="19">
        <f>CLIENT[[#This Row],[Duree_Cumulee_Panne_Min]]/1440</f>
        <v>2.7777777777777776E-2</v>
      </c>
      <c r="K116" s="17">
        <f>CLIENT[[#This Row],[Anciennete_Mois]]/12</f>
        <v>8.0833333333333339</v>
      </c>
      <c r="L1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16" s="18">
        <f>CLIENT[[#This Row],[Facture_Mensuelle]]*CLIENT[[#This Row],[Remise]]</f>
        <v>0</v>
      </c>
    </row>
    <row r="117" spans="1:13" x14ac:dyDescent="0.35">
      <c r="A117" s="1" t="s">
        <v>267</v>
      </c>
      <c r="B117" s="1" t="s">
        <v>298</v>
      </c>
      <c r="C117" s="1" t="s">
        <v>72</v>
      </c>
      <c r="D117">
        <v>8</v>
      </c>
      <c r="E117" s="1" t="s">
        <v>18</v>
      </c>
      <c r="F117" s="17">
        <v>120</v>
      </c>
      <c r="G117">
        <v>88.29</v>
      </c>
      <c r="H117">
        <v>5</v>
      </c>
      <c r="I117" t="str">
        <f t="shared" si="1"/>
        <v>B2C</v>
      </c>
      <c r="J117" s="19">
        <f>CLIENT[[#This Row],[Duree_Cumulee_Panne_Min]]/1440</f>
        <v>8.3333333333333329E-2</v>
      </c>
      <c r="K117" s="17">
        <f>CLIENT[[#This Row],[Anciennete_Mois]]/12</f>
        <v>0.66666666666666663</v>
      </c>
      <c r="L1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17" s="18">
        <f>CLIENT[[#This Row],[Facture_Mensuelle]]*CLIENT[[#This Row],[Remise]]</f>
        <v>0</v>
      </c>
    </row>
    <row r="118" spans="1:13" x14ac:dyDescent="0.35">
      <c r="A118" s="1" t="s">
        <v>591</v>
      </c>
      <c r="B118" s="1" t="s">
        <v>633</v>
      </c>
      <c r="C118" s="1" t="s">
        <v>20</v>
      </c>
      <c r="D118">
        <v>75</v>
      </c>
      <c r="E118" s="1" t="s">
        <v>21</v>
      </c>
      <c r="F118" s="17">
        <v>99</v>
      </c>
      <c r="G118">
        <v>16.93</v>
      </c>
      <c r="H118">
        <v>5</v>
      </c>
      <c r="I118" t="str">
        <f t="shared" si="1"/>
        <v>B2C</v>
      </c>
      <c r="J118" s="19">
        <f>CLIENT[[#This Row],[Duree_Cumulee_Panne_Min]]/1440</f>
        <v>6.8750000000000006E-2</v>
      </c>
      <c r="K118" s="17">
        <f>CLIENT[[#This Row],[Anciennete_Mois]]/12</f>
        <v>6.25</v>
      </c>
      <c r="L1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18" s="18">
        <f>CLIENT[[#This Row],[Facture_Mensuelle]]*CLIENT[[#This Row],[Remise]]</f>
        <v>0</v>
      </c>
    </row>
    <row r="119" spans="1:13" x14ac:dyDescent="0.35">
      <c r="A119" s="1" t="s">
        <v>79</v>
      </c>
      <c r="B119" s="1" t="s">
        <v>116</v>
      </c>
      <c r="C119" s="1" t="s">
        <v>83</v>
      </c>
      <c r="D119">
        <v>91</v>
      </c>
      <c r="E119" s="1" t="s">
        <v>18</v>
      </c>
      <c r="F119" s="17">
        <v>300</v>
      </c>
      <c r="G119">
        <v>82.19</v>
      </c>
      <c r="H119">
        <v>1</v>
      </c>
      <c r="I119" t="str">
        <f t="shared" si="1"/>
        <v>B2C</v>
      </c>
      <c r="J119" s="19">
        <f>CLIENT[[#This Row],[Duree_Cumulee_Panne_Min]]/1440</f>
        <v>0.20833333333333334</v>
      </c>
      <c r="K119" s="17">
        <f>CLIENT[[#This Row],[Anciennete_Mois]]/12</f>
        <v>7.583333333333333</v>
      </c>
      <c r="L1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19" s="18">
        <f>CLIENT[[#This Row],[Facture_Mensuelle]]*CLIENT[[#This Row],[Remise]]</f>
        <v>36.985500000000002</v>
      </c>
    </row>
    <row r="120" spans="1:13" x14ac:dyDescent="0.35">
      <c r="A120" s="1" t="s">
        <v>8</v>
      </c>
      <c r="B120" s="1" t="s">
        <v>40</v>
      </c>
      <c r="C120" s="1" t="s">
        <v>41</v>
      </c>
      <c r="D120">
        <v>66</v>
      </c>
      <c r="E120" s="1" t="s">
        <v>21</v>
      </c>
      <c r="F120" s="17">
        <v>270</v>
      </c>
      <c r="G120">
        <v>75.88</v>
      </c>
      <c r="H120">
        <v>3</v>
      </c>
      <c r="I120" t="str">
        <f t="shared" si="1"/>
        <v>B2B</v>
      </c>
      <c r="J120" s="19">
        <f>CLIENT[[#This Row],[Duree_Cumulee_Panne_Min]]/1440</f>
        <v>0.1875</v>
      </c>
      <c r="K120" s="17">
        <f>CLIENT[[#This Row],[Anciennete_Mois]]/12</f>
        <v>5.5</v>
      </c>
      <c r="L1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0" s="18">
        <f>CLIENT[[#This Row],[Facture_Mensuelle]]*CLIENT[[#This Row],[Remise]]</f>
        <v>34.146000000000001</v>
      </c>
    </row>
    <row r="121" spans="1:13" x14ac:dyDescent="0.35">
      <c r="A121" s="1" t="s">
        <v>496</v>
      </c>
      <c r="B121" s="1" t="s">
        <v>511</v>
      </c>
      <c r="C121" s="1" t="s">
        <v>33</v>
      </c>
      <c r="D121">
        <v>98</v>
      </c>
      <c r="E121" s="1" t="s">
        <v>13</v>
      </c>
      <c r="F121" s="17">
        <v>41</v>
      </c>
      <c r="G121">
        <v>23.55</v>
      </c>
      <c r="H121">
        <v>1</v>
      </c>
      <c r="I121" t="str">
        <f t="shared" si="1"/>
        <v>B2C</v>
      </c>
      <c r="J121" s="19">
        <f>CLIENT[[#This Row],[Duree_Cumulee_Panne_Min]]/1440</f>
        <v>2.8472222222222222E-2</v>
      </c>
      <c r="K121" s="17">
        <f>CLIENT[[#This Row],[Anciennete_Mois]]/12</f>
        <v>8.1666666666666661</v>
      </c>
      <c r="L1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21" s="18">
        <f>CLIENT[[#This Row],[Facture_Mensuelle]]*CLIENT[[#This Row],[Remise]]</f>
        <v>0</v>
      </c>
    </row>
    <row r="122" spans="1:13" x14ac:dyDescent="0.35">
      <c r="A122" s="1" t="s">
        <v>360</v>
      </c>
      <c r="B122" s="1" t="s">
        <v>386</v>
      </c>
      <c r="C122" s="1" t="s">
        <v>29</v>
      </c>
      <c r="D122">
        <v>63</v>
      </c>
      <c r="E122" s="1" t="s">
        <v>18</v>
      </c>
      <c r="F122" s="17">
        <v>263</v>
      </c>
      <c r="G122">
        <v>53.87</v>
      </c>
      <c r="H122">
        <v>4</v>
      </c>
      <c r="I122" t="str">
        <f t="shared" si="1"/>
        <v>B2C</v>
      </c>
      <c r="J122" s="19">
        <f>CLIENT[[#This Row],[Duree_Cumulee_Panne_Min]]/1440</f>
        <v>0.18263888888888888</v>
      </c>
      <c r="K122" s="17">
        <f>CLIENT[[#This Row],[Anciennete_Mois]]/12</f>
        <v>5.25</v>
      </c>
      <c r="L1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2" s="18">
        <f>CLIENT[[#This Row],[Facture_Mensuelle]]*CLIENT[[#This Row],[Remise]]</f>
        <v>24.241499999999998</v>
      </c>
    </row>
    <row r="123" spans="1:13" x14ac:dyDescent="0.35">
      <c r="A123" s="1" t="s">
        <v>314</v>
      </c>
      <c r="B123" s="1" t="s">
        <v>331</v>
      </c>
      <c r="C123" s="1" t="s">
        <v>17</v>
      </c>
      <c r="D123">
        <v>29</v>
      </c>
      <c r="E123" s="1" t="s">
        <v>18</v>
      </c>
      <c r="F123" s="17">
        <v>173</v>
      </c>
      <c r="G123">
        <v>49.03</v>
      </c>
      <c r="H123">
        <v>3</v>
      </c>
      <c r="I123" t="str">
        <f t="shared" si="1"/>
        <v>B2C</v>
      </c>
      <c r="J123" s="19">
        <f>CLIENT[[#This Row],[Duree_Cumulee_Panne_Min]]/1440</f>
        <v>0.12013888888888889</v>
      </c>
      <c r="K123" s="17">
        <f>CLIENT[[#This Row],[Anciennete_Mois]]/12</f>
        <v>2.4166666666666665</v>
      </c>
      <c r="L1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23" s="18">
        <f>CLIENT[[#This Row],[Facture_Mensuelle]]*CLIENT[[#This Row],[Remise]]</f>
        <v>0</v>
      </c>
    </row>
    <row r="124" spans="1:13" x14ac:dyDescent="0.35">
      <c r="A124" s="1" t="s">
        <v>267</v>
      </c>
      <c r="B124" s="1" t="s">
        <v>272</v>
      </c>
      <c r="C124" s="1" t="s">
        <v>126</v>
      </c>
      <c r="D124">
        <v>83</v>
      </c>
      <c r="E124" s="1" t="s">
        <v>21</v>
      </c>
      <c r="F124" s="17">
        <v>30</v>
      </c>
      <c r="G124">
        <v>33.93</v>
      </c>
      <c r="H124">
        <v>3</v>
      </c>
      <c r="I124" t="str">
        <f t="shared" si="1"/>
        <v>B2C</v>
      </c>
      <c r="J124" s="19">
        <f>CLIENT[[#This Row],[Duree_Cumulee_Panne_Min]]/1440</f>
        <v>2.0833333333333332E-2</v>
      </c>
      <c r="K124" s="17">
        <f>CLIENT[[#This Row],[Anciennete_Mois]]/12</f>
        <v>6.916666666666667</v>
      </c>
      <c r="L1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24" s="18">
        <f>CLIENT[[#This Row],[Facture_Mensuelle]]*CLIENT[[#This Row],[Remise]]</f>
        <v>0</v>
      </c>
    </row>
    <row r="125" spans="1:13" x14ac:dyDescent="0.35">
      <c r="A125" s="1" t="s">
        <v>591</v>
      </c>
      <c r="B125" s="1" t="s">
        <v>606</v>
      </c>
      <c r="C125" s="1" t="s">
        <v>15</v>
      </c>
      <c r="D125">
        <v>105</v>
      </c>
      <c r="E125" s="1" t="s">
        <v>21</v>
      </c>
      <c r="F125" s="17">
        <v>271</v>
      </c>
      <c r="G125">
        <v>45.27</v>
      </c>
      <c r="H125">
        <v>2</v>
      </c>
      <c r="I125" t="str">
        <f t="shared" si="1"/>
        <v>B2C</v>
      </c>
      <c r="J125" s="19">
        <f>CLIENT[[#This Row],[Duree_Cumulee_Panne_Min]]/1440</f>
        <v>0.18819444444444444</v>
      </c>
      <c r="K125" s="17">
        <f>CLIENT[[#This Row],[Anciennete_Mois]]/12</f>
        <v>8.75</v>
      </c>
      <c r="L1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5" s="18">
        <f>CLIENT[[#This Row],[Facture_Mensuelle]]*CLIENT[[#This Row],[Remise]]</f>
        <v>20.371500000000001</v>
      </c>
    </row>
    <row r="126" spans="1:13" x14ac:dyDescent="0.35">
      <c r="A126" s="1" t="s">
        <v>406</v>
      </c>
      <c r="B126" s="1" t="s">
        <v>431</v>
      </c>
      <c r="C126" s="1" t="s">
        <v>122</v>
      </c>
      <c r="D126">
        <v>117</v>
      </c>
      <c r="E126" s="1" t="s">
        <v>10</v>
      </c>
      <c r="F126" s="17">
        <v>282</v>
      </c>
      <c r="G126">
        <v>95.11</v>
      </c>
      <c r="H126">
        <v>0</v>
      </c>
      <c r="I126" t="str">
        <f t="shared" si="1"/>
        <v>B2C</v>
      </c>
      <c r="J126" s="19">
        <f>CLIENT[[#This Row],[Duree_Cumulee_Panne_Min]]/1440</f>
        <v>0.19583333333333333</v>
      </c>
      <c r="K126" s="17">
        <f>CLIENT[[#This Row],[Anciennete_Mois]]/12</f>
        <v>9.75</v>
      </c>
      <c r="L1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6" s="18">
        <f>CLIENT[[#This Row],[Facture_Mensuelle]]*CLIENT[[#This Row],[Remise]]</f>
        <v>42.799500000000002</v>
      </c>
    </row>
    <row r="127" spans="1:13" x14ac:dyDescent="0.35">
      <c r="A127" s="1" t="s">
        <v>220</v>
      </c>
      <c r="B127" s="1" t="s">
        <v>230</v>
      </c>
      <c r="C127" s="1" t="s">
        <v>17</v>
      </c>
      <c r="D127">
        <v>96</v>
      </c>
      <c r="E127" s="1" t="s">
        <v>10</v>
      </c>
      <c r="F127" s="17">
        <v>334</v>
      </c>
      <c r="G127">
        <v>64.77</v>
      </c>
      <c r="H127">
        <v>0</v>
      </c>
      <c r="I127" t="str">
        <f t="shared" si="1"/>
        <v>B2B</v>
      </c>
      <c r="J127" s="19">
        <f>CLIENT[[#This Row],[Duree_Cumulee_Panne_Min]]/1440</f>
        <v>0.23194444444444445</v>
      </c>
      <c r="K127" s="17">
        <f>CLIENT[[#This Row],[Anciennete_Mois]]/12</f>
        <v>8</v>
      </c>
      <c r="L1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7" s="18">
        <f>CLIENT[[#This Row],[Facture_Mensuelle]]*CLIENT[[#This Row],[Remise]]</f>
        <v>29.1465</v>
      </c>
    </row>
    <row r="128" spans="1:13" x14ac:dyDescent="0.35">
      <c r="A128" s="1" t="s">
        <v>540</v>
      </c>
      <c r="B128" s="1" t="s">
        <v>547</v>
      </c>
      <c r="C128" s="1" t="s">
        <v>31</v>
      </c>
      <c r="D128">
        <v>7</v>
      </c>
      <c r="E128" s="1" t="s">
        <v>13</v>
      </c>
      <c r="F128" s="17">
        <v>323</v>
      </c>
      <c r="G128">
        <v>82.81</v>
      </c>
      <c r="H128">
        <v>5</v>
      </c>
      <c r="I128" t="str">
        <f t="shared" si="1"/>
        <v>B2C</v>
      </c>
      <c r="J128" s="19">
        <f>CLIENT[[#This Row],[Duree_Cumulee_Panne_Min]]/1440</f>
        <v>0.22430555555555556</v>
      </c>
      <c r="K128" s="17">
        <f>CLIENT[[#This Row],[Anciennete_Mois]]/12</f>
        <v>0.58333333333333337</v>
      </c>
      <c r="L1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8" s="18">
        <f>CLIENT[[#This Row],[Facture_Mensuelle]]*CLIENT[[#This Row],[Remise]]</f>
        <v>37.264500000000005</v>
      </c>
    </row>
    <row r="129" spans="1:13" x14ac:dyDescent="0.35">
      <c r="A129" s="1" t="s">
        <v>591</v>
      </c>
      <c r="B129" s="1" t="s">
        <v>620</v>
      </c>
      <c r="C129" s="1" t="s">
        <v>37</v>
      </c>
      <c r="D129">
        <v>39</v>
      </c>
      <c r="E129" s="1" t="s">
        <v>10</v>
      </c>
      <c r="F129" s="17">
        <v>220</v>
      </c>
      <c r="G129">
        <v>52.91</v>
      </c>
      <c r="H129">
        <v>0</v>
      </c>
      <c r="I129" t="str">
        <f t="shared" si="1"/>
        <v>B2C</v>
      </c>
      <c r="J129" s="19">
        <f>CLIENT[[#This Row],[Duree_Cumulee_Panne_Min]]/1440</f>
        <v>0.15277777777777779</v>
      </c>
      <c r="K129" s="17">
        <f>CLIENT[[#This Row],[Anciennete_Mois]]/12</f>
        <v>3.25</v>
      </c>
      <c r="L1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29" s="18">
        <f>CLIENT[[#This Row],[Facture_Mensuelle]]*CLIENT[[#This Row],[Remise]]</f>
        <v>23.8095</v>
      </c>
    </row>
    <row r="130" spans="1:13" x14ac:dyDescent="0.35">
      <c r="A130" s="1" t="s">
        <v>640</v>
      </c>
      <c r="B130" s="1" t="s">
        <v>653</v>
      </c>
      <c r="C130" s="1" t="s">
        <v>57</v>
      </c>
      <c r="D130">
        <v>59</v>
      </c>
      <c r="E130" s="1" t="s">
        <v>21</v>
      </c>
      <c r="F130" s="17">
        <v>64</v>
      </c>
      <c r="G130">
        <v>20.32</v>
      </c>
      <c r="H130">
        <v>0</v>
      </c>
      <c r="I130" t="str">
        <f t="shared" ref="I130:I193" si="2">IF(E131="Pro Monde","B2B","B2C")</f>
        <v>B2C</v>
      </c>
      <c r="J130" s="19">
        <f>CLIENT[[#This Row],[Duree_Cumulee_Panne_Min]]/1440</f>
        <v>4.4444444444444446E-2</v>
      </c>
      <c r="K130" s="17">
        <f>CLIENT[[#This Row],[Anciennete_Mois]]/12</f>
        <v>4.916666666666667</v>
      </c>
      <c r="L1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0" s="18">
        <f>CLIENT[[#This Row],[Facture_Mensuelle]]*CLIENT[[#This Row],[Remise]]</f>
        <v>0</v>
      </c>
    </row>
    <row r="131" spans="1:13" x14ac:dyDescent="0.35">
      <c r="A131" s="1" t="s">
        <v>406</v>
      </c>
      <c r="B131" s="1" t="s">
        <v>427</v>
      </c>
      <c r="C131" s="1" t="s">
        <v>41</v>
      </c>
      <c r="D131">
        <v>28</v>
      </c>
      <c r="E131" s="1" t="s">
        <v>21</v>
      </c>
      <c r="F131" s="17">
        <v>112</v>
      </c>
      <c r="G131">
        <v>94.51</v>
      </c>
      <c r="H131">
        <v>3</v>
      </c>
      <c r="I131" t="str">
        <f t="shared" si="2"/>
        <v>B2C</v>
      </c>
      <c r="J131" s="19">
        <f>CLIENT[[#This Row],[Duree_Cumulee_Panne_Min]]/1440</f>
        <v>7.7777777777777779E-2</v>
      </c>
      <c r="K131" s="17">
        <f>CLIENT[[#This Row],[Anciennete_Mois]]/12</f>
        <v>2.3333333333333335</v>
      </c>
      <c r="L1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1" s="18">
        <f>CLIENT[[#This Row],[Facture_Mensuelle]]*CLIENT[[#This Row],[Remise]]</f>
        <v>0</v>
      </c>
    </row>
    <row r="132" spans="1:13" x14ac:dyDescent="0.35">
      <c r="A132" s="1" t="s">
        <v>314</v>
      </c>
      <c r="B132" s="1" t="s">
        <v>329</v>
      </c>
      <c r="C132" s="1" t="s">
        <v>17</v>
      </c>
      <c r="D132">
        <v>78</v>
      </c>
      <c r="E132" s="1" t="s">
        <v>10</v>
      </c>
      <c r="F132" s="17">
        <v>263</v>
      </c>
      <c r="G132">
        <v>53.58</v>
      </c>
      <c r="H132">
        <v>5</v>
      </c>
      <c r="I132" t="str">
        <f t="shared" si="2"/>
        <v>B2B</v>
      </c>
      <c r="J132" s="19">
        <f>CLIENT[[#This Row],[Duree_Cumulee_Panne_Min]]/1440</f>
        <v>0.18263888888888888</v>
      </c>
      <c r="K132" s="17">
        <f>CLIENT[[#This Row],[Anciennete_Mois]]/12</f>
        <v>6.5</v>
      </c>
      <c r="L1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32" s="18">
        <f>CLIENT[[#This Row],[Facture_Mensuelle]]*CLIENT[[#This Row],[Remise]]</f>
        <v>24.111000000000001</v>
      </c>
    </row>
    <row r="133" spans="1:13" x14ac:dyDescent="0.35">
      <c r="A133" s="1" t="s">
        <v>267</v>
      </c>
      <c r="B133" s="1" t="s">
        <v>313</v>
      </c>
      <c r="C133" s="1" t="s">
        <v>122</v>
      </c>
      <c r="D133">
        <v>4</v>
      </c>
      <c r="E133" s="1" t="s">
        <v>13</v>
      </c>
      <c r="F133" s="17">
        <v>49</v>
      </c>
      <c r="G133">
        <v>41.35</v>
      </c>
      <c r="H133">
        <v>5</v>
      </c>
      <c r="I133" t="str">
        <f t="shared" si="2"/>
        <v>B2C</v>
      </c>
      <c r="J133" s="19">
        <f>CLIENT[[#This Row],[Duree_Cumulee_Panne_Min]]/1440</f>
        <v>3.4027777777777775E-2</v>
      </c>
      <c r="K133" s="17">
        <f>CLIENT[[#This Row],[Anciennete_Mois]]/12</f>
        <v>0.33333333333333331</v>
      </c>
      <c r="L1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3" s="18">
        <f>CLIENT[[#This Row],[Facture_Mensuelle]]*CLIENT[[#This Row],[Remise]]</f>
        <v>0</v>
      </c>
    </row>
    <row r="134" spans="1:13" x14ac:dyDescent="0.35">
      <c r="A134" s="1" t="s">
        <v>685</v>
      </c>
      <c r="B134" s="1" t="s">
        <v>717</v>
      </c>
      <c r="C134" s="1" t="s">
        <v>12</v>
      </c>
      <c r="D134">
        <v>37</v>
      </c>
      <c r="E134" s="1" t="s">
        <v>10</v>
      </c>
      <c r="F134" s="17">
        <v>213</v>
      </c>
      <c r="G134">
        <v>14.12</v>
      </c>
      <c r="H134">
        <v>1</v>
      </c>
      <c r="I134" t="str">
        <f t="shared" si="2"/>
        <v>B2C</v>
      </c>
      <c r="J134" s="19">
        <f>CLIENT[[#This Row],[Duree_Cumulee_Panne_Min]]/1440</f>
        <v>0.14791666666666667</v>
      </c>
      <c r="K134" s="17">
        <f>CLIENT[[#This Row],[Anciennete_Mois]]/12</f>
        <v>3.0833333333333335</v>
      </c>
      <c r="L1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34" s="18">
        <f>CLIENT[[#This Row],[Facture_Mensuelle]]*CLIENT[[#This Row],[Remise]]</f>
        <v>6.3540000000000001</v>
      </c>
    </row>
    <row r="135" spans="1:13" x14ac:dyDescent="0.35">
      <c r="A135" s="1" t="s">
        <v>267</v>
      </c>
      <c r="B135" s="1" t="s">
        <v>268</v>
      </c>
      <c r="C135" s="1" t="s">
        <v>68</v>
      </c>
      <c r="D135">
        <v>48</v>
      </c>
      <c r="E135" s="1" t="s">
        <v>10</v>
      </c>
      <c r="F135" s="17">
        <v>416</v>
      </c>
      <c r="G135">
        <v>81.260000000000005</v>
      </c>
      <c r="H135">
        <v>5</v>
      </c>
      <c r="I135" t="str">
        <f t="shared" si="2"/>
        <v>B2B</v>
      </c>
      <c r="J135" s="19">
        <f>CLIENT[[#This Row],[Duree_Cumulee_Panne_Min]]/1440</f>
        <v>0.28888888888888886</v>
      </c>
      <c r="K135" s="17">
        <f>CLIENT[[#This Row],[Anciennete_Mois]]/12</f>
        <v>4</v>
      </c>
      <c r="L1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35" s="18">
        <f>CLIENT[[#This Row],[Facture_Mensuelle]]*CLIENT[[#This Row],[Remise]]</f>
        <v>36.567</v>
      </c>
    </row>
    <row r="136" spans="1:13" x14ac:dyDescent="0.35">
      <c r="A136" s="1" t="s">
        <v>220</v>
      </c>
      <c r="B136" s="1" t="s">
        <v>238</v>
      </c>
      <c r="C136" s="1" t="s">
        <v>48</v>
      </c>
      <c r="D136">
        <v>51</v>
      </c>
      <c r="E136" s="1" t="s">
        <v>13</v>
      </c>
      <c r="F136" s="17">
        <v>336</v>
      </c>
      <c r="G136">
        <v>65.47</v>
      </c>
      <c r="H136">
        <v>1</v>
      </c>
      <c r="I136" t="str">
        <f t="shared" si="2"/>
        <v>B2B</v>
      </c>
      <c r="J136" s="19">
        <f>CLIENT[[#This Row],[Duree_Cumulee_Panne_Min]]/1440</f>
        <v>0.23333333333333334</v>
      </c>
      <c r="K136" s="17">
        <f>CLIENT[[#This Row],[Anciennete_Mois]]/12</f>
        <v>4.25</v>
      </c>
      <c r="L1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36" s="18">
        <f>CLIENT[[#This Row],[Facture_Mensuelle]]*CLIENT[[#This Row],[Remise]]</f>
        <v>29.461500000000001</v>
      </c>
    </row>
    <row r="137" spans="1:13" x14ac:dyDescent="0.35">
      <c r="A137" s="1" t="s">
        <v>640</v>
      </c>
      <c r="B137" s="1" t="s">
        <v>678</v>
      </c>
      <c r="C137" s="1" t="s">
        <v>33</v>
      </c>
      <c r="D137">
        <v>20</v>
      </c>
      <c r="E137" s="1" t="s">
        <v>13</v>
      </c>
      <c r="F137" s="17">
        <v>31</v>
      </c>
      <c r="G137">
        <v>52.85</v>
      </c>
      <c r="H137">
        <v>2</v>
      </c>
      <c r="I137" t="str">
        <f t="shared" si="2"/>
        <v>B2C</v>
      </c>
      <c r="J137" s="19">
        <f>CLIENT[[#This Row],[Duree_Cumulee_Panne_Min]]/1440</f>
        <v>2.1527777777777778E-2</v>
      </c>
      <c r="K137" s="17">
        <f>CLIENT[[#This Row],[Anciennete_Mois]]/12</f>
        <v>1.6666666666666667</v>
      </c>
      <c r="L1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7" s="18">
        <f>CLIENT[[#This Row],[Facture_Mensuelle]]*CLIENT[[#This Row],[Remise]]</f>
        <v>0</v>
      </c>
    </row>
    <row r="138" spans="1:13" x14ac:dyDescent="0.35">
      <c r="A138" s="1" t="s">
        <v>267</v>
      </c>
      <c r="B138" s="1" t="s">
        <v>312</v>
      </c>
      <c r="C138" s="1" t="s">
        <v>9</v>
      </c>
      <c r="D138">
        <v>87</v>
      </c>
      <c r="E138" s="1" t="s">
        <v>18</v>
      </c>
      <c r="F138" s="17">
        <v>21</v>
      </c>
      <c r="G138">
        <v>81.459999999999994</v>
      </c>
      <c r="H138">
        <v>3</v>
      </c>
      <c r="I138" t="str">
        <f t="shared" si="2"/>
        <v>B2C</v>
      </c>
      <c r="J138" s="19">
        <f>CLIENT[[#This Row],[Duree_Cumulee_Panne_Min]]/1440</f>
        <v>1.4583333333333334E-2</v>
      </c>
      <c r="K138" s="17">
        <f>CLIENT[[#This Row],[Anciennete_Mois]]/12</f>
        <v>7.25</v>
      </c>
      <c r="L1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38" s="18">
        <f>CLIENT[[#This Row],[Facture_Mensuelle]]*CLIENT[[#This Row],[Remise]]</f>
        <v>0</v>
      </c>
    </row>
    <row r="139" spans="1:13" x14ac:dyDescent="0.35">
      <c r="A139" s="1" t="s">
        <v>406</v>
      </c>
      <c r="B139" s="1" t="s">
        <v>452</v>
      </c>
      <c r="C139" s="1" t="s">
        <v>9</v>
      </c>
      <c r="D139">
        <v>96</v>
      </c>
      <c r="E139" s="1" t="s">
        <v>10</v>
      </c>
      <c r="F139" s="17">
        <v>273</v>
      </c>
      <c r="G139">
        <v>37.909999999999997</v>
      </c>
      <c r="H139">
        <v>2</v>
      </c>
      <c r="I139" t="str">
        <f t="shared" si="2"/>
        <v>B2C</v>
      </c>
      <c r="J139" s="19">
        <f>CLIENT[[#This Row],[Duree_Cumulee_Panne_Min]]/1440</f>
        <v>0.18958333333333333</v>
      </c>
      <c r="K139" s="17">
        <f>CLIENT[[#This Row],[Anciennete_Mois]]/12</f>
        <v>8</v>
      </c>
      <c r="L1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39" s="18">
        <f>CLIENT[[#This Row],[Facture_Mensuelle]]*CLIENT[[#This Row],[Remise]]</f>
        <v>17.0595</v>
      </c>
    </row>
    <row r="140" spans="1:13" x14ac:dyDescent="0.35">
      <c r="A140" s="1" t="s">
        <v>314</v>
      </c>
      <c r="B140" s="1" t="s">
        <v>323</v>
      </c>
      <c r="C140" s="1" t="s">
        <v>126</v>
      </c>
      <c r="D140">
        <v>103</v>
      </c>
      <c r="E140" s="1" t="s">
        <v>21</v>
      </c>
      <c r="F140" s="17">
        <v>182</v>
      </c>
      <c r="G140">
        <v>12.07</v>
      </c>
      <c r="H140">
        <v>5</v>
      </c>
      <c r="I140" t="str">
        <f t="shared" si="2"/>
        <v>B2C</v>
      </c>
      <c r="J140" s="19">
        <f>CLIENT[[#This Row],[Duree_Cumulee_Panne_Min]]/1440</f>
        <v>0.12638888888888888</v>
      </c>
      <c r="K140" s="17">
        <f>CLIENT[[#This Row],[Anciennete_Mois]]/12</f>
        <v>8.5833333333333339</v>
      </c>
      <c r="L1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40" s="18">
        <f>CLIENT[[#This Row],[Facture_Mensuelle]]*CLIENT[[#This Row],[Remise]]</f>
        <v>0</v>
      </c>
    </row>
    <row r="141" spans="1:13" x14ac:dyDescent="0.35">
      <c r="A141" s="1" t="s">
        <v>640</v>
      </c>
      <c r="B141" s="1" t="s">
        <v>654</v>
      </c>
      <c r="C141" s="1" t="s">
        <v>68</v>
      </c>
      <c r="D141">
        <v>28</v>
      </c>
      <c r="E141" s="1" t="s">
        <v>10</v>
      </c>
      <c r="F141" s="17">
        <v>343</v>
      </c>
      <c r="G141">
        <v>64.34</v>
      </c>
      <c r="H141">
        <v>5</v>
      </c>
      <c r="I141" t="str">
        <f t="shared" si="2"/>
        <v>B2B</v>
      </c>
      <c r="J141" s="19">
        <f>CLIENT[[#This Row],[Duree_Cumulee_Panne_Min]]/1440</f>
        <v>0.23819444444444443</v>
      </c>
      <c r="K141" s="17">
        <f>CLIENT[[#This Row],[Anciennete_Mois]]/12</f>
        <v>2.3333333333333335</v>
      </c>
      <c r="L1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1" s="18">
        <f>CLIENT[[#This Row],[Facture_Mensuelle]]*CLIENT[[#This Row],[Remise]]</f>
        <v>28.953000000000003</v>
      </c>
    </row>
    <row r="142" spans="1:13" x14ac:dyDescent="0.35">
      <c r="A142" s="1" t="s">
        <v>174</v>
      </c>
      <c r="B142" s="1" t="s">
        <v>182</v>
      </c>
      <c r="C142" s="1" t="s">
        <v>31</v>
      </c>
      <c r="D142">
        <v>60</v>
      </c>
      <c r="E142" s="1" t="s">
        <v>13</v>
      </c>
      <c r="F142" s="17">
        <v>334</v>
      </c>
      <c r="G142">
        <v>71.72</v>
      </c>
      <c r="H142">
        <v>3</v>
      </c>
      <c r="I142" t="str">
        <f t="shared" si="2"/>
        <v>B2C</v>
      </c>
      <c r="J142" s="19">
        <f>CLIENT[[#This Row],[Duree_Cumulee_Panne_Min]]/1440</f>
        <v>0.23194444444444445</v>
      </c>
      <c r="K142" s="17">
        <f>CLIENT[[#This Row],[Anciennete_Mois]]/12</f>
        <v>5</v>
      </c>
      <c r="L1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2" s="18">
        <f>CLIENT[[#This Row],[Facture_Mensuelle]]*CLIENT[[#This Row],[Remise]]</f>
        <v>32.274000000000001</v>
      </c>
    </row>
    <row r="143" spans="1:13" x14ac:dyDescent="0.35">
      <c r="A143" s="1" t="s">
        <v>496</v>
      </c>
      <c r="B143" s="1" t="s">
        <v>500</v>
      </c>
      <c r="C143" s="1" t="s">
        <v>27</v>
      </c>
      <c r="D143">
        <v>36</v>
      </c>
      <c r="E143" s="1" t="s">
        <v>21</v>
      </c>
      <c r="F143" s="17">
        <v>487</v>
      </c>
      <c r="G143">
        <v>45.02</v>
      </c>
      <c r="H143">
        <v>2</v>
      </c>
      <c r="I143" t="str">
        <f t="shared" si="2"/>
        <v>B2C</v>
      </c>
      <c r="J143" s="19">
        <f>CLIENT[[#This Row],[Duree_Cumulee_Panne_Min]]/1440</f>
        <v>0.33819444444444446</v>
      </c>
      <c r="K143" s="17">
        <f>CLIENT[[#This Row],[Anciennete_Mois]]/12</f>
        <v>3</v>
      </c>
      <c r="L1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3" s="18">
        <f>CLIENT[[#This Row],[Facture_Mensuelle]]*CLIENT[[#This Row],[Remise]]</f>
        <v>20.259</v>
      </c>
    </row>
    <row r="144" spans="1:13" x14ac:dyDescent="0.35">
      <c r="A144" s="1" t="s">
        <v>314</v>
      </c>
      <c r="B144" s="1" t="s">
        <v>352</v>
      </c>
      <c r="C144" s="1" t="s">
        <v>41</v>
      </c>
      <c r="D144">
        <v>106</v>
      </c>
      <c r="E144" s="1" t="s">
        <v>21</v>
      </c>
      <c r="F144" s="17">
        <v>407</v>
      </c>
      <c r="G144">
        <v>59.92</v>
      </c>
      <c r="H144">
        <v>4</v>
      </c>
      <c r="I144" t="str">
        <f t="shared" si="2"/>
        <v>B2C</v>
      </c>
      <c r="J144" s="19">
        <f>CLIENT[[#This Row],[Duree_Cumulee_Panne_Min]]/1440</f>
        <v>0.28263888888888888</v>
      </c>
      <c r="K144" s="17">
        <f>CLIENT[[#This Row],[Anciennete_Mois]]/12</f>
        <v>8.8333333333333339</v>
      </c>
      <c r="L1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4" s="18">
        <f>CLIENT[[#This Row],[Facture_Mensuelle]]*CLIENT[[#This Row],[Remise]]</f>
        <v>26.964000000000002</v>
      </c>
    </row>
    <row r="145" spans="1:13" x14ac:dyDescent="0.35">
      <c r="A145" s="1" t="s">
        <v>79</v>
      </c>
      <c r="B145" s="1" t="s">
        <v>117</v>
      </c>
      <c r="C145" s="1" t="s">
        <v>118</v>
      </c>
      <c r="D145">
        <v>40</v>
      </c>
      <c r="E145" s="1" t="s">
        <v>10</v>
      </c>
      <c r="F145" s="17">
        <v>345</v>
      </c>
      <c r="G145">
        <v>89.55</v>
      </c>
      <c r="H145">
        <v>3</v>
      </c>
      <c r="I145" t="str">
        <f t="shared" si="2"/>
        <v>B2C</v>
      </c>
      <c r="J145" s="19">
        <f>CLIENT[[#This Row],[Duree_Cumulee_Panne_Min]]/1440</f>
        <v>0.23958333333333334</v>
      </c>
      <c r="K145" s="17">
        <f>CLIENT[[#This Row],[Anciennete_Mois]]/12</f>
        <v>3.3333333333333335</v>
      </c>
      <c r="L1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5" s="18">
        <f>CLIENT[[#This Row],[Facture_Mensuelle]]*CLIENT[[#This Row],[Remise]]</f>
        <v>40.297499999999999</v>
      </c>
    </row>
    <row r="146" spans="1:13" x14ac:dyDescent="0.35">
      <c r="A146" s="1" t="s">
        <v>314</v>
      </c>
      <c r="B146" s="1" t="s">
        <v>325</v>
      </c>
      <c r="C146" s="1" t="s">
        <v>37</v>
      </c>
      <c r="D146">
        <v>120</v>
      </c>
      <c r="E146" s="1" t="s">
        <v>21</v>
      </c>
      <c r="F146" s="17">
        <v>242</v>
      </c>
      <c r="G146">
        <v>61.54</v>
      </c>
      <c r="H146">
        <v>1</v>
      </c>
      <c r="I146" t="str">
        <f t="shared" si="2"/>
        <v>B2C</v>
      </c>
      <c r="J146" s="19">
        <f>CLIENT[[#This Row],[Duree_Cumulee_Panne_Min]]/1440</f>
        <v>0.16805555555555557</v>
      </c>
      <c r="K146" s="17">
        <f>CLIENT[[#This Row],[Anciennete_Mois]]/12</f>
        <v>10</v>
      </c>
      <c r="L1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6" s="18">
        <f>CLIENT[[#This Row],[Facture_Mensuelle]]*CLIENT[[#This Row],[Remise]]</f>
        <v>27.693000000000001</v>
      </c>
    </row>
    <row r="147" spans="1:13" x14ac:dyDescent="0.35">
      <c r="A147" s="1" t="s">
        <v>79</v>
      </c>
      <c r="B147" s="1" t="s">
        <v>113</v>
      </c>
      <c r="C147" s="1" t="s">
        <v>24</v>
      </c>
      <c r="D147">
        <v>81</v>
      </c>
      <c r="E147" s="1" t="s">
        <v>10</v>
      </c>
      <c r="F147" s="17">
        <v>137</v>
      </c>
      <c r="G147">
        <v>89.05</v>
      </c>
      <c r="H147">
        <v>0</v>
      </c>
      <c r="I147" t="str">
        <f t="shared" si="2"/>
        <v>B2C</v>
      </c>
      <c r="J147" s="19">
        <f>CLIENT[[#This Row],[Duree_Cumulee_Panne_Min]]/1440</f>
        <v>9.5138888888888884E-2</v>
      </c>
      <c r="K147" s="17">
        <f>CLIENT[[#This Row],[Anciennete_Mois]]/12</f>
        <v>6.75</v>
      </c>
      <c r="L1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47" s="18">
        <f>CLIENT[[#This Row],[Facture_Mensuelle]]*CLIENT[[#This Row],[Remise]]</f>
        <v>0</v>
      </c>
    </row>
    <row r="148" spans="1:13" x14ac:dyDescent="0.35">
      <c r="A148" s="1" t="s">
        <v>685</v>
      </c>
      <c r="B148" s="1" t="s">
        <v>722</v>
      </c>
      <c r="C148" s="1" t="s">
        <v>23</v>
      </c>
      <c r="D148">
        <v>105</v>
      </c>
      <c r="E148" s="1" t="s">
        <v>10</v>
      </c>
      <c r="F148" s="17">
        <v>454</v>
      </c>
      <c r="G148">
        <v>49.47</v>
      </c>
      <c r="H148">
        <v>4</v>
      </c>
      <c r="I148" t="str">
        <f t="shared" si="2"/>
        <v>B2B</v>
      </c>
      <c r="J148" s="19">
        <f>CLIENT[[#This Row],[Duree_Cumulee_Panne_Min]]/1440</f>
        <v>0.31527777777777777</v>
      </c>
      <c r="K148" s="17">
        <f>CLIENT[[#This Row],[Anciennete_Mois]]/12</f>
        <v>8.75</v>
      </c>
      <c r="L1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48" s="18">
        <f>CLIENT[[#This Row],[Facture_Mensuelle]]*CLIENT[[#This Row],[Remise]]</f>
        <v>22.261500000000002</v>
      </c>
    </row>
    <row r="149" spans="1:13" x14ac:dyDescent="0.35">
      <c r="A149" s="1" t="s">
        <v>267</v>
      </c>
      <c r="B149" s="1" t="s">
        <v>276</v>
      </c>
      <c r="C149" s="1" t="s">
        <v>126</v>
      </c>
      <c r="D149">
        <v>5</v>
      </c>
      <c r="E149" s="1" t="s">
        <v>13</v>
      </c>
      <c r="F149" s="17">
        <v>98</v>
      </c>
      <c r="G149">
        <v>71.37</v>
      </c>
      <c r="H149">
        <v>1</v>
      </c>
      <c r="I149" t="str">
        <f t="shared" si="2"/>
        <v>B2C</v>
      </c>
      <c r="J149" s="19">
        <f>CLIENT[[#This Row],[Duree_Cumulee_Panne_Min]]/1440</f>
        <v>6.805555555555555E-2</v>
      </c>
      <c r="K149" s="17">
        <f>CLIENT[[#This Row],[Anciennete_Mois]]/12</f>
        <v>0.41666666666666669</v>
      </c>
      <c r="L1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49" s="18">
        <f>CLIENT[[#This Row],[Facture_Mensuelle]]*CLIENT[[#This Row],[Remise]]</f>
        <v>0</v>
      </c>
    </row>
    <row r="150" spans="1:13" x14ac:dyDescent="0.35">
      <c r="A150" s="1" t="s">
        <v>267</v>
      </c>
      <c r="B150" s="1" t="s">
        <v>283</v>
      </c>
      <c r="C150" s="1" t="s">
        <v>57</v>
      </c>
      <c r="D150">
        <v>25</v>
      </c>
      <c r="E150" s="1" t="s">
        <v>10</v>
      </c>
      <c r="F150" s="17">
        <v>467</v>
      </c>
      <c r="G150">
        <v>97.78</v>
      </c>
      <c r="H150">
        <v>3</v>
      </c>
      <c r="I150" t="str">
        <f t="shared" si="2"/>
        <v>B2C</v>
      </c>
      <c r="J150" s="19">
        <f>CLIENT[[#This Row],[Duree_Cumulee_Panne_Min]]/1440</f>
        <v>0.32430555555555557</v>
      </c>
      <c r="K150" s="17">
        <f>CLIENT[[#This Row],[Anciennete_Mois]]/12</f>
        <v>2.0833333333333335</v>
      </c>
      <c r="L1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0" s="18">
        <f>CLIENT[[#This Row],[Facture_Mensuelle]]*CLIENT[[#This Row],[Remise]]</f>
        <v>44.001000000000005</v>
      </c>
    </row>
    <row r="151" spans="1:13" x14ac:dyDescent="0.35">
      <c r="A151" s="1" t="s">
        <v>406</v>
      </c>
      <c r="B151" s="1" t="s">
        <v>430</v>
      </c>
      <c r="C151" s="1" t="s">
        <v>41</v>
      </c>
      <c r="D151">
        <v>36</v>
      </c>
      <c r="E151" s="1" t="s">
        <v>10</v>
      </c>
      <c r="F151" s="17">
        <v>137</v>
      </c>
      <c r="G151">
        <v>71.930000000000007</v>
      </c>
      <c r="H151">
        <v>0</v>
      </c>
      <c r="I151" t="str">
        <f t="shared" si="2"/>
        <v>B2C</v>
      </c>
      <c r="J151" s="19">
        <f>CLIENT[[#This Row],[Duree_Cumulee_Panne_Min]]/1440</f>
        <v>9.5138888888888884E-2</v>
      </c>
      <c r="K151" s="17">
        <f>CLIENT[[#This Row],[Anciennete_Mois]]/12</f>
        <v>3</v>
      </c>
      <c r="L1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1" s="18">
        <f>CLIENT[[#This Row],[Facture_Mensuelle]]*CLIENT[[#This Row],[Remise]]</f>
        <v>32.368500000000004</v>
      </c>
    </row>
    <row r="152" spans="1:13" x14ac:dyDescent="0.35">
      <c r="A152" s="1" t="s">
        <v>685</v>
      </c>
      <c r="B152" s="1" t="s">
        <v>721</v>
      </c>
      <c r="C152" s="1" t="s">
        <v>54</v>
      </c>
      <c r="D152">
        <v>21</v>
      </c>
      <c r="E152" s="1" t="s">
        <v>18</v>
      </c>
      <c r="F152" s="17">
        <v>475</v>
      </c>
      <c r="G152">
        <v>15.12</v>
      </c>
      <c r="H152">
        <v>2</v>
      </c>
      <c r="I152" t="str">
        <f t="shared" si="2"/>
        <v>B2C</v>
      </c>
      <c r="J152" s="19">
        <f>CLIENT[[#This Row],[Duree_Cumulee_Panne_Min]]/1440</f>
        <v>0.3298611111111111</v>
      </c>
      <c r="K152" s="17">
        <f>CLIENT[[#This Row],[Anciennete_Mois]]/12</f>
        <v>1.75</v>
      </c>
      <c r="L1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2" s="18">
        <f>CLIENT[[#This Row],[Facture_Mensuelle]]*CLIENT[[#This Row],[Remise]]</f>
        <v>6.8039999999999994</v>
      </c>
    </row>
    <row r="153" spans="1:13" x14ac:dyDescent="0.35">
      <c r="A153" s="1" t="s">
        <v>360</v>
      </c>
      <c r="B153" s="1" t="s">
        <v>366</v>
      </c>
      <c r="C153" s="1" t="s">
        <v>37</v>
      </c>
      <c r="D153">
        <v>19</v>
      </c>
      <c r="E153" s="1" t="s">
        <v>21</v>
      </c>
      <c r="F153" s="17">
        <v>450</v>
      </c>
      <c r="G153">
        <v>37.43</v>
      </c>
      <c r="H153">
        <v>2</v>
      </c>
      <c r="I153" t="str">
        <f t="shared" si="2"/>
        <v>B2B</v>
      </c>
      <c r="J153" s="19">
        <f>CLIENT[[#This Row],[Duree_Cumulee_Panne_Min]]/1440</f>
        <v>0.3125</v>
      </c>
      <c r="K153" s="17">
        <f>CLIENT[[#This Row],[Anciennete_Mois]]/12</f>
        <v>1.5833333333333333</v>
      </c>
      <c r="L1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3" s="18">
        <f>CLIENT[[#This Row],[Facture_Mensuelle]]*CLIENT[[#This Row],[Remise]]</f>
        <v>16.843499999999999</v>
      </c>
    </row>
    <row r="154" spans="1:13" x14ac:dyDescent="0.35">
      <c r="A154" s="1" t="s">
        <v>174</v>
      </c>
      <c r="B154" s="1" t="s">
        <v>180</v>
      </c>
      <c r="C154" s="1" t="s">
        <v>41</v>
      </c>
      <c r="D154">
        <v>64</v>
      </c>
      <c r="E154" s="1" t="s">
        <v>13</v>
      </c>
      <c r="F154" s="17">
        <v>6</v>
      </c>
      <c r="G154">
        <v>40.58</v>
      </c>
      <c r="H154">
        <v>5</v>
      </c>
      <c r="I154" t="str">
        <f t="shared" si="2"/>
        <v>B2C</v>
      </c>
      <c r="J154" s="19">
        <f>CLIENT[[#This Row],[Duree_Cumulee_Panne_Min]]/1440</f>
        <v>4.1666666666666666E-3</v>
      </c>
      <c r="K154" s="17">
        <f>CLIENT[[#This Row],[Anciennete_Mois]]/12</f>
        <v>5.333333333333333</v>
      </c>
      <c r="L1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54" s="18">
        <f>CLIENT[[#This Row],[Facture_Mensuelle]]*CLIENT[[#This Row],[Remise]]</f>
        <v>0</v>
      </c>
    </row>
    <row r="155" spans="1:13" x14ac:dyDescent="0.35">
      <c r="A155" s="1" t="s">
        <v>79</v>
      </c>
      <c r="B155" s="1" t="s">
        <v>80</v>
      </c>
      <c r="C155" s="1" t="s">
        <v>48</v>
      </c>
      <c r="D155">
        <v>82</v>
      </c>
      <c r="E155" s="1" t="s">
        <v>18</v>
      </c>
      <c r="F155" s="17">
        <v>132</v>
      </c>
      <c r="G155">
        <v>50.14</v>
      </c>
      <c r="H155">
        <v>5</v>
      </c>
      <c r="I155" t="str">
        <f t="shared" si="2"/>
        <v>B2B</v>
      </c>
      <c r="J155" s="19">
        <f>CLIENT[[#This Row],[Duree_Cumulee_Panne_Min]]/1440</f>
        <v>9.166666666666666E-2</v>
      </c>
      <c r="K155" s="17">
        <f>CLIENT[[#This Row],[Anciennete_Mois]]/12</f>
        <v>6.833333333333333</v>
      </c>
      <c r="L1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55" s="18">
        <f>CLIENT[[#This Row],[Facture_Mensuelle]]*CLIENT[[#This Row],[Remise]]</f>
        <v>5.0140000000000002</v>
      </c>
    </row>
    <row r="156" spans="1:13" x14ac:dyDescent="0.35">
      <c r="A156" s="1" t="s">
        <v>129</v>
      </c>
      <c r="B156" s="1" t="s">
        <v>169</v>
      </c>
      <c r="C156" s="1" t="s">
        <v>62</v>
      </c>
      <c r="D156">
        <v>74</v>
      </c>
      <c r="E156" s="1" t="s">
        <v>13</v>
      </c>
      <c r="F156" s="17">
        <v>371</v>
      </c>
      <c r="G156">
        <v>53.27</v>
      </c>
      <c r="H156">
        <v>3</v>
      </c>
      <c r="I156" t="str">
        <f t="shared" si="2"/>
        <v>B2B</v>
      </c>
      <c r="J156" s="19">
        <f>CLIENT[[#This Row],[Duree_Cumulee_Panne_Min]]/1440</f>
        <v>0.25763888888888886</v>
      </c>
      <c r="K156" s="17">
        <f>CLIENT[[#This Row],[Anciennete_Mois]]/12</f>
        <v>6.166666666666667</v>
      </c>
      <c r="L1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6" s="18">
        <f>CLIENT[[#This Row],[Facture_Mensuelle]]*CLIENT[[#This Row],[Remise]]</f>
        <v>23.971500000000002</v>
      </c>
    </row>
    <row r="157" spans="1:13" x14ac:dyDescent="0.35">
      <c r="A157" s="1" t="s">
        <v>79</v>
      </c>
      <c r="B157" s="1" t="s">
        <v>98</v>
      </c>
      <c r="C157" s="1" t="s">
        <v>23</v>
      </c>
      <c r="D157">
        <v>116</v>
      </c>
      <c r="E157" s="1" t="s">
        <v>13</v>
      </c>
      <c r="F157" s="17">
        <v>486</v>
      </c>
      <c r="G157">
        <v>92.96</v>
      </c>
      <c r="H157">
        <v>5</v>
      </c>
      <c r="I157" t="str">
        <f t="shared" si="2"/>
        <v>B2B</v>
      </c>
      <c r="J157" s="19">
        <f>CLIENT[[#This Row],[Duree_Cumulee_Panne_Min]]/1440</f>
        <v>0.33750000000000002</v>
      </c>
      <c r="K157" s="17">
        <f>CLIENT[[#This Row],[Anciennete_Mois]]/12</f>
        <v>9.6666666666666661</v>
      </c>
      <c r="L1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57" s="18">
        <f>CLIENT[[#This Row],[Facture_Mensuelle]]*CLIENT[[#This Row],[Remise]]</f>
        <v>41.832000000000001</v>
      </c>
    </row>
    <row r="158" spans="1:13" x14ac:dyDescent="0.35">
      <c r="A158" s="1" t="s">
        <v>129</v>
      </c>
      <c r="B158" s="1" t="s">
        <v>157</v>
      </c>
      <c r="C158" s="1" t="s">
        <v>83</v>
      </c>
      <c r="D158">
        <v>29</v>
      </c>
      <c r="E158" s="1" t="s">
        <v>13</v>
      </c>
      <c r="F158" s="17">
        <v>34</v>
      </c>
      <c r="G158">
        <v>86.68</v>
      </c>
      <c r="H158">
        <v>1</v>
      </c>
      <c r="I158" t="str">
        <f t="shared" si="2"/>
        <v>B2B</v>
      </c>
      <c r="J158" s="19">
        <f>CLIENT[[#This Row],[Duree_Cumulee_Panne_Min]]/1440</f>
        <v>2.361111111111111E-2</v>
      </c>
      <c r="K158" s="17">
        <f>CLIENT[[#This Row],[Anciennete_Mois]]/12</f>
        <v>2.4166666666666665</v>
      </c>
      <c r="L1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58" s="18">
        <f>CLIENT[[#This Row],[Facture_Mensuelle]]*CLIENT[[#This Row],[Remise]]</f>
        <v>8.668000000000001</v>
      </c>
    </row>
    <row r="159" spans="1:13" x14ac:dyDescent="0.35">
      <c r="A159" s="1" t="s">
        <v>496</v>
      </c>
      <c r="B159" s="1" t="s">
        <v>512</v>
      </c>
      <c r="C159" s="1" t="s">
        <v>20</v>
      </c>
      <c r="D159">
        <v>113</v>
      </c>
      <c r="E159" s="1" t="s">
        <v>13</v>
      </c>
      <c r="F159" s="17">
        <v>152</v>
      </c>
      <c r="G159">
        <v>51.28</v>
      </c>
      <c r="H159">
        <v>4</v>
      </c>
      <c r="I159" t="str">
        <f t="shared" si="2"/>
        <v>B2C</v>
      </c>
      <c r="J159" s="19">
        <f>CLIENT[[#This Row],[Duree_Cumulee_Panne_Min]]/1440</f>
        <v>0.10555555555555556</v>
      </c>
      <c r="K159" s="17">
        <f>CLIENT[[#This Row],[Anciennete_Mois]]/12</f>
        <v>9.4166666666666661</v>
      </c>
      <c r="L1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59" s="18">
        <f>CLIENT[[#This Row],[Facture_Mensuelle]]*CLIENT[[#This Row],[Remise]]</f>
        <v>0</v>
      </c>
    </row>
    <row r="160" spans="1:13" x14ac:dyDescent="0.35">
      <c r="A160" s="1" t="s">
        <v>640</v>
      </c>
      <c r="B160" s="1" t="s">
        <v>658</v>
      </c>
      <c r="C160" s="1" t="s">
        <v>20</v>
      </c>
      <c r="D160">
        <v>16</v>
      </c>
      <c r="E160" s="1" t="s">
        <v>21</v>
      </c>
      <c r="F160" s="17">
        <v>390</v>
      </c>
      <c r="G160">
        <v>52.64</v>
      </c>
      <c r="H160">
        <v>0</v>
      </c>
      <c r="I160" t="str">
        <f t="shared" si="2"/>
        <v>B2C</v>
      </c>
      <c r="J160" s="19">
        <f>CLIENT[[#This Row],[Duree_Cumulee_Panne_Min]]/1440</f>
        <v>0.27083333333333331</v>
      </c>
      <c r="K160" s="17">
        <f>CLIENT[[#This Row],[Anciennete_Mois]]/12</f>
        <v>1.3333333333333333</v>
      </c>
      <c r="L1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0" s="18">
        <f>CLIENT[[#This Row],[Facture_Mensuelle]]*CLIENT[[#This Row],[Remise]]</f>
        <v>23.688000000000002</v>
      </c>
    </row>
    <row r="161" spans="1:13" x14ac:dyDescent="0.35">
      <c r="A161" s="1" t="s">
        <v>129</v>
      </c>
      <c r="B161" s="1" t="s">
        <v>136</v>
      </c>
      <c r="C161" s="1" t="s">
        <v>62</v>
      </c>
      <c r="D161">
        <v>59</v>
      </c>
      <c r="E161" s="1" t="s">
        <v>18</v>
      </c>
      <c r="F161" s="17">
        <v>196</v>
      </c>
      <c r="G161">
        <v>62.53</v>
      </c>
      <c r="H161">
        <v>0</v>
      </c>
      <c r="I161" t="str">
        <f t="shared" si="2"/>
        <v>B2C</v>
      </c>
      <c r="J161" s="19">
        <f>CLIENT[[#This Row],[Duree_Cumulee_Panne_Min]]/1440</f>
        <v>0.1361111111111111</v>
      </c>
      <c r="K161" s="17">
        <f>CLIENT[[#This Row],[Anciennete_Mois]]/12</f>
        <v>4.916666666666667</v>
      </c>
      <c r="L1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61" s="18">
        <f>CLIENT[[#This Row],[Facture_Mensuelle]]*CLIENT[[#This Row],[Remise]]</f>
        <v>0</v>
      </c>
    </row>
    <row r="162" spans="1:13" x14ac:dyDescent="0.35">
      <c r="A162" s="1" t="s">
        <v>314</v>
      </c>
      <c r="B162" s="1" t="s">
        <v>340</v>
      </c>
      <c r="C162" s="1" t="s">
        <v>62</v>
      </c>
      <c r="D162">
        <v>38</v>
      </c>
      <c r="E162" s="1" t="s">
        <v>10</v>
      </c>
      <c r="F162" s="17">
        <v>60</v>
      </c>
      <c r="G162">
        <v>58.28</v>
      </c>
      <c r="H162">
        <v>4</v>
      </c>
      <c r="I162" t="str">
        <f t="shared" si="2"/>
        <v>B2C</v>
      </c>
      <c r="J162" s="19">
        <f>CLIENT[[#This Row],[Duree_Cumulee_Panne_Min]]/1440</f>
        <v>4.1666666666666664E-2</v>
      </c>
      <c r="K162" s="17">
        <f>CLIENT[[#This Row],[Anciennete_Mois]]/12</f>
        <v>3.1666666666666665</v>
      </c>
      <c r="L1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2" s="18">
        <f>CLIENT[[#This Row],[Facture_Mensuelle]]*CLIENT[[#This Row],[Remise]]</f>
        <v>26.226000000000003</v>
      </c>
    </row>
    <row r="163" spans="1:13" x14ac:dyDescent="0.35">
      <c r="A163" s="1" t="s">
        <v>540</v>
      </c>
      <c r="B163" s="1" t="s">
        <v>577</v>
      </c>
      <c r="C163" s="1" t="s">
        <v>61</v>
      </c>
      <c r="D163">
        <v>118</v>
      </c>
      <c r="E163" s="1" t="s">
        <v>18</v>
      </c>
      <c r="F163" s="17">
        <v>186</v>
      </c>
      <c r="G163">
        <v>46.88</v>
      </c>
      <c r="H163">
        <v>1</v>
      </c>
      <c r="I163" t="str">
        <f t="shared" si="2"/>
        <v>B2C</v>
      </c>
      <c r="J163" s="19">
        <f>CLIENT[[#This Row],[Duree_Cumulee_Panne_Min]]/1440</f>
        <v>0.12916666666666668</v>
      </c>
      <c r="K163" s="17">
        <f>CLIENT[[#This Row],[Anciennete_Mois]]/12</f>
        <v>9.8333333333333339</v>
      </c>
      <c r="L1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63" s="18">
        <f>CLIENT[[#This Row],[Facture_Mensuelle]]*CLIENT[[#This Row],[Remise]]</f>
        <v>0</v>
      </c>
    </row>
    <row r="164" spans="1:13" x14ac:dyDescent="0.35">
      <c r="A164" s="1" t="s">
        <v>79</v>
      </c>
      <c r="B164" s="1" t="s">
        <v>94</v>
      </c>
      <c r="C164" s="1" t="s">
        <v>61</v>
      </c>
      <c r="D164">
        <v>80</v>
      </c>
      <c r="E164" s="1" t="s">
        <v>18</v>
      </c>
      <c r="F164" s="17">
        <v>260</v>
      </c>
      <c r="G164">
        <v>65.87</v>
      </c>
      <c r="H164">
        <v>3</v>
      </c>
      <c r="I164" t="str">
        <f t="shared" si="2"/>
        <v>B2C</v>
      </c>
      <c r="J164" s="19">
        <f>CLIENT[[#This Row],[Duree_Cumulee_Panne_Min]]/1440</f>
        <v>0.18055555555555555</v>
      </c>
      <c r="K164" s="17">
        <f>CLIENT[[#This Row],[Anciennete_Mois]]/12</f>
        <v>6.666666666666667</v>
      </c>
      <c r="L1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4" s="18">
        <f>CLIENT[[#This Row],[Facture_Mensuelle]]*CLIENT[[#This Row],[Remise]]</f>
        <v>29.641500000000004</v>
      </c>
    </row>
    <row r="165" spans="1:13" x14ac:dyDescent="0.35">
      <c r="A165" s="1" t="s">
        <v>129</v>
      </c>
      <c r="B165" s="1" t="s">
        <v>158</v>
      </c>
      <c r="C165" s="1" t="s">
        <v>27</v>
      </c>
      <c r="D165">
        <v>7</v>
      </c>
      <c r="E165" s="1" t="s">
        <v>10</v>
      </c>
      <c r="F165" s="17">
        <v>303</v>
      </c>
      <c r="G165">
        <v>60.95</v>
      </c>
      <c r="H165">
        <v>0</v>
      </c>
      <c r="I165" t="str">
        <f t="shared" si="2"/>
        <v>B2B</v>
      </c>
      <c r="J165" s="19">
        <f>CLIENT[[#This Row],[Duree_Cumulee_Panne_Min]]/1440</f>
        <v>0.21041666666666667</v>
      </c>
      <c r="K165" s="17">
        <f>CLIENT[[#This Row],[Anciennete_Mois]]/12</f>
        <v>0.58333333333333337</v>
      </c>
      <c r="L1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5" s="18">
        <f>CLIENT[[#This Row],[Facture_Mensuelle]]*CLIENT[[#This Row],[Remise]]</f>
        <v>27.427500000000002</v>
      </c>
    </row>
    <row r="166" spans="1:13" x14ac:dyDescent="0.35">
      <c r="A166" s="1" t="s">
        <v>360</v>
      </c>
      <c r="B166" s="1" t="s">
        <v>374</v>
      </c>
      <c r="C166" s="1" t="s">
        <v>17</v>
      </c>
      <c r="D166">
        <v>14</v>
      </c>
      <c r="E166" s="1" t="s">
        <v>13</v>
      </c>
      <c r="F166" s="17">
        <v>345</v>
      </c>
      <c r="G166">
        <v>39.57</v>
      </c>
      <c r="H166">
        <v>3</v>
      </c>
      <c r="I166" t="str">
        <f t="shared" si="2"/>
        <v>B2C</v>
      </c>
      <c r="J166" s="19">
        <f>CLIENT[[#This Row],[Duree_Cumulee_Panne_Min]]/1440</f>
        <v>0.23958333333333334</v>
      </c>
      <c r="K166" s="17">
        <f>CLIENT[[#This Row],[Anciennete_Mois]]/12</f>
        <v>1.1666666666666667</v>
      </c>
      <c r="L1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6" s="18">
        <f>CLIENT[[#This Row],[Facture_Mensuelle]]*CLIENT[[#This Row],[Remise]]</f>
        <v>17.8065</v>
      </c>
    </row>
    <row r="167" spans="1:13" x14ac:dyDescent="0.35">
      <c r="A167" s="1" t="s">
        <v>591</v>
      </c>
      <c r="B167" s="1" t="s">
        <v>597</v>
      </c>
      <c r="C167" s="1" t="s">
        <v>118</v>
      </c>
      <c r="D167">
        <v>56</v>
      </c>
      <c r="E167" s="1" t="s">
        <v>10</v>
      </c>
      <c r="F167" s="17">
        <v>123</v>
      </c>
      <c r="G167">
        <v>29.76</v>
      </c>
      <c r="H167">
        <v>5</v>
      </c>
      <c r="I167" t="str">
        <f t="shared" si="2"/>
        <v>B2B</v>
      </c>
      <c r="J167" s="19">
        <f>CLIENT[[#This Row],[Duree_Cumulee_Panne_Min]]/1440</f>
        <v>8.5416666666666669E-2</v>
      </c>
      <c r="K167" s="17">
        <f>CLIENT[[#This Row],[Anciennete_Mois]]/12</f>
        <v>4.666666666666667</v>
      </c>
      <c r="L1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67" s="18">
        <f>CLIENT[[#This Row],[Facture_Mensuelle]]*CLIENT[[#This Row],[Remise]]</f>
        <v>13.392000000000001</v>
      </c>
    </row>
    <row r="168" spans="1:13" x14ac:dyDescent="0.35">
      <c r="A168" s="1" t="s">
        <v>496</v>
      </c>
      <c r="B168" s="1" t="s">
        <v>510</v>
      </c>
      <c r="C168" s="1" t="s">
        <v>72</v>
      </c>
      <c r="D168">
        <v>33</v>
      </c>
      <c r="E168" s="1" t="s">
        <v>13</v>
      </c>
      <c r="F168" s="17">
        <v>207</v>
      </c>
      <c r="G168">
        <v>38.49</v>
      </c>
      <c r="H168">
        <v>4</v>
      </c>
      <c r="I168" t="str">
        <f t="shared" si="2"/>
        <v>B2C</v>
      </c>
      <c r="J168" s="19">
        <f>CLIENT[[#This Row],[Duree_Cumulee_Panne_Min]]/1440</f>
        <v>0.14374999999999999</v>
      </c>
      <c r="K168" s="17">
        <f>CLIENT[[#This Row],[Anciennete_Mois]]/12</f>
        <v>2.75</v>
      </c>
      <c r="L1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68" s="18">
        <f>CLIENT[[#This Row],[Facture_Mensuelle]]*CLIENT[[#This Row],[Remise]]</f>
        <v>0</v>
      </c>
    </row>
    <row r="169" spans="1:13" x14ac:dyDescent="0.35">
      <c r="A169" s="1" t="s">
        <v>174</v>
      </c>
      <c r="B169" s="1" t="s">
        <v>176</v>
      </c>
      <c r="C169" s="1" t="s">
        <v>9</v>
      </c>
      <c r="D169">
        <v>113</v>
      </c>
      <c r="E169" s="1" t="s">
        <v>10</v>
      </c>
      <c r="F169" s="17">
        <v>207</v>
      </c>
      <c r="G169">
        <v>21.55</v>
      </c>
      <c r="H169">
        <v>0</v>
      </c>
      <c r="I169" t="str">
        <f t="shared" si="2"/>
        <v>B2C</v>
      </c>
      <c r="J169" s="19">
        <f>CLIENT[[#This Row],[Duree_Cumulee_Panne_Min]]/1440</f>
        <v>0.14374999999999999</v>
      </c>
      <c r="K169" s="17">
        <f>CLIENT[[#This Row],[Anciennete_Mois]]/12</f>
        <v>9.4166666666666661</v>
      </c>
      <c r="L1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69" s="18">
        <f>CLIENT[[#This Row],[Facture_Mensuelle]]*CLIENT[[#This Row],[Remise]]</f>
        <v>0</v>
      </c>
    </row>
    <row r="170" spans="1:13" x14ac:dyDescent="0.35">
      <c r="A170" s="1" t="s">
        <v>314</v>
      </c>
      <c r="B170" s="1" t="s">
        <v>359</v>
      </c>
      <c r="C170" s="1" t="s">
        <v>59</v>
      </c>
      <c r="D170">
        <v>89</v>
      </c>
      <c r="E170" s="1" t="s">
        <v>21</v>
      </c>
      <c r="F170" s="17">
        <v>418</v>
      </c>
      <c r="G170">
        <v>86.63</v>
      </c>
      <c r="H170">
        <v>4</v>
      </c>
      <c r="I170" t="str">
        <f t="shared" si="2"/>
        <v>B2B</v>
      </c>
      <c r="J170" s="19">
        <f>CLIENT[[#This Row],[Duree_Cumulee_Panne_Min]]/1440</f>
        <v>0.2902777777777778</v>
      </c>
      <c r="K170" s="17">
        <f>CLIENT[[#This Row],[Anciennete_Mois]]/12</f>
        <v>7.416666666666667</v>
      </c>
      <c r="L1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70" s="18">
        <f>CLIENT[[#This Row],[Facture_Mensuelle]]*CLIENT[[#This Row],[Remise]]</f>
        <v>38.983499999999999</v>
      </c>
    </row>
    <row r="171" spans="1:13" x14ac:dyDescent="0.35">
      <c r="A171" s="1" t="s">
        <v>8</v>
      </c>
      <c r="B171" s="1" t="s">
        <v>32</v>
      </c>
      <c r="C171" s="1" t="s">
        <v>33</v>
      </c>
      <c r="D171">
        <v>35</v>
      </c>
      <c r="E171" s="1" t="s">
        <v>13</v>
      </c>
      <c r="F171" s="17">
        <v>465</v>
      </c>
      <c r="G171">
        <v>58.59</v>
      </c>
      <c r="H171">
        <v>5</v>
      </c>
      <c r="I171" t="str">
        <f t="shared" si="2"/>
        <v>B2C</v>
      </c>
      <c r="J171" s="19">
        <f>CLIENT[[#This Row],[Duree_Cumulee_Panne_Min]]/1440</f>
        <v>0.32291666666666669</v>
      </c>
      <c r="K171" s="17">
        <f>CLIENT[[#This Row],[Anciennete_Mois]]/12</f>
        <v>2.9166666666666665</v>
      </c>
      <c r="L1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71" s="18">
        <f>CLIENT[[#This Row],[Facture_Mensuelle]]*CLIENT[[#This Row],[Remise]]</f>
        <v>26.365500000000001</v>
      </c>
    </row>
    <row r="172" spans="1:13" x14ac:dyDescent="0.35">
      <c r="A172" s="1" t="s">
        <v>591</v>
      </c>
      <c r="B172" s="1" t="s">
        <v>624</v>
      </c>
      <c r="C172" s="1" t="s">
        <v>29</v>
      </c>
      <c r="D172">
        <v>79</v>
      </c>
      <c r="E172" s="1" t="s">
        <v>21</v>
      </c>
      <c r="F172" s="17">
        <v>139</v>
      </c>
      <c r="G172">
        <v>16.25</v>
      </c>
      <c r="H172">
        <v>4</v>
      </c>
      <c r="I172" t="str">
        <f t="shared" si="2"/>
        <v>B2C</v>
      </c>
      <c r="J172" s="19">
        <f>CLIENT[[#This Row],[Duree_Cumulee_Panne_Min]]/1440</f>
        <v>9.6527777777777782E-2</v>
      </c>
      <c r="K172" s="17">
        <f>CLIENT[[#This Row],[Anciennete_Mois]]/12</f>
        <v>6.583333333333333</v>
      </c>
      <c r="L1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72" s="18">
        <f>CLIENT[[#This Row],[Facture_Mensuelle]]*CLIENT[[#This Row],[Remise]]</f>
        <v>0</v>
      </c>
    </row>
    <row r="173" spans="1:13" x14ac:dyDescent="0.35">
      <c r="A173" s="1" t="s">
        <v>267</v>
      </c>
      <c r="B173" s="1" t="s">
        <v>294</v>
      </c>
      <c r="C173" s="1" t="s">
        <v>57</v>
      </c>
      <c r="D173">
        <v>82</v>
      </c>
      <c r="E173" s="1" t="s">
        <v>10</v>
      </c>
      <c r="F173" s="17">
        <v>32</v>
      </c>
      <c r="G173">
        <v>77.63</v>
      </c>
      <c r="H173">
        <v>1</v>
      </c>
      <c r="I173" t="str">
        <f t="shared" si="2"/>
        <v>B2C</v>
      </c>
      <c r="J173" s="19">
        <f>CLIENT[[#This Row],[Duree_Cumulee_Panne_Min]]/1440</f>
        <v>2.2222222222222223E-2</v>
      </c>
      <c r="K173" s="17">
        <f>CLIENT[[#This Row],[Anciennete_Mois]]/12</f>
        <v>6.833333333333333</v>
      </c>
      <c r="L1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73" s="18">
        <f>CLIENT[[#This Row],[Facture_Mensuelle]]*CLIENT[[#This Row],[Remise]]</f>
        <v>0</v>
      </c>
    </row>
    <row r="174" spans="1:13" x14ac:dyDescent="0.35">
      <c r="A174" s="1" t="s">
        <v>220</v>
      </c>
      <c r="B174" s="1" t="s">
        <v>262</v>
      </c>
      <c r="C174" s="1" t="s">
        <v>126</v>
      </c>
      <c r="D174">
        <v>21</v>
      </c>
      <c r="E174" s="1" t="s">
        <v>18</v>
      </c>
      <c r="F174" s="17">
        <v>307</v>
      </c>
      <c r="G174">
        <v>39.81</v>
      </c>
      <c r="H174">
        <v>5</v>
      </c>
      <c r="I174" t="str">
        <f t="shared" si="2"/>
        <v>B2C</v>
      </c>
      <c r="J174" s="19">
        <f>CLIENT[[#This Row],[Duree_Cumulee_Panne_Min]]/1440</f>
        <v>0.21319444444444444</v>
      </c>
      <c r="K174" s="17">
        <f>CLIENT[[#This Row],[Anciennete_Mois]]/12</f>
        <v>1.75</v>
      </c>
      <c r="L1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74" s="18">
        <f>CLIENT[[#This Row],[Facture_Mensuelle]]*CLIENT[[#This Row],[Remise]]</f>
        <v>17.9145</v>
      </c>
    </row>
    <row r="175" spans="1:13" x14ac:dyDescent="0.35">
      <c r="A175" s="1" t="s">
        <v>174</v>
      </c>
      <c r="B175" s="1" t="s">
        <v>212</v>
      </c>
      <c r="C175" s="1" t="s">
        <v>23</v>
      </c>
      <c r="D175">
        <v>74</v>
      </c>
      <c r="E175" s="1" t="s">
        <v>10</v>
      </c>
      <c r="F175" s="17">
        <v>213</v>
      </c>
      <c r="G175">
        <v>35.54</v>
      </c>
      <c r="H175">
        <v>3</v>
      </c>
      <c r="I175" t="str">
        <f t="shared" si="2"/>
        <v>B2B</v>
      </c>
      <c r="J175" s="19">
        <f>CLIENT[[#This Row],[Duree_Cumulee_Panne_Min]]/1440</f>
        <v>0.14791666666666667</v>
      </c>
      <c r="K175" s="17">
        <f>CLIENT[[#This Row],[Anciennete_Mois]]/12</f>
        <v>6.166666666666667</v>
      </c>
      <c r="L1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75" s="18">
        <f>CLIENT[[#This Row],[Facture_Mensuelle]]*CLIENT[[#This Row],[Remise]]</f>
        <v>3.5540000000000003</v>
      </c>
    </row>
    <row r="176" spans="1:13" x14ac:dyDescent="0.35">
      <c r="A176" s="1" t="s">
        <v>267</v>
      </c>
      <c r="B176" s="1" t="s">
        <v>287</v>
      </c>
      <c r="C176" s="1" t="s">
        <v>27</v>
      </c>
      <c r="D176">
        <v>99</v>
      </c>
      <c r="E176" s="1" t="s">
        <v>13</v>
      </c>
      <c r="F176" s="17">
        <v>325</v>
      </c>
      <c r="G176">
        <v>88.35</v>
      </c>
      <c r="H176">
        <v>4</v>
      </c>
      <c r="I176" t="str">
        <f t="shared" si="2"/>
        <v>B2C</v>
      </c>
      <c r="J176" s="19">
        <f>CLIENT[[#This Row],[Duree_Cumulee_Panne_Min]]/1440</f>
        <v>0.22569444444444445</v>
      </c>
      <c r="K176" s="17">
        <f>CLIENT[[#This Row],[Anciennete_Mois]]/12</f>
        <v>8.25</v>
      </c>
      <c r="L1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76" s="18">
        <f>CLIENT[[#This Row],[Facture_Mensuelle]]*CLIENT[[#This Row],[Remise]]</f>
        <v>39.7575</v>
      </c>
    </row>
    <row r="177" spans="1:13" x14ac:dyDescent="0.35">
      <c r="A177" s="1" t="s">
        <v>406</v>
      </c>
      <c r="B177" s="1" t="s">
        <v>412</v>
      </c>
      <c r="C177" s="1" t="s">
        <v>31</v>
      </c>
      <c r="D177">
        <v>36</v>
      </c>
      <c r="E177" s="1" t="s">
        <v>18</v>
      </c>
      <c r="F177" s="17">
        <v>303</v>
      </c>
      <c r="G177">
        <v>89.56</v>
      </c>
      <c r="H177">
        <v>1</v>
      </c>
      <c r="I177" t="str">
        <f t="shared" si="2"/>
        <v>B2B</v>
      </c>
      <c r="J177" s="19">
        <f>CLIENT[[#This Row],[Duree_Cumulee_Panne_Min]]/1440</f>
        <v>0.21041666666666667</v>
      </c>
      <c r="K177" s="17">
        <f>CLIENT[[#This Row],[Anciennete_Mois]]/12</f>
        <v>3</v>
      </c>
      <c r="L1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77" s="18">
        <f>CLIENT[[#This Row],[Facture_Mensuelle]]*CLIENT[[#This Row],[Remise]]</f>
        <v>40.302</v>
      </c>
    </row>
    <row r="178" spans="1:13" x14ac:dyDescent="0.35">
      <c r="A178" s="1" t="s">
        <v>591</v>
      </c>
      <c r="B178" s="1" t="s">
        <v>618</v>
      </c>
      <c r="C178" s="1" t="s">
        <v>20</v>
      </c>
      <c r="D178">
        <v>15</v>
      </c>
      <c r="E178" s="1" t="s">
        <v>13</v>
      </c>
      <c r="F178" s="17">
        <v>203</v>
      </c>
      <c r="G178">
        <v>55.29</v>
      </c>
      <c r="H178">
        <v>2</v>
      </c>
      <c r="I178" t="str">
        <f t="shared" si="2"/>
        <v>B2B</v>
      </c>
      <c r="J178" s="19">
        <f>CLIENT[[#This Row],[Duree_Cumulee_Panne_Min]]/1440</f>
        <v>0.14097222222222222</v>
      </c>
      <c r="K178" s="17">
        <f>CLIENT[[#This Row],[Anciennete_Mois]]/12</f>
        <v>1.25</v>
      </c>
      <c r="L1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78" s="18">
        <f>CLIENT[[#This Row],[Facture_Mensuelle]]*CLIENT[[#This Row],[Remise]]</f>
        <v>5.5289999999999999</v>
      </c>
    </row>
    <row r="179" spans="1:13" x14ac:dyDescent="0.35">
      <c r="A179" s="1" t="s">
        <v>314</v>
      </c>
      <c r="B179" s="1" t="s">
        <v>317</v>
      </c>
      <c r="C179" s="1" t="s">
        <v>24</v>
      </c>
      <c r="D179">
        <v>25</v>
      </c>
      <c r="E179" s="1" t="s">
        <v>13</v>
      </c>
      <c r="F179" s="17">
        <v>218</v>
      </c>
      <c r="G179">
        <v>68.790000000000006</v>
      </c>
      <c r="H179">
        <v>0</v>
      </c>
      <c r="I179" t="str">
        <f t="shared" si="2"/>
        <v>B2C</v>
      </c>
      <c r="J179" s="19">
        <f>CLIENT[[#This Row],[Duree_Cumulee_Panne_Min]]/1440</f>
        <v>0.15138888888888888</v>
      </c>
      <c r="K179" s="17">
        <f>CLIENT[[#This Row],[Anciennete_Mois]]/12</f>
        <v>2.0833333333333335</v>
      </c>
      <c r="L1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79" s="18">
        <f>CLIENT[[#This Row],[Facture_Mensuelle]]*CLIENT[[#This Row],[Remise]]</f>
        <v>0</v>
      </c>
    </row>
    <row r="180" spans="1:13" x14ac:dyDescent="0.35">
      <c r="A180" s="1" t="s">
        <v>685</v>
      </c>
      <c r="B180" s="1" t="s">
        <v>708</v>
      </c>
      <c r="C180" s="1" t="s">
        <v>122</v>
      </c>
      <c r="D180">
        <v>49</v>
      </c>
      <c r="E180" s="1" t="s">
        <v>18</v>
      </c>
      <c r="F180" s="17">
        <v>288</v>
      </c>
      <c r="G180">
        <v>91.32</v>
      </c>
      <c r="H180">
        <v>4</v>
      </c>
      <c r="I180" t="str">
        <f t="shared" si="2"/>
        <v>B2B</v>
      </c>
      <c r="J180" s="19">
        <f>CLIENT[[#This Row],[Duree_Cumulee_Panne_Min]]/1440</f>
        <v>0.2</v>
      </c>
      <c r="K180" s="17">
        <f>CLIENT[[#This Row],[Anciennete_Mois]]/12</f>
        <v>4.083333333333333</v>
      </c>
      <c r="L1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0" s="18">
        <f>CLIENT[[#This Row],[Facture_Mensuelle]]*CLIENT[[#This Row],[Remise]]</f>
        <v>41.094000000000001</v>
      </c>
    </row>
    <row r="181" spans="1:13" x14ac:dyDescent="0.35">
      <c r="A181" s="1" t="s">
        <v>496</v>
      </c>
      <c r="B181" s="1" t="s">
        <v>539</v>
      </c>
      <c r="C181" s="1" t="s">
        <v>72</v>
      </c>
      <c r="D181">
        <v>58</v>
      </c>
      <c r="E181" s="1" t="s">
        <v>13</v>
      </c>
      <c r="F181" s="17">
        <v>352</v>
      </c>
      <c r="G181">
        <v>72.94</v>
      </c>
      <c r="H181">
        <v>0</v>
      </c>
      <c r="I181" t="str">
        <f t="shared" si="2"/>
        <v>B2C</v>
      </c>
      <c r="J181" s="19">
        <f>CLIENT[[#This Row],[Duree_Cumulee_Panne_Min]]/1440</f>
        <v>0.24444444444444444</v>
      </c>
      <c r="K181" s="17">
        <f>CLIENT[[#This Row],[Anciennete_Mois]]/12</f>
        <v>4.833333333333333</v>
      </c>
      <c r="L1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1" s="18">
        <f>CLIENT[[#This Row],[Facture_Mensuelle]]*CLIENT[[#This Row],[Remise]]</f>
        <v>32.823</v>
      </c>
    </row>
    <row r="182" spans="1:13" x14ac:dyDescent="0.35">
      <c r="A182" s="1" t="s">
        <v>453</v>
      </c>
      <c r="B182" s="1" t="s">
        <v>488</v>
      </c>
      <c r="C182" s="1" t="s">
        <v>48</v>
      </c>
      <c r="D182">
        <v>102</v>
      </c>
      <c r="E182" s="1" t="s">
        <v>21</v>
      </c>
      <c r="F182" s="17">
        <v>240</v>
      </c>
      <c r="G182">
        <v>12.52</v>
      </c>
      <c r="H182">
        <v>2</v>
      </c>
      <c r="I182" t="str">
        <f t="shared" si="2"/>
        <v>B2C</v>
      </c>
      <c r="J182" s="19">
        <f>CLIENT[[#This Row],[Duree_Cumulee_Panne_Min]]/1440</f>
        <v>0.16666666666666666</v>
      </c>
      <c r="K182" s="17">
        <f>CLIENT[[#This Row],[Anciennete_Mois]]/12</f>
        <v>8.5</v>
      </c>
      <c r="L1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2" s="18">
        <f>CLIENT[[#This Row],[Facture_Mensuelle]]*CLIENT[[#This Row],[Remise]]</f>
        <v>5.6340000000000003</v>
      </c>
    </row>
    <row r="183" spans="1:13" x14ac:dyDescent="0.35">
      <c r="A183" s="1" t="s">
        <v>8</v>
      </c>
      <c r="B183" s="1" t="s">
        <v>26</v>
      </c>
      <c r="C183" s="1" t="s">
        <v>27</v>
      </c>
      <c r="D183">
        <v>99</v>
      </c>
      <c r="E183" s="1" t="s">
        <v>18</v>
      </c>
      <c r="F183" s="17">
        <v>369</v>
      </c>
      <c r="G183">
        <v>67.209999999999994</v>
      </c>
      <c r="H183">
        <v>3</v>
      </c>
      <c r="I183" t="str">
        <f t="shared" si="2"/>
        <v>B2C</v>
      </c>
      <c r="J183" s="19">
        <f>CLIENT[[#This Row],[Duree_Cumulee_Panne_Min]]/1440</f>
        <v>0.25624999999999998</v>
      </c>
      <c r="K183" s="17">
        <f>CLIENT[[#This Row],[Anciennete_Mois]]/12</f>
        <v>8.25</v>
      </c>
      <c r="L1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3" s="18">
        <f>CLIENT[[#This Row],[Facture_Mensuelle]]*CLIENT[[#This Row],[Remise]]</f>
        <v>30.244499999999999</v>
      </c>
    </row>
    <row r="184" spans="1:13" x14ac:dyDescent="0.35">
      <c r="A184" s="1" t="s">
        <v>174</v>
      </c>
      <c r="B184" s="1" t="s">
        <v>195</v>
      </c>
      <c r="C184" s="1" t="s">
        <v>83</v>
      </c>
      <c r="D184">
        <v>82</v>
      </c>
      <c r="E184" s="1" t="s">
        <v>10</v>
      </c>
      <c r="F184" s="17">
        <v>264</v>
      </c>
      <c r="G184">
        <v>88.03</v>
      </c>
      <c r="H184">
        <v>1</v>
      </c>
      <c r="I184" t="str">
        <f t="shared" si="2"/>
        <v>B2C</v>
      </c>
      <c r="J184" s="19">
        <f>CLIENT[[#This Row],[Duree_Cumulee_Panne_Min]]/1440</f>
        <v>0.18333333333333332</v>
      </c>
      <c r="K184" s="17">
        <f>CLIENT[[#This Row],[Anciennete_Mois]]/12</f>
        <v>6.833333333333333</v>
      </c>
      <c r="L1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4" s="18">
        <f>CLIENT[[#This Row],[Facture_Mensuelle]]*CLIENT[[#This Row],[Remise]]</f>
        <v>39.613500000000002</v>
      </c>
    </row>
    <row r="185" spans="1:13" x14ac:dyDescent="0.35">
      <c r="A185" s="1" t="s">
        <v>79</v>
      </c>
      <c r="B185" s="1" t="s">
        <v>119</v>
      </c>
      <c r="C185" s="1" t="s">
        <v>72</v>
      </c>
      <c r="D185">
        <v>72</v>
      </c>
      <c r="E185" s="1" t="s">
        <v>21</v>
      </c>
      <c r="F185" s="17">
        <v>51</v>
      </c>
      <c r="G185">
        <v>95.09</v>
      </c>
      <c r="H185">
        <v>0</v>
      </c>
      <c r="I185" t="str">
        <f t="shared" si="2"/>
        <v>B2B</v>
      </c>
      <c r="J185" s="19">
        <f>CLIENT[[#This Row],[Duree_Cumulee_Panne_Min]]/1440</f>
        <v>3.5416666666666666E-2</v>
      </c>
      <c r="K185" s="17">
        <f>CLIENT[[#This Row],[Anciennete_Mois]]/12</f>
        <v>6</v>
      </c>
      <c r="L1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85" s="18">
        <f>CLIENT[[#This Row],[Facture_Mensuelle]]*CLIENT[[#This Row],[Remise]]</f>
        <v>9.5090000000000003</v>
      </c>
    </row>
    <row r="186" spans="1:13" x14ac:dyDescent="0.35">
      <c r="A186" s="1" t="s">
        <v>8</v>
      </c>
      <c r="B186" s="1" t="s">
        <v>36</v>
      </c>
      <c r="C186" s="1" t="s">
        <v>37</v>
      </c>
      <c r="D186">
        <v>110</v>
      </c>
      <c r="E186" s="1" t="s">
        <v>13</v>
      </c>
      <c r="F186" s="17">
        <v>423</v>
      </c>
      <c r="G186">
        <v>37.35</v>
      </c>
      <c r="H186">
        <v>4</v>
      </c>
      <c r="I186" t="str">
        <f t="shared" si="2"/>
        <v>B2B</v>
      </c>
      <c r="J186" s="19">
        <f>CLIENT[[#This Row],[Duree_Cumulee_Panne_Min]]/1440</f>
        <v>0.29375000000000001</v>
      </c>
      <c r="K186" s="17">
        <f>CLIENT[[#This Row],[Anciennete_Mois]]/12</f>
        <v>9.1666666666666661</v>
      </c>
      <c r="L1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6" s="18">
        <f>CLIENT[[#This Row],[Facture_Mensuelle]]*CLIENT[[#This Row],[Remise]]</f>
        <v>16.807500000000001</v>
      </c>
    </row>
    <row r="187" spans="1:13" x14ac:dyDescent="0.35">
      <c r="A187" s="1" t="s">
        <v>360</v>
      </c>
      <c r="B187" s="1" t="s">
        <v>404</v>
      </c>
      <c r="C187" s="1" t="s">
        <v>72</v>
      </c>
      <c r="D187">
        <v>104</v>
      </c>
      <c r="E187" s="1" t="s">
        <v>13</v>
      </c>
      <c r="F187" s="17">
        <v>60</v>
      </c>
      <c r="G187">
        <v>45.51</v>
      </c>
      <c r="H187">
        <v>1</v>
      </c>
      <c r="I187" t="str">
        <f t="shared" si="2"/>
        <v>B2C</v>
      </c>
      <c r="J187" s="19">
        <f>CLIENT[[#This Row],[Duree_Cumulee_Panne_Min]]/1440</f>
        <v>4.1666666666666664E-2</v>
      </c>
      <c r="K187" s="17">
        <f>CLIENT[[#This Row],[Anciennete_Mois]]/12</f>
        <v>8.6666666666666661</v>
      </c>
      <c r="L1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87" s="18">
        <f>CLIENT[[#This Row],[Facture_Mensuelle]]*CLIENT[[#This Row],[Remise]]</f>
        <v>0</v>
      </c>
    </row>
    <row r="188" spans="1:13" x14ac:dyDescent="0.35">
      <c r="A188" s="1" t="s">
        <v>314</v>
      </c>
      <c r="B188" s="1" t="s">
        <v>327</v>
      </c>
      <c r="C188" s="1" t="s">
        <v>72</v>
      </c>
      <c r="D188">
        <v>17</v>
      </c>
      <c r="E188" s="1" t="s">
        <v>21</v>
      </c>
      <c r="F188" s="17">
        <v>483</v>
      </c>
      <c r="G188">
        <v>77.08</v>
      </c>
      <c r="H188">
        <v>0</v>
      </c>
      <c r="I188" t="str">
        <f t="shared" si="2"/>
        <v>B2C</v>
      </c>
      <c r="J188" s="19">
        <f>CLIENT[[#This Row],[Duree_Cumulee_Panne_Min]]/1440</f>
        <v>0.33541666666666664</v>
      </c>
      <c r="K188" s="17">
        <f>CLIENT[[#This Row],[Anciennete_Mois]]/12</f>
        <v>1.4166666666666667</v>
      </c>
      <c r="L1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8" s="18">
        <f>CLIENT[[#This Row],[Facture_Mensuelle]]*CLIENT[[#This Row],[Remise]]</f>
        <v>34.686</v>
      </c>
    </row>
    <row r="189" spans="1:13" x14ac:dyDescent="0.35">
      <c r="A189" s="1" t="s">
        <v>453</v>
      </c>
      <c r="B189" s="1" t="s">
        <v>454</v>
      </c>
      <c r="C189" s="1" t="s">
        <v>57</v>
      </c>
      <c r="D189">
        <v>43</v>
      </c>
      <c r="E189" s="1" t="s">
        <v>10</v>
      </c>
      <c r="F189" s="17">
        <v>193</v>
      </c>
      <c r="G189">
        <v>35.81</v>
      </c>
      <c r="H189">
        <v>0</v>
      </c>
      <c r="I189" t="str">
        <f t="shared" si="2"/>
        <v>B2B</v>
      </c>
      <c r="J189" s="19">
        <f>CLIENT[[#This Row],[Duree_Cumulee_Panne_Min]]/1440</f>
        <v>0.13402777777777777</v>
      </c>
      <c r="K189" s="17">
        <f>CLIENT[[#This Row],[Anciennete_Mois]]/12</f>
        <v>3.5833333333333335</v>
      </c>
      <c r="L1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89" s="18">
        <f>CLIENT[[#This Row],[Facture_Mensuelle]]*CLIENT[[#This Row],[Remise]]</f>
        <v>16.114500000000003</v>
      </c>
    </row>
    <row r="190" spans="1:13" x14ac:dyDescent="0.35">
      <c r="A190" s="1" t="s">
        <v>496</v>
      </c>
      <c r="B190" s="1" t="s">
        <v>519</v>
      </c>
      <c r="C190" s="1" t="s">
        <v>54</v>
      </c>
      <c r="D190">
        <v>6</v>
      </c>
      <c r="E190" s="1" t="s">
        <v>13</v>
      </c>
      <c r="F190" s="17">
        <v>342</v>
      </c>
      <c r="G190">
        <v>50.55</v>
      </c>
      <c r="H190">
        <v>5</v>
      </c>
      <c r="I190" t="str">
        <f t="shared" si="2"/>
        <v>B2C</v>
      </c>
      <c r="J190" s="19">
        <f>CLIENT[[#This Row],[Duree_Cumulee_Panne_Min]]/1440</f>
        <v>0.23749999999999999</v>
      </c>
      <c r="K190" s="17">
        <f>CLIENT[[#This Row],[Anciennete_Mois]]/12</f>
        <v>0.5</v>
      </c>
      <c r="L1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0" s="18">
        <f>CLIENT[[#This Row],[Facture_Mensuelle]]*CLIENT[[#This Row],[Remise]]</f>
        <v>22.747499999999999</v>
      </c>
    </row>
    <row r="191" spans="1:13" x14ac:dyDescent="0.35">
      <c r="A191" s="1" t="s">
        <v>314</v>
      </c>
      <c r="B191" s="1" t="s">
        <v>318</v>
      </c>
      <c r="C191" s="1" t="s">
        <v>37</v>
      </c>
      <c r="D191">
        <v>109</v>
      </c>
      <c r="E191" s="1" t="s">
        <v>21</v>
      </c>
      <c r="F191" s="17">
        <v>347</v>
      </c>
      <c r="G191">
        <v>43.06</v>
      </c>
      <c r="H191">
        <v>4</v>
      </c>
      <c r="I191" t="str">
        <f t="shared" si="2"/>
        <v>B2C</v>
      </c>
      <c r="J191" s="19">
        <f>CLIENT[[#This Row],[Duree_Cumulee_Panne_Min]]/1440</f>
        <v>0.24097222222222223</v>
      </c>
      <c r="K191" s="17">
        <f>CLIENT[[#This Row],[Anciennete_Mois]]/12</f>
        <v>9.0833333333333339</v>
      </c>
      <c r="L1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1" s="18">
        <f>CLIENT[[#This Row],[Facture_Mensuelle]]*CLIENT[[#This Row],[Remise]]</f>
        <v>19.377000000000002</v>
      </c>
    </row>
    <row r="192" spans="1:13" x14ac:dyDescent="0.35">
      <c r="A192" s="1" t="s">
        <v>314</v>
      </c>
      <c r="B192" s="1" t="s">
        <v>335</v>
      </c>
      <c r="C192" s="1" t="s">
        <v>57</v>
      </c>
      <c r="D192">
        <v>110</v>
      </c>
      <c r="E192" s="1" t="s">
        <v>10</v>
      </c>
      <c r="F192" s="17">
        <v>321</v>
      </c>
      <c r="G192">
        <v>81.569999999999993</v>
      </c>
      <c r="H192">
        <v>2</v>
      </c>
      <c r="I192" t="str">
        <f t="shared" si="2"/>
        <v>B2C</v>
      </c>
      <c r="J192" s="19">
        <f>CLIENT[[#This Row],[Duree_Cumulee_Panne_Min]]/1440</f>
        <v>0.22291666666666668</v>
      </c>
      <c r="K192" s="17">
        <f>CLIENT[[#This Row],[Anciennete_Mois]]/12</f>
        <v>9.1666666666666661</v>
      </c>
      <c r="L1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2" s="18">
        <f>CLIENT[[#This Row],[Facture_Mensuelle]]*CLIENT[[#This Row],[Remise]]</f>
        <v>36.706499999999998</v>
      </c>
    </row>
    <row r="193" spans="1:13" x14ac:dyDescent="0.35">
      <c r="A193" s="1" t="s">
        <v>540</v>
      </c>
      <c r="B193" s="1" t="s">
        <v>567</v>
      </c>
      <c r="C193" s="1" t="s">
        <v>62</v>
      </c>
      <c r="D193">
        <v>17</v>
      </c>
      <c r="E193" s="1" t="s">
        <v>21</v>
      </c>
      <c r="F193" s="17">
        <v>310</v>
      </c>
      <c r="G193">
        <v>19.68</v>
      </c>
      <c r="H193">
        <v>5</v>
      </c>
      <c r="I193" t="str">
        <f t="shared" si="2"/>
        <v>B2C</v>
      </c>
      <c r="J193" s="19">
        <f>CLIENT[[#This Row],[Duree_Cumulee_Panne_Min]]/1440</f>
        <v>0.21527777777777779</v>
      </c>
      <c r="K193" s="17">
        <f>CLIENT[[#This Row],[Anciennete_Mois]]/12</f>
        <v>1.4166666666666667</v>
      </c>
      <c r="L1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3" s="18">
        <f>CLIENT[[#This Row],[Facture_Mensuelle]]*CLIENT[[#This Row],[Remise]]</f>
        <v>8.8559999999999999</v>
      </c>
    </row>
    <row r="194" spans="1:13" x14ac:dyDescent="0.35">
      <c r="A194" s="1" t="s">
        <v>685</v>
      </c>
      <c r="B194" s="1" t="s">
        <v>728</v>
      </c>
      <c r="C194" s="1" t="s">
        <v>17</v>
      </c>
      <c r="D194">
        <v>75</v>
      </c>
      <c r="E194" s="1" t="s">
        <v>18</v>
      </c>
      <c r="F194" s="17">
        <v>370</v>
      </c>
      <c r="G194">
        <v>21.67</v>
      </c>
      <c r="H194">
        <v>0</v>
      </c>
      <c r="I194" t="str">
        <f t="shared" ref="I194:I257" si="3">IF(E195="Pro Monde","B2B","B2C")</f>
        <v>B2B</v>
      </c>
      <c r="J194" s="19">
        <f>CLIENT[[#This Row],[Duree_Cumulee_Panne_Min]]/1440</f>
        <v>0.25694444444444442</v>
      </c>
      <c r="K194" s="17">
        <f>CLIENT[[#This Row],[Anciennete_Mois]]/12</f>
        <v>6.25</v>
      </c>
      <c r="L1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4" s="18">
        <f>CLIENT[[#This Row],[Facture_Mensuelle]]*CLIENT[[#This Row],[Remise]]</f>
        <v>9.7515000000000018</v>
      </c>
    </row>
    <row r="195" spans="1:13" x14ac:dyDescent="0.35">
      <c r="A195" s="1" t="s">
        <v>540</v>
      </c>
      <c r="B195" s="1" t="s">
        <v>580</v>
      </c>
      <c r="C195" s="1" t="s">
        <v>20</v>
      </c>
      <c r="D195">
        <v>71</v>
      </c>
      <c r="E195" s="1" t="s">
        <v>13</v>
      </c>
      <c r="F195" s="17">
        <v>111</v>
      </c>
      <c r="G195">
        <v>95.53</v>
      </c>
      <c r="H195">
        <v>3</v>
      </c>
      <c r="I195" t="str">
        <f t="shared" si="3"/>
        <v>B2C</v>
      </c>
      <c r="J195" s="19">
        <f>CLIENT[[#This Row],[Duree_Cumulee_Panne_Min]]/1440</f>
        <v>7.7083333333333337E-2</v>
      </c>
      <c r="K195" s="17">
        <f>CLIENT[[#This Row],[Anciennete_Mois]]/12</f>
        <v>5.916666666666667</v>
      </c>
      <c r="L1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95" s="18">
        <f>CLIENT[[#This Row],[Facture_Mensuelle]]*CLIENT[[#This Row],[Remise]]</f>
        <v>0</v>
      </c>
    </row>
    <row r="196" spans="1:13" x14ac:dyDescent="0.35">
      <c r="A196" s="1" t="s">
        <v>174</v>
      </c>
      <c r="B196" s="1" t="s">
        <v>181</v>
      </c>
      <c r="C196" s="1" t="s">
        <v>23</v>
      </c>
      <c r="D196">
        <v>67</v>
      </c>
      <c r="E196" s="1" t="s">
        <v>10</v>
      </c>
      <c r="F196" s="17">
        <v>241</v>
      </c>
      <c r="G196">
        <v>47.72</v>
      </c>
      <c r="H196">
        <v>0</v>
      </c>
      <c r="I196" t="str">
        <f t="shared" si="3"/>
        <v>B2C</v>
      </c>
      <c r="J196" s="19">
        <f>CLIENT[[#This Row],[Duree_Cumulee_Panne_Min]]/1440</f>
        <v>0.1673611111111111</v>
      </c>
      <c r="K196" s="17">
        <f>CLIENT[[#This Row],[Anciennete_Mois]]/12</f>
        <v>5.583333333333333</v>
      </c>
      <c r="L1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6" s="18">
        <f>CLIENT[[#This Row],[Facture_Mensuelle]]*CLIENT[[#This Row],[Remise]]</f>
        <v>21.474</v>
      </c>
    </row>
    <row r="197" spans="1:13" x14ac:dyDescent="0.35">
      <c r="A197" s="1" t="s">
        <v>8</v>
      </c>
      <c r="B197" s="1" t="s">
        <v>60</v>
      </c>
      <c r="C197" s="1" t="s">
        <v>61</v>
      </c>
      <c r="D197">
        <v>79</v>
      </c>
      <c r="E197" s="1" t="s">
        <v>10</v>
      </c>
      <c r="F197" s="17">
        <v>226</v>
      </c>
      <c r="G197">
        <v>94.38</v>
      </c>
      <c r="H197">
        <v>3</v>
      </c>
      <c r="I197" t="str">
        <f t="shared" si="3"/>
        <v>B2B</v>
      </c>
      <c r="J197" s="19">
        <f>CLIENT[[#This Row],[Duree_Cumulee_Panne_Min]]/1440</f>
        <v>0.15694444444444444</v>
      </c>
      <c r="K197" s="17">
        <f>CLIENT[[#This Row],[Anciennete_Mois]]/12</f>
        <v>6.583333333333333</v>
      </c>
      <c r="L1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197" s="18">
        <f>CLIENT[[#This Row],[Facture_Mensuelle]]*CLIENT[[#This Row],[Remise]]</f>
        <v>9.4380000000000006</v>
      </c>
    </row>
    <row r="198" spans="1:13" x14ac:dyDescent="0.35">
      <c r="A198" s="1" t="s">
        <v>496</v>
      </c>
      <c r="B198" s="1" t="s">
        <v>524</v>
      </c>
      <c r="C198" s="1" t="s">
        <v>41</v>
      </c>
      <c r="D198">
        <v>53</v>
      </c>
      <c r="E198" s="1" t="s">
        <v>13</v>
      </c>
      <c r="F198" s="17">
        <v>27</v>
      </c>
      <c r="G198">
        <v>18.77</v>
      </c>
      <c r="H198">
        <v>0</v>
      </c>
      <c r="I198" t="str">
        <f t="shared" si="3"/>
        <v>B2C</v>
      </c>
      <c r="J198" s="19">
        <f>CLIENT[[#This Row],[Duree_Cumulee_Panne_Min]]/1440</f>
        <v>1.8749999999999999E-2</v>
      </c>
      <c r="K198" s="17">
        <f>CLIENT[[#This Row],[Anciennete_Mois]]/12</f>
        <v>4.416666666666667</v>
      </c>
      <c r="L1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198" s="18">
        <f>CLIENT[[#This Row],[Facture_Mensuelle]]*CLIENT[[#This Row],[Remise]]</f>
        <v>0</v>
      </c>
    </row>
    <row r="199" spans="1:13" x14ac:dyDescent="0.35">
      <c r="A199" s="1" t="s">
        <v>540</v>
      </c>
      <c r="B199" s="1" t="s">
        <v>572</v>
      </c>
      <c r="C199" s="1" t="s">
        <v>54</v>
      </c>
      <c r="D199">
        <v>101</v>
      </c>
      <c r="E199" s="1" t="s">
        <v>18</v>
      </c>
      <c r="F199" s="17">
        <v>262</v>
      </c>
      <c r="G199">
        <v>83.74</v>
      </c>
      <c r="H199">
        <v>5</v>
      </c>
      <c r="I199" t="str">
        <f t="shared" si="3"/>
        <v>B2C</v>
      </c>
      <c r="J199" s="19">
        <f>CLIENT[[#This Row],[Duree_Cumulee_Panne_Min]]/1440</f>
        <v>0.18194444444444444</v>
      </c>
      <c r="K199" s="17">
        <f>CLIENT[[#This Row],[Anciennete_Mois]]/12</f>
        <v>8.4166666666666661</v>
      </c>
      <c r="L1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199" s="18">
        <f>CLIENT[[#This Row],[Facture_Mensuelle]]*CLIENT[[#This Row],[Remise]]</f>
        <v>37.683</v>
      </c>
    </row>
    <row r="200" spans="1:13" x14ac:dyDescent="0.35">
      <c r="A200" s="1" t="s">
        <v>360</v>
      </c>
      <c r="B200" s="1" t="s">
        <v>378</v>
      </c>
      <c r="C200" s="1" t="s">
        <v>15</v>
      </c>
      <c r="D200">
        <v>23</v>
      </c>
      <c r="E200" s="1" t="s">
        <v>10</v>
      </c>
      <c r="F200" s="17">
        <v>268</v>
      </c>
      <c r="G200">
        <v>26.75</v>
      </c>
      <c r="H200">
        <v>3</v>
      </c>
      <c r="I200" t="str">
        <f t="shared" si="3"/>
        <v>B2C</v>
      </c>
      <c r="J200" s="19">
        <f>CLIENT[[#This Row],[Duree_Cumulee_Panne_Min]]/1440</f>
        <v>0.18611111111111112</v>
      </c>
      <c r="K200" s="17">
        <f>CLIENT[[#This Row],[Anciennete_Mois]]/12</f>
        <v>1.9166666666666667</v>
      </c>
      <c r="L2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0" s="18">
        <f>CLIENT[[#This Row],[Facture_Mensuelle]]*CLIENT[[#This Row],[Remise]]</f>
        <v>12.0375</v>
      </c>
    </row>
    <row r="201" spans="1:13" x14ac:dyDescent="0.35">
      <c r="A201" s="1" t="s">
        <v>640</v>
      </c>
      <c r="B201" s="1" t="s">
        <v>642</v>
      </c>
      <c r="C201" s="1" t="s">
        <v>35</v>
      </c>
      <c r="D201">
        <v>67</v>
      </c>
      <c r="E201" s="1" t="s">
        <v>10</v>
      </c>
      <c r="F201" s="17">
        <v>262</v>
      </c>
      <c r="G201">
        <v>28.46</v>
      </c>
      <c r="H201">
        <v>3</v>
      </c>
      <c r="I201" t="str">
        <f t="shared" si="3"/>
        <v>B2B</v>
      </c>
      <c r="J201" s="19">
        <f>CLIENT[[#This Row],[Duree_Cumulee_Panne_Min]]/1440</f>
        <v>0.18194444444444444</v>
      </c>
      <c r="K201" s="17">
        <f>CLIENT[[#This Row],[Anciennete_Mois]]/12</f>
        <v>5.583333333333333</v>
      </c>
      <c r="L2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1" s="18">
        <f>CLIENT[[#This Row],[Facture_Mensuelle]]*CLIENT[[#This Row],[Remise]]</f>
        <v>12.807</v>
      </c>
    </row>
    <row r="202" spans="1:13" x14ac:dyDescent="0.35">
      <c r="A202" s="1" t="s">
        <v>129</v>
      </c>
      <c r="B202" s="1" t="s">
        <v>143</v>
      </c>
      <c r="C202" s="1" t="s">
        <v>48</v>
      </c>
      <c r="D202">
        <v>109</v>
      </c>
      <c r="E202" s="1" t="s">
        <v>13</v>
      </c>
      <c r="F202" s="17">
        <v>480</v>
      </c>
      <c r="G202">
        <v>31.36</v>
      </c>
      <c r="H202">
        <v>0</v>
      </c>
      <c r="I202" t="str">
        <f t="shared" si="3"/>
        <v>B2C</v>
      </c>
      <c r="J202" s="19">
        <f>CLIENT[[#This Row],[Duree_Cumulee_Panne_Min]]/1440</f>
        <v>0.33333333333333331</v>
      </c>
      <c r="K202" s="17">
        <f>CLIENT[[#This Row],[Anciennete_Mois]]/12</f>
        <v>9.0833333333333339</v>
      </c>
      <c r="L2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2" s="18">
        <f>CLIENT[[#This Row],[Facture_Mensuelle]]*CLIENT[[#This Row],[Remise]]</f>
        <v>14.112</v>
      </c>
    </row>
    <row r="203" spans="1:13" x14ac:dyDescent="0.35">
      <c r="A203" s="1" t="s">
        <v>129</v>
      </c>
      <c r="B203" s="1" t="s">
        <v>160</v>
      </c>
      <c r="C203" s="1" t="s">
        <v>41</v>
      </c>
      <c r="D203">
        <v>54</v>
      </c>
      <c r="E203" s="1" t="s">
        <v>18</v>
      </c>
      <c r="F203" s="17">
        <v>99</v>
      </c>
      <c r="G203">
        <v>39.58</v>
      </c>
      <c r="H203">
        <v>0</v>
      </c>
      <c r="I203" t="str">
        <f t="shared" si="3"/>
        <v>B2C</v>
      </c>
      <c r="J203" s="19">
        <f>CLIENT[[#This Row],[Duree_Cumulee_Panne_Min]]/1440</f>
        <v>6.8750000000000006E-2</v>
      </c>
      <c r="K203" s="17">
        <f>CLIENT[[#This Row],[Anciennete_Mois]]/12</f>
        <v>4.5</v>
      </c>
      <c r="L2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03" s="18">
        <f>CLIENT[[#This Row],[Facture_Mensuelle]]*CLIENT[[#This Row],[Remise]]</f>
        <v>0</v>
      </c>
    </row>
    <row r="204" spans="1:13" x14ac:dyDescent="0.35">
      <c r="A204" s="1" t="s">
        <v>496</v>
      </c>
      <c r="B204" s="1" t="s">
        <v>527</v>
      </c>
      <c r="C204" s="1" t="s">
        <v>24</v>
      </c>
      <c r="D204">
        <v>118</v>
      </c>
      <c r="E204" s="1" t="s">
        <v>18</v>
      </c>
      <c r="F204" s="17">
        <v>461</v>
      </c>
      <c r="G204">
        <v>47.82</v>
      </c>
      <c r="H204">
        <v>5</v>
      </c>
      <c r="I204" t="str">
        <f t="shared" si="3"/>
        <v>B2B</v>
      </c>
      <c r="J204" s="19">
        <f>CLIENT[[#This Row],[Duree_Cumulee_Panne_Min]]/1440</f>
        <v>0.32013888888888886</v>
      </c>
      <c r="K204" s="17">
        <f>CLIENT[[#This Row],[Anciennete_Mois]]/12</f>
        <v>9.8333333333333339</v>
      </c>
      <c r="L2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4" s="18">
        <f>CLIENT[[#This Row],[Facture_Mensuelle]]*CLIENT[[#This Row],[Remise]]</f>
        <v>21.519000000000002</v>
      </c>
    </row>
    <row r="205" spans="1:13" x14ac:dyDescent="0.35">
      <c r="A205" s="1" t="s">
        <v>79</v>
      </c>
      <c r="B205" s="1" t="s">
        <v>101</v>
      </c>
      <c r="C205" s="1" t="s">
        <v>33</v>
      </c>
      <c r="D205">
        <v>86</v>
      </c>
      <c r="E205" s="1" t="s">
        <v>13</v>
      </c>
      <c r="F205" s="17">
        <v>237</v>
      </c>
      <c r="G205">
        <v>85.82</v>
      </c>
      <c r="H205">
        <v>5</v>
      </c>
      <c r="I205" t="str">
        <f t="shared" si="3"/>
        <v>B2B</v>
      </c>
      <c r="J205" s="19">
        <f>CLIENT[[#This Row],[Duree_Cumulee_Panne_Min]]/1440</f>
        <v>0.16458333333333333</v>
      </c>
      <c r="K205" s="17">
        <f>CLIENT[[#This Row],[Anciennete_Mois]]/12</f>
        <v>7.166666666666667</v>
      </c>
      <c r="L2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05" s="18">
        <f>CLIENT[[#This Row],[Facture_Mensuelle]]*CLIENT[[#This Row],[Remise]]</f>
        <v>8.581999999999999</v>
      </c>
    </row>
    <row r="206" spans="1:13" x14ac:dyDescent="0.35">
      <c r="A206" s="1" t="s">
        <v>8</v>
      </c>
      <c r="B206" s="1" t="s">
        <v>56</v>
      </c>
      <c r="C206" s="1" t="s">
        <v>57</v>
      </c>
      <c r="D206">
        <v>14</v>
      </c>
      <c r="E206" s="1" t="s">
        <v>13</v>
      </c>
      <c r="F206" s="17">
        <v>316</v>
      </c>
      <c r="G206">
        <v>62.34</v>
      </c>
      <c r="H206">
        <v>4</v>
      </c>
      <c r="I206" t="str">
        <f t="shared" si="3"/>
        <v>B2C</v>
      </c>
      <c r="J206" s="19">
        <f>CLIENT[[#This Row],[Duree_Cumulee_Panne_Min]]/1440</f>
        <v>0.21944444444444444</v>
      </c>
      <c r="K206" s="17">
        <f>CLIENT[[#This Row],[Anciennete_Mois]]/12</f>
        <v>1.1666666666666667</v>
      </c>
      <c r="L2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6" s="18">
        <f>CLIENT[[#This Row],[Facture_Mensuelle]]*CLIENT[[#This Row],[Remise]]</f>
        <v>28.053000000000001</v>
      </c>
    </row>
    <row r="207" spans="1:13" x14ac:dyDescent="0.35">
      <c r="A207" s="1" t="s">
        <v>406</v>
      </c>
      <c r="B207" s="1" t="s">
        <v>417</v>
      </c>
      <c r="C207" s="1" t="s">
        <v>48</v>
      </c>
      <c r="D207">
        <v>41</v>
      </c>
      <c r="E207" s="1" t="s">
        <v>21</v>
      </c>
      <c r="F207" s="17">
        <v>404</v>
      </c>
      <c r="G207">
        <v>98.67</v>
      </c>
      <c r="H207">
        <v>5</v>
      </c>
      <c r="I207" t="str">
        <f t="shared" si="3"/>
        <v>B2C</v>
      </c>
      <c r="J207" s="19">
        <f>CLIENT[[#This Row],[Duree_Cumulee_Panne_Min]]/1440</f>
        <v>0.28055555555555556</v>
      </c>
      <c r="K207" s="17">
        <f>CLIENT[[#This Row],[Anciennete_Mois]]/12</f>
        <v>3.4166666666666665</v>
      </c>
      <c r="L2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7" s="18">
        <f>CLIENT[[#This Row],[Facture_Mensuelle]]*CLIENT[[#This Row],[Remise]]</f>
        <v>44.401499999999999</v>
      </c>
    </row>
    <row r="208" spans="1:13" x14ac:dyDescent="0.35">
      <c r="A208" s="1" t="s">
        <v>129</v>
      </c>
      <c r="B208" s="1" t="s">
        <v>132</v>
      </c>
      <c r="C208" s="1" t="s">
        <v>54</v>
      </c>
      <c r="D208">
        <v>79</v>
      </c>
      <c r="E208" s="1" t="s">
        <v>21</v>
      </c>
      <c r="F208" s="17">
        <v>403</v>
      </c>
      <c r="G208">
        <v>21.49</v>
      </c>
      <c r="H208">
        <v>0</v>
      </c>
      <c r="I208" t="str">
        <f t="shared" si="3"/>
        <v>B2B</v>
      </c>
      <c r="J208" s="19">
        <f>CLIENT[[#This Row],[Duree_Cumulee_Panne_Min]]/1440</f>
        <v>0.27986111111111112</v>
      </c>
      <c r="K208" s="17">
        <f>CLIENT[[#This Row],[Anciennete_Mois]]/12</f>
        <v>6.583333333333333</v>
      </c>
      <c r="L2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08" s="18">
        <f>CLIENT[[#This Row],[Facture_Mensuelle]]*CLIENT[[#This Row],[Remise]]</f>
        <v>9.6704999999999988</v>
      </c>
    </row>
    <row r="209" spans="1:13" x14ac:dyDescent="0.35">
      <c r="A209" s="1" t="s">
        <v>174</v>
      </c>
      <c r="B209" s="1" t="s">
        <v>187</v>
      </c>
      <c r="C209" s="1" t="s">
        <v>72</v>
      </c>
      <c r="D209">
        <v>89</v>
      </c>
      <c r="E209" s="1" t="s">
        <v>13</v>
      </c>
      <c r="F209" s="17">
        <v>203</v>
      </c>
      <c r="G209">
        <v>80.680000000000007</v>
      </c>
      <c r="H209">
        <v>5</v>
      </c>
      <c r="I209" t="str">
        <f t="shared" si="3"/>
        <v>B2C</v>
      </c>
      <c r="J209" s="19">
        <f>CLIENT[[#This Row],[Duree_Cumulee_Panne_Min]]/1440</f>
        <v>0.14097222222222222</v>
      </c>
      <c r="K209" s="17">
        <f>CLIENT[[#This Row],[Anciennete_Mois]]/12</f>
        <v>7.416666666666667</v>
      </c>
      <c r="L2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09" s="18">
        <f>CLIENT[[#This Row],[Facture_Mensuelle]]*CLIENT[[#This Row],[Remise]]</f>
        <v>0</v>
      </c>
    </row>
    <row r="210" spans="1:13" x14ac:dyDescent="0.35">
      <c r="A210" s="1" t="s">
        <v>220</v>
      </c>
      <c r="B210" s="1" t="s">
        <v>257</v>
      </c>
      <c r="C210" s="1" t="s">
        <v>20</v>
      </c>
      <c r="D210">
        <v>18</v>
      </c>
      <c r="E210" s="1" t="s">
        <v>18</v>
      </c>
      <c r="F210" s="17">
        <v>291</v>
      </c>
      <c r="G210">
        <v>97.98</v>
      </c>
      <c r="H210">
        <v>1</v>
      </c>
      <c r="I210" t="str">
        <f t="shared" si="3"/>
        <v>B2C</v>
      </c>
      <c r="J210" s="19">
        <f>CLIENT[[#This Row],[Duree_Cumulee_Panne_Min]]/1440</f>
        <v>0.20208333333333334</v>
      </c>
      <c r="K210" s="17">
        <f>CLIENT[[#This Row],[Anciennete_Mois]]/12</f>
        <v>1.5</v>
      </c>
      <c r="L2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0" s="18">
        <f>CLIENT[[#This Row],[Facture_Mensuelle]]*CLIENT[[#This Row],[Remise]]</f>
        <v>44.091000000000001</v>
      </c>
    </row>
    <row r="211" spans="1:13" x14ac:dyDescent="0.35">
      <c r="A211" s="1" t="s">
        <v>314</v>
      </c>
      <c r="B211" s="1" t="s">
        <v>348</v>
      </c>
      <c r="C211" s="1" t="s">
        <v>17</v>
      </c>
      <c r="D211">
        <v>96</v>
      </c>
      <c r="E211" s="1" t="s">
        <v>21</v>
      </c>
      <c r="F211" s="17">
        <v>381</v>
      </c>
      <c r="G211">
        <v>90.78</v>
      </c>
      <c r="H211">
        <v>2</v>
      </c>
      <c r="I211" t="str">
        <f t="shared" si="3"/>
        <v>B2C</v>
      </c>
      <c r="J211" s="19">
        <f>CLIENT[[#This Row],[Duree_Cumulee_Panne_Min]]/1440</f>
        <v>0.26458333333333334</v>
      </c>
      <c r="K211" s="17">
        <f>CLIENT[[#This Row],[Anciennete_Mois]]/12</f>
        <v>8</v>
      </c>
      <c r="L2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1" s="18">
        <f>CLIENT[[#This Row],[Facture_Mensuelle]]*CLIENT[[#This Row],[Remise]]</f>
        <v>40.850999999999999</v>
      </c>
    </row>
    <row r="212" spans="1:13" x14ac:dyDescent="0.35">
      <c r="A212" s="1" t="s">
        <v>496</v>
      </c>
      <c r="B212" s="1" t="s">
        <v>497</v>
      </c>
      <c r="C212" s="1" t="s">
        <v>15</v>
      </c>
      <c r="D212">
        <v>120</v>
      </c>
      <c r="E212" s="1" t="s">
        <v>18</v>
      </c>
      <c r="F212" s="17">
        <v>27</v>
      </c>
      <c r="G212">
        <v>24.46</v>
      </c>
      <c r="H212">
        <v>3</v>
      </c>
      <c r="I212" t="str">
        <f t="shared" si="3"/>
        <v>B2C</v>
      </c>
      <c r="J212" s="19">
        <f>CLIENT[[#This Row],[Duree_Cumulee_Panne_Min]]/1440</f>
        <v>1.8749999999999999E-2</v>
      </c>
      <c r="K212" s="17">
        <f>CLIENT[[#This Row],[Anciennete_Mois]]/12</f>
        <v>10</v>
      </c>
      <c r="L2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12" s="18">
        <f>CLIENT[[#This Row],[Facture_Mensuelle]]*CLIENT[[#This Row],[Remise]]</f>
        <v>0</v>
      </c>
    </row>
    <row r="213" spans="1:13" x14ac:dyDescent="0.35">
      <c r="A213" s="1" t="s">
        <v>220</v>
      </c>
      <c r="B213" s="1" t="s">
        <v>222</v>
      </c>
      <c r="C213" s="1" t="s">
        <v>122</v>
      </c>
      <c r="D213">
        <v>65</v>
      </c>
      <c r="E213" s="1" t="s">
        <v>18</v>
      </c>
      <c r="F213" s="17">
        <v>118</v>
      </c>
      <c r="G213">
        <v>72.430000000000007</v>
      </c>
      <c r="H213">
        <v>1</v>
      </c>
      <c r="I213" t="str">
        <f t="shared" si="3"/>
        <v>B2B</v>
      </c>
      <c r="J213" s="19">
        <f>CLIENT[[#This Row],[Duree_Cumulee_Panne_Min]]/1440</f>
        <v>8.1944444444444445E-2</v>
      </c>
      <c r="K213" s="17">
        <f>CLIENT[[#This Row],[Anciennete_Mois]]/12</f>
        <v>5.416666666666667</v>
      </c>
      <c r="L2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13" s="18">
        <f>CLIENT[[#This Row],[Facture_Mensuelle]]*CLIENT[[#This Row],[Remise]]</f>
        <v>7.2430000000000012</v>
      </c>
    </row>
    <row r="214" spans="1:13" x14ac:dyDescent="0.35">
      <c r="A214" s="1" t="s">
        <v>220</v>
      </c>
      <c r="B214" s="1" t="s">
        <v>265</v>
      </c>
      <c r="C214" s="1" t="s">
        <v>27</v>
      </c>
      <c r="D214">
        <v>13</v>
      </c>
      <c r="E214" s="1" t="s">
        <v>13</v>
      </c>
      <c r="F214" s="17">
        <v>347</v>
      </c>
      <c r="G214">
        <v>32.35</v>
      </c>
      <c r="H214">
        <v>2</v>
      </c>
      <c r="I214" t="str">
        <f t="shared" si="3"/>
        <v>B2B</v>
      </c>
      <c r="J214" s="19">
        <f>CLIENT[[#This Row],[Duree_Cumulee_Panne_Min]]/1440</f>
        <v>0.24097222222222223</v>
      </c>
      <c r="K214" s="17">
        <f>CLIENT[[#This Row],[Anciennete_Mois]]/12</f>
        <v>1.0833333333333333</v>
      </c>
      <c r="L2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4" s="18">
        <f>CLIENT[[#This Row],[Facture_Mensuelle]]*CLIENT[[#This Row],[Remise]]</f>
        <v>14.557500000000001</v>
      </c>
    </row>
    <row r="215" spans="1:13" x14ac:dyDescent="0.35">
      <c r="A215" s="1" t="s">
        <v>453</v>
      </c>
      <c r="B215" s="1" t="s">
        <v>472</v>
      </c>
      <c r="C215" s="1" t="s">
        <v>41</v>
      </c>
      <c r="D215">
        <v>120</v>
      </c>
      <c r="E215" s="1" t="s">
        <v>13</v>
      </c>
      <c r="F215" s="17">
        <v>72</v>
      </c>
      <c r="G215">
        <v>29.07</v>
      </c>
      <c r="H215">
        <v>3</v>
      </c>
      <c r="I215" t="str">
        <f t="shared" si="3"/>
        <v>B2C</v>
      </c>
      <c r="J215" s="19">
        <f>CLIENT[[#This Row],[Duree_Cumulee_Panne_Min]]/1440</f>
        <v>0.05</v>
      </c>
      <c r="K215" s="17">
        <f>CLIENT[[#This Row],[Anciennete_Mois]]/12</f>
        <v>10</v>
      </c>
      <c r="L2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15" s="18">
        <f>CLIENT[[#This Row],[Facture_Mensuelle]]*CLIENT[[#This Row],[Remise]]</f>
        <v>0</v>
      </c>
    </row>
    <row r="216" spans="1:13" x14ac:dyDescent="0.35">
      <c r="A216" s="1" t="s">
        <v>79</v>
      </c>
      <c r="B216" s="1" t="s">
        <v>102</v>
      </c>
      <c r="C216" s="1" t="s">
        <v>31</v>
      </c>
      <c r="D216">
        <v>114</v>
      </c>
      <c r="E216" s="1" t="s">
        <v>10</v>
      </c>
      <c r="F216" s="17">
        <v>283</v>
      </c>
      <c r="G216">
        <v>29.15</v>
      </c>
      <c r="H216">
        <v>3</v>
      </c>
      <c r="I216" t="str">
        <f t="shared" si="3"/>
        <v>B2C</v>
      </c>
      <c r="J216" s="19">
        <f>CLIENT[[#This Row],[Duree_Cumulee_Panne_Min]]/1440</f>
        <v>0.19652777777777777</v>
      </c>
      <c r="K216" s="17">
        <f>CLIENT[[#This Row],[Anciennete_Mois]]/12</f>
        <v>9.5</v>
      </c>
      <c r="L2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6" s="18">
        <f>CLIENT[[#This Row],[Facture_Mensuelle]]*CLIENT[[#This Row],[Remise]]</f>
        <v>13.1175</v>
      </c>
    </row>
    <row r="217" spans="1:13" x14ac:dyDescent="0.35">
      <c r="A217" s="1" t="s">
        <v>174</v>
      </c>
      <c r="B217" s="1" t="s">
        <v>204</v>
      </c>
      <c r="C217" s="1" t="s">
        <v>23</v>
      </c>
      <c r="D217">
        <v>58</v>
      </c>
      <c r="E217" s="1" t="s">
        <v>18</v>
      </c>
      <c r="F217" s="17">
        <v>405</v>
      </c>
      <c r="G217">
        <v>18.39</v>
      </c>
      <c r="H217">
        <v>0</v>
      </c>
      <c r="I217" t="str">
        <f t="shared" si="3"/>
        <v>B2C</v>
      </c>
      <c r="J217" s="19">
        <f>CLIENT[[#This Row],[Duree_Cumulee_Panne_Min]]/1440</f>
        <v>0.28125</v>
      </c>
      <c r="K217" s="17">
        <f>CLIENT[[#This Row],[Anciennete_Mois]]/12</f>
        <v>4.833333333333333</v>
      </c>
      <c r="L2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7" s="18">
        <f>CLIENT[[#This Row],[Facture_Mensuelle]]*CLIENT[[#This Row],[Remise]]</f>
        <v>8.275500000000001</v>
      </c>
    </row>
    <row r="218" spans="1:13" x14ac:dyDescent="0.35">
      <c r="A218" s="1" t="s">
        <v>640</v>
      </c>
      <c r="B218" s="1" t="s">
        <v>682</v>
      </c>
      <c r="C218" s="1" t="s">
        <v>41</v>
      </c>
      <c r="D218">
        <v>94</v>
      </c>
      <c r="E218" s="1" t="s">
        <v>21</v>
      </c>
      <c r="F218" s="17">
        <v>261</v>
      </c>
      <c r="G218">
        <v>70.09</v>
      </c>
      <c r="H218">
        <v>3</v>
      </c>
      <c r="I218" t="str">
        <f t="shared" si="3"/>
        <v>B2C</v>
      </c>
      <c r="J218" s="19">
        <f>CLIENT[[#This Row],[Duree_Cumulee_Panne_Min]]/1440</f>
        <v>0.18124999999999999</v>
      </c>
      <c r="K218" s="17">
        <f>CLIENT[[#This Row],[Anciennete_Mois]]/12</f>
        <v>7.833333333333333</v>
      </c>
      <c r="L2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8" s="18">
        <f>CLIENT[[#This Row],[Facture_Mensuelle]]*CLIENT[[#This Row],[Remise]]</f>
        <v>31.540500000000002</v>
      </c>
    </row>
    <row r="219" spans="1:13" x14ac:dyDescent="0.35">
      <c r="A219" s="1" t="s">
        <v>360</v>
      </c>
      <c r="B219" s="1" t="s">
        <v>390</v>
      </c>
      <c r="C219" s="1" t="s">
        <v>23</v>
      </c>
      <c r="D219">
        <v>74</v>
      </c>
      <c r="E219" s="1" t="s">
        <v>21</v>
      </c>
      <c r="F219" s="17">
        <v>253</v>
      </c>
      <c r="G219">
        <v>36.94</v>
      </c>
      <c r="H219">
        <v>5</v>
      </c>
      <c r="I219" t="str">
        <f t="shared" si="3"/>
        <v>B2C</v>
      </c>
      <c r="J219" s="19">
        <f>CLIENT[[#This Row],[Duree_Cumulee_Panne_Min]]/1440</f>
        <v>0.17569444444444443</v>
      </c>
      <c r="K219" s="17">
        <f>CLIENT[[#This Row],[Anciennete_Mois]]/12</f>
        <v>6.166666666666667</v>
      </c>
      <c r="L2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19" s="18">
        <f>CLIENT[[#This Row],[Facture_Mensuelle]]*CLIENT[[#This Row],[Remise]]</f>
        <v>16.623000000000001</v>
      </c>
    </row>
    <row r="220" spans="1:13" x14ac:dyDescent="0.35">
      <c r="A220" s="1" t="s">
        <v>540</v>
      </c>
      <c r="B220" s="1" t="s">
        <v>554</v>
      </c>
      <c r="C220" s="1" t="s">
        <v>15</v>
      </c>
      <c r="D220">
        <v>50</v>
      </c>
      <c r="E220" s="1" t="s">
        <v>21</v>
      </c>
      <c r="F220" s="17">
        <v>177</v>
      </c>
      <c r="G220">
        <v>74.569999999999993</v>
      </c>
      <c r="H220">
        <v>4</v>
      </c>
      <c r="I220" t="str">
        <f t="shared" si="3"/>
        <v>B2C</v>
      </c>
      <c r="J220" s="19">
        <f>CLIENT[[#This Row],[Duree_Cumulee_Panne_Min]]/1440</f>
        <v>0.12291666666666666</v>
      </c>
      <c r="K220" s="17">
        <f>CLIENT[[#This Row],[Anciennete_Mois]]/12</f>
        <v>4.166666666666667</v>
      </c>
      <c r="L2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20" s="18">
        <f>CLIENT[[#This Row],[Facture_Mensuelle]]*CLIENT[[#This Row],[Remise]]</f>
        <v>0</v>
      </c>
    </row>
    <row r="221" spans="1:13" x14ac:dyDescent="0.35">
      <c r="A221" s="1" t="s">
        <v>685</v>
      </c>
      <c r="B221" s="1" t="s">
        <v>719</v>
      </c>
      <c r="C221" s="1" t="s">
        <v>72</v>
      </c>
      <c r="D221">
        <v>26</v>
      </c>
      <c r="E221" s="1" t="s">
        <v>21</v>
      </c>
      <c r="F221" s="17">
        <v>378</v>
      </c>
      <c r="G221">
        <v>88.59</v>
      </c>
      <c r="H221">
        <v>4</v>
      </c>
      <c r="I221" t="str">
        <f t="shared" si="3"/>
        <v>B2C</v>
      </c>
      <c r="J221" s="19">
        <f>CLIENT[[#This Row],[Duree_Cumulee_Panne_Min]]/1440</f>
        <v>0.26250000000000001</v>
      </c>
      <c r="K221" s="17">
        <f>CLIENT[[#This Row],[Anciennete_Mois]]/12</f>
        <v>2.1666666666666665</v>
      </c>
      <c r="L2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1" s="18">
        <f>CLIENT[[#This Row],[Facture_Mensuelle]]*CLIENT[[#This Row],[Remise]]</f>
        <v>39.865500000000004</v>
      </c>
    </row>
    <row r="222" spans="1:13" x14ac:dyDescent="0.35">
      <c r="A222" s="1" t="s">
        <v>685</v>
      </c>
      <c r="B222" s="1" t="s">
        <v>713</v>
      </c>
      <c r="C222" s="1" t="s">
        <v>27</v>
      </c>
      <c r="D222">
        <v>26</v>
      </c>
      <c r="E222" s="1" t="s">
        <v>10</v>
      </c>
      <c r="F222" s="17">
        <v>391</v>
      </c>
      <c r="G222">
        <v>18.28</v>
      </c>
      <c r="H222">
        <v>3</v>
      </c>
      <c r="I222" t="str">
        <f t="shared" si="3"/>
        <v>B2B</v>
      </c>
      <c r="J222" s="19">
        <f>CLIENT[[#This Row],[Duree_Cumulee_Panne_Min]]/1440</f>
        <v>0.27152777777777776</v>
      </c>
      <c r="K222" s="17">
        <f>CLIENT[[#This Row],[Anciennete_Mois]]/12</f>
        <v>2.1666666666666665</v>
      </c>
      <c r="L2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2" s="18">
        <f>CLIENT[[#This Row],[Facture_Mensuelle]]*CLIENT[[#This Row],[Remise]]</f>
        <v>8.2260000000000009</v>
      </c>
    </row>
    <row r="223" spans="1:13" x14ac:dyDescent="0.35">
      <c r="A223" s="1" t="s">
        <v>406</v>
      </c>
      <c r="B223" s="1" t="s">
        <v>450</v>
      </c>
      <c r="C223" s="1" t="s">
        <v>59</v>
      </c>
      <c r="D223">
        <v>104</v>
      </c>
      <c r="E223" s="1" t="s">
        <v>13</v>
      </c>
      <c r="F223" s="17">
        <v>421</v>
      </c>
      <c r="G223">
        <v>26.24</v>
      </c>
      <c r="H223">
        <v>3</v>
      </c>
      <c r="I223" t="str">
        <f t="shared" si="3"/>
        <v>B2B</v>
      </c>
      <c r="J223" s="19">
        <f>CLIENT[[#This Row],[Duree_Cumulee_Panne_Min]]/1440</f>
        <v>0.29236111111111113</v>
      </c>
      <c r="K223" s="17">
        <f>CLIENT[[#This Row],[Anciennete_Mois]]/12</f>
        <v>8.6666666666666661</v>
      </c>
      <c r="L2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3" s="18">
        <f>CLIENT[[#This Row],[Facture_Mensuelle]]*CLIENT[[#This Row],[Remise]]</f>
        <v>11.808</v>
      </c>
    </row>
    <row r="224" spans="1:13" x14ac:dyDescent="0.35">
      <c r="A224" s="1" t="s">
        <v>360</v>
      </c>
      <c r="B224" s="1" t="s">
        <v>368</v>
      </c>
      <c r="C224" s="1" t="s">
        <v>12</v>
      </c>
      <c r="D224">
        <v>103</v>
      </c>
      <c r="E224" s="1" t="s">
        <v>13</v>
      </c>
      <c r="F224" s="17">
        <v>270</v>
      </c>
      <c r="G224">
        <v>67.87</v>
      </c>
      <c r="H224">
        <v>3</v>
      </c>
      <c r="I224" t="str">
        <f t="shared" si="3"/>
        <v>B2B</v>
      </c>
      <c r="J224" s="19">
        <f>CLIENT[[#This Row],[Duree_Cumulee_Panne_Min]]/1440</f>
        <v>0.1875</v>
      </c>
      <c r="K224" s="17">
        <f>CLIENT[[#This Row],[Anciennete_Mois]]/12</f>
        <v>8.5833333333333339</v>
      </c>
      <c r="L2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4" s="18">
        <f>CLIENT[[#This Row],[Facture_Mensuelle]]*CLIENT[[#This Row],[Remise]]</f>
        <v>30.541500000000003</v>
      </c>
    </row>
    <row r="225" spans="1:13" x14ac:dyDescent="0.35">
      <c r="A225" s="1" t="s">
        <v>591</v>
      </c>
      <c r="B225" s="1" t="s">
        <v>596</v>
      </c>
      <c r="C225" s="1" t="s">
        <v>61</v>
      </c>
      <c r="D225">
        <v>93</v>
      </c>
      <c r="E225" s="1" t="s">
        <v>13</v>
      </c>
      <c r="F225" s="17">
        <v>56</v>
      </c>
      <c r="G225">
        <v>96.31</v>
      </c>
      <c r="H225">
        <v>4</v>
      </c>
      <c r="I225" t="str">
        <f t="shared" si="3"/>
        <v>B2C</v>
      </c>
      <c r="J225" s="19">
        <f>CLIENT[[#This Row],[Duree_Cumulee_Panne_Min]]/1440</f>
        <v>3.888888888888889E-2</v>
      </c>
      <c r="K225" s="17">
        <f>CLIENT[[#This Row],[Anciennete_Mois]]/12</f>
        <v>7.75</v>
      </c>
      <c r="L2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25" s="18">
        <f>CLIENT[[#This Row],[Facture_Mensuelle]]*CLIENT[[#This Row],[Remise]]</f>
        <v>0</v>
      </c>
    </row>
    <row r="226" spans="1:13" x14ac:dyDescent="0.35">
      <c r="A226" s="1" t="s">
        <v>406</v>
      </c>
      <c r="B226" s="1" t="s">
        <v>442</v>
      </c>
      <c r="C226" s="1" t="s">
        <v>9</v>
      </c>
      <c r="D226">
        <v>86</v>
      </c>
      <c r="E226" s="1" t="s">
        <v>10</v>
      </c>
      <c r="F226" s="17">
        <v>452</v>
      </c>
      <c r="G226">
        <v>75.680000000000007</v>
      </c>
      <c r="H226">
        <v>0</v>
      </c>
      <c r="I226" t="str">
        <f t="shared" si="3"/>
        <v>B2C</v>
      </c>
      <c r="J226" s="19">
        <f>CLIENT[[#This Row],[Duree_Cumulee_Panne_Min]]/1440</f>
        <v>0.31388888888888888</v>
      </c>
      <c r="K226" s="17">
        <f>CLIENT[[#This Row],[Anciennete_Mois]]/12</f>
        <v>7.166666666666667</v>
      </c>
      <c r="L2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6" s="18">
        <f>CLIENT[[#This Row],[Facture_Mensuelle]]*CLIENT[[#This Row],[Remise]]</f>
        <v>34.056000000000004</v>
      </c>
    </row>
    <row r="227" spans="1:13" x14ac:dyDescent="0.35">
      <c r="A227" s="1" t="s">
        <v>496</v>
      </c>
      <c r="B227" s="1" t="s">
        <v>531</v>
      </c>
      <c r="C227" s="1" t="s">
        <v>41</v>
      </c>
      <c r="D227">
        <v>47</v>
      </c>
      <c r="E227" s="1" t="s">
        <v>21</v>
      </c>
      <c r="F227" s="17">
        <v>385</v>
      </c>
      <c r="G227">
        <v>41.33</v>
      </c>
      <c r="H227">
        <v>0</v>
      </c>
      <c r="I227" t="str">
        <f t="shared" si="3"/>
        <v>B2C</v>
      </c>
      <c r="J227" s="19">
        <f>CLIENT[[#This Row],[Duree_Cumulee_Panne_Min]]/1440</f>
        <v>0.2673611111111111</v>
      </c>
      <c r="K227" s="17">
        <f>CLIENT[[#This Row],[Anciennete_Mois]]/12</f>
        <v>3.9166666666666665</v>
      </c>
      <c r="L2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7" s="18">
        <f>CLIENT[[#This Row],[Facture_Mensuelle]]*CLIENT[[#This Row],[Remise]]</f>
        <v>18.598500000000001</v>
      </c>
    </row>
    <row r="228" spans="1:13" x14ac:dyDescent="0.35">
      <c r="A228" s="1" t="s">
        <v>406</v>
      </c>
      <c r="B228" s="1" t="s">
        <v>407</v>
      </c>
      <c r="C228" s="1" t="s">
        <v>48</v>
      </c>
      <c r="D228">
        <v>83</v>
      </c>
      <c r="E228" s="1" t="s">
        <v>10</v>
      </c>
      <c r="F228" s="17">
        <v>105</v>
      </c>
      <c r="G228">
        <v>20.46</v>
      </c>
      <c r="H228">
        <v>1</v>
      </c>
      <c r="I228" t="str">
        <f t="shared" si="3"/>
        <v>B2C</v>
      </c>
      <c r="J228" s="19">
        <f>CLIENT[[#This Row],[Duree_Cumulee_Panne_Min]]/1440</f>
        <v>7.2916666666666671E-2</v>
      </c>
      <c r="K228" s="17">
        <f>CLIENT[[#This Row],[Anciennete_Mois]]/12</f>
        <v>6.916666666666667</v>
      </c>
      <c r="L2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28" s="18">
        <f>CLIENT[[#This Row],[Facture_Mensuelle]]*CLIENT[[#This Row],[Remise]]</f>
        <v>0</v>
      </c>
    </row>
    <row r="229" spans="1:13" x14ac:dyDescent="0.35">
      <c r="A229" s="1" t="s">
        <v>8</v>
      </c>
      <c r="B229" s="1" t="s">
        <v>67</v>
      </c>
      <c r="C229" s="1" t="s">
        <v>68</v>
      </c>
      <c r="D229">
        <v>6</v>
      </c>
      <c r="E229" s="1" t="s">
        <v>10</v>
      </c>
      <c r="F229" s="17">
        <v>207</v>
      </c>
      <c r="G229">
        <v>61.55</v>
      </c>
      <c r="H229">
        <v>0</v>
      </c>
      <c r="I229" t="str">
        <f t="shared" si="3"/>
        <v>B2C</v>
      </c>
      <c r="J229" s="19">
        <f>CLIENT[[#This Row],[Duree_Cumulee_Panne_Min]]/1440</f>
        <v>0.14374999999999999</v>
      </c>
      <c r="K229" s="17">
        <f>CLIENT[[#This Row],[Anciennete_Mois]]/12</f>
        <v>0.5</v>
      </c>
      <c r="L2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29" s="18">
        <f>CLIENT[[#This Row],[Facture_Mensuelle]]*CLIENT[[#This Row],[Remise]]</f>
        <v>27.697499999999998</v>
      </c>
    </row>
    <row r="230" spans="1:13" x14ac:dyDescent="0.35">
      <c r="A230" s="1" t="s">
        <v>267</v>
      </c>
      <c r="B230" s="1" t="s">
        <v>271</v>
      </c>
      <c r="C230" s="1" t="s">
        <v>9</v>
      </c>
      <c r="D230">
        <v>40</v>
      </c>
      <c r="E230" s="1" t="s">
        <v>10</v>
      </c>
      <c r="F230" s="17">
        <v>102</v>
      </c>
      <c r="G230">
        <v>96.59</v>
      </c>
      <c r="H230">
        <v>5</v>
      </c>
      <c r="I230" t="str">
        <f t="shared" si="3"/>
        <v>B2C</v>
      </c>
      <c r="J230" s="19">
        <f>CLIENT[[#This Row],[Duree_Cumulee_Panne_Min]]/1440</f>
        <v>7.0833333333333331E-2</v>
      </c>
      <c r="K230" s="17">
        <f>CLIENT[[#This Row],[Anciennete_Mois]]/12</f>
        <v>3.3333333333333335</v>
      </c>
      <c r="L2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0" s="18">
        <f>CLIENT[[#This Row],[Facture_Mensuelle]]*CLIENT[[#This Row],[Remise]]</f>
        <v>43.465500000000006</v>
      </c>
    </row>
    <row r="231" spans="1:13" x14ac:dyDescent="0.35">
      <c r="A231" s="1" t="s">
        <v>129</v>
      </c>
      <c r="B231" s="1" t="s">
        <v>141</v>
      </c>
      <c r="C231" s="1" t="s">
        <v>15</v>
      </c>
      <c r="D231">
        <v>42</v>
      </c>
      <c r="E231" s="1" t="s">
        <v>21</v>
      </c>
      <c r="F231" s="17">
        <v>173</v>
      </c>
      <c r="G231">
        <v>69.19</v>
      </c>
      <c r="H231">
        <v>4</v>
      </c>
      <c r="I231" t="str">
        <f t="shared" si="3"/>
        <v>B2C</v>
      </c>
      <c r="J231" s="19">
        <f>CLIENT[[#This Row],[Duree_Cumulee_Panne_Min]]/1440</f>
        <v>0.12013888888888889</v>
      </c>
      <c r="K231" s="17">
        <f>CLIENT[[#This Row],[Anciennete_Mois]]/12</f>
        <v>3.5</v>
      </c>
      <c r="L2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31" s="18">
        <f>CLIENT[[#This Row],[Facture_Mensuelle]]*CLIENT[[#This Row],[Remise]]</f>
        <v>0</v>
      </c>
    </row>
    <row r="232" spans="1:13" x14ac:dyDescent="0.35">
      <c r="A232" s="1" t="s">
        <v>540</v>
      </c>
      <c r="B232" s="1" t="s">
        <v>545</v>
      </c>
      <c r="C232" s="1" t="s">
        <v>122</v>
      </c>
      <c r="D232">
        <v>51</v>
      </c>
      <c r="E232" s="1" t="s">
        <v>18</v>
      </c>
      <c r="F232" s="17">
        <v>337</v>
      </c>
      <c r="G232">
        <v>68.67</v>
      </c>
      <c r="H232">
        <v>5</v>
      </c>
      <c r="I232" t="str">
        <f t="shared" si="3"/>
        <v>B2C</v>
      </c>
      <c r="J232" s="19">
        <f>CLIENT[[#This Row],[Duree_Cumulee_Panne_Min]]/1440</f>
        <v>0.23402777777777778</v>
      </c>
      <c r="K232" s="17">
        <f>CLIENT[[#This Row],[Anciennete_Mois]]/12</f>
        <v>4.25</v>
      </c>
      <c r="L2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2" s="18">
        <f>CLIENT[[#This Row],[Facture_Mensuelle]]*CLIENT[[#This Row],[Remise]]</f>
        <v>30.901500000000002</v>
      </c>
    </row>
    <row r="233" spans="1:13" x14ac:dyDescent="0.35">
      <c r="A233" s="1" t="s">
        <v>360</v>
      </c>
      <c r="B233" s="1" t="s">
        <v>381</v>
      </c>
      <c r="C233" s="1" t="s">
        <v>20</v>
      </c>
      <c r="D233">
        <v>113</v>
      </c>
      <c r="E233" s="1" t="s">
        <v>10</v>
      </c>
      <c r="F233" s="17">
        <v>89</v>
      </c>
      <c r="G233">
        <v>54.28</v>
      </c>
      <c r="H233">
        <v>0</v>
      </c>
      <c r="I233" t="str">
        <f t="shared" si="3"/>
        <v>B2C</v>
      </c>
      <c r="J233" s="19">
        <f>CLIENT[[#This Row],[Duree_Cumulee_Panne_Min]]/1440</f>
        <v>6.1805555555555558E-2</v>
      </c>
      <c r="K233" s="17">
        <f>CLIENT[[#This Row],[Anciennete_Mois]]/12</f>
        <v>9.4166666666666661</v>
      </c>
      <c r="L2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33" s="18">
        <f>CLIENT[[#This Row],[Facture_Mensuelle]]*CLIENT[[#This Row],[Remise]]</f>
        <v>0</v>
      </c>
    </row>
    <row r="234" spans="1:13" x14ac:dyDescent="0.35">
      <c r="A234" s="1" t="s">
        <v>453</v>
      </c>
      <c r="B234" s="1" t="s">
        <v>478</v>
      </c>
      <c r="C234" s="1" t="s">
        <v>12</v>
      </c>
      <c r="D234">
        <v>101</v>
      </c>
      <c r="E234" s="1" t="s">
        <v>18</v>
      </c>
      <c r="F234" s="17">
        <v>416</v>
      </c>
      <c r="G234">
        <v>83.49</v>
      </c>
      <c r="H234">
        <v>2</v>
      </c>
      <c r="I234" t="str">
        <f t="shared" si="3"/>
        <v>B2C</v>
      </c>
      <c r="J234" s="19">
        <f>CLIENT[[#This Row],[Duree_Cumulee_Panne_Min]]/1440</f>
        <v>0.28888888888888886</v>
      </c>
      <c r="K234" s="17">
        <f>CLIENT[[#This Row],[Anciennete_Mois]]/12</f>
        <v>8.4166666666666661</v>
      </c>
      <c r="L2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4" s="18">
        <f>CLIENT[[#This Row],[Facture_Mensuelle]]*CLIENT[[#This Row],[Remise]]</f>
        <v>37.570499999999996</v>
      </c>
    </row>
    <row r="235" spans="1:13" x14ac:dyDescent="0.35">
      <c r="A235" s="1" t="s">
        <v>79</v>
      </c>
      <c r="B235" s="1" t="s">
        <v>128</v>
      </c>
      <c r="C235" s="1" t="s">
        <v>68</v>
      </c>
      <c r="D235">
        <v>74</v>
      </c>
      <c r="E235" s="1" t="s">
        <v>10</v>
      </c>
      <c r="F235" s="17">
        <v>208</v>
      </c>
      <c r="G235">
        <v>39.56</v>
      </c>
      <c r="H235">
        <v>0</v>
      </c>
      <c r="I235" t="str">
        <f t="shared" si="3"/>
        <v>B2C</v>
      </c>
      <c r="J235" s="19">
        <f>CLIENT[[#This Row],[Duree_Cumulee_Panne_Min]]/1440</f>
        <v>0.14444444444444443</v>
      </c>
      <c r="K235" s="17">
        <f>CLIENT[[#This Row],[Anciennete_Mois]]/12</f>
        <v>6.166666666666667</v>
      </c>
      <c r="L2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35" s="18">
        <f>CLIENT[[#This Row],[Facture_Mensuelle]]*CLIENT[[#This Row],[Remise]]</f>
        <v>0</v>
      </c>
    </row>
    <row r="236" spans="1:13" x14ac:dyDescent="0.35">
      <c r="A236" s="1" t="s">
        <v>267</v>
      </c>
      <c r="B236" s="1" t="s">
        <v>274</v>
      </c>
      <c r="C236" s="1" t="s">
        <v>23</v>
      </c>
      <c r="D236">
        <v>10</v>
      </c>
      <c r="E236" s="1" t="s">
        <v>18</v>
      </c>
      <c r="F236" s="17">
        <v>93</v>
      </c>
      <c r="G236">
        <v>78.12</v>
      </c>
      <c r="H236">
        <v>4</v>
      </c>
      <c r="I236" t="str">
        <f t="shared" si="3"/>
        <v>B2C</v>
      </c>
      <c r="J236" s="19">
        <f>CLIENT[[#This Row],[Duree_Cumulee_Panne_Min]]/1440</f>
        <v>6.458333333333334E-2</v>
      </c>
      <c r="K236" s="17">
        <f>CLIENT[[#This Row],[Anciennete_Mois]]/12</f>
        <v>0.83333333333333337</v>
      </c>
      <c r="L2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36" s="18">
        <f>CLIENT[[#This Row],[Facture_Mensuelle]]*CLIENT[[#This Row],[Remise]]</f>
        <v>0</v>
      </c>
    </row>
    <row r="237" spans="1:13" x14ac:dyDescent="0.35">
      <c r="A237" s="1" t="s">
        <v>360</v>
      </c>
      <c r="B237" s="1" t="s">
        <v>377</v>
      </c>
      <c r="C237" s="1" t="s">
        <v>35</v>
      </c>
      <c r="D237">
        <v>16</v>
      </c>
      <c r="E237" s="1" t="s">
        <v>10</v>
      </c>
      <c r="F237" s="17">
        <v>391</v>
      </c>
      <c r="G237">
        <v>90.12</v>
      </c>
      <c r="H237">
        <v>5</v>
      </c>
      <c r="I237" t="str">
        <f t="shared" si="3"/>
        <v>B2B</v>
      </c>
      <c r="J237" s="19">
        <f>CLIENT[[#This Row],[Duree_Cumulee_Panne_Min]]/1440</f>
        <v>0.27152777777777776</v>
      </c>
      <c r="K237" s="17">
        <f>CLIENT[[#This Row],[Anciennete_Mois]]/12</f>
        <v>1.3333333333333333</v>
      </c>
      <c r="L2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7" s="18">
        <f>CLIENT[[#This Row],[Facture_Mensuelle]]*CLIENT[[#This Row],[Remise]]</f>
        <v>40.554000000000002</v>
      </c>
    </row>
    <row r="238" spans="1:13" x14ac:dyDescent="0.35">
      <c r="A238" s="1" t="s">
        <v>496</v>
      </c>
      <c r="B238" s="1" t="s">
        <v>508</v>
      </c>
      <c r="C238" s="1" t="s">
        <v>118</v>
      </c>
      <c r="D238">
        <v>59</v>
      </c>
      <c r="E238" s="1" t="s">
        <v>13</v>
      </c>
      <c r="F238" s="17">
        <v>72</v>
      </c>
      <c r="G238">
        <v>94.51</v>
      </c>
      <c r="H238">
        <v>2</v>
      </c>
      <c r="I238" t="str">
        <f t="shared" si="3"/>
        <v>B2B</v>
      </c>
      <c r="J238" s="19">
        <f>CLIENT[[#This Row],[Duree_Cumulee_Panne_Min]]/1440</f>
        <v>0.05</v>
      </c>
      <c r="K238" s="17">
        <f>CLIENT[[#This Row],[Anciennete_Mois]]/12</f>
        <v>4.916666666666667</v>
      </c>
      <c r="L2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38" s="18">
        <f>CLIENT[[#This Row],[Facture_Mensuelle]]*CLIENT[[#This Row],[Remise]]</f>
        <v>9.4510000000000005</v>
      </c>
    </row>
    <row r="239" spans="1:13" x14ac:dyDescent="0.35">
      <c r="A239" s="1" t="s">
        <v>314</v>
      </c>
      <c r="B239" s="1" t="s">
        <v>320</v>
      </c>
      <c r="C239" s="1" t="s">
        <v>72</v>
      </c>
      <c r="D239">
        <v>41</v>
      </c>
      <c r="E239" s="1" t="s">
        <v>13</v>
      </c>
      <c r="F239" s="17">
        <v>474</v>
      </c>
      <c r="G239">
        <v>54.03</v>
      </c>
      <c r="H239">
        <v>4</v>
      </c>
      <c r="I239" t="str">
        <f t="shared" si="3"/>
        <v>B2C</v>
      </c>
      <c r="J239" s="19">
        <f>CLIENT[[#This Row],[Duree_Cumulee_Panne_Min]]/1440</f>
        <v>0.32916666666666666</v>
      </c>
      <c r="K239" s="17">
        <f>CLIENT[[#This Row],[Anciennete_Mois]]/12</f>
        <v>3.4166666666666665</v>
      </c>
      <c r="L2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39" s="18">
        <f>CLIENT[[#This Row],[Facture_Mensuelle]]*CLIENT[[#This Row],[Remise]]</f>
        <v>24.313500000000001</v>
      </c>
    </row>
    <row r="240" spans="1:13" x14ac:dyDescent="0.35">
      <c r="A240" s="1" t="s">
        <v>314</v>
      </c>
      <c r="B240" s="1" t="s">
        <v>354</v>
      </c>
      <c r="C240" s="1" t="s">
        <v>122</v>
      </c>
      <c r="D240">
        <v>5</v>
      </c>
      <c r="E240" s="1" t="s">
        <v>21</v>
      </c>
      <c r="F240" s="17">
        <v>337</v>
      </c>
      <c r="G240">
        <v>21.07</v>
      </c>
      <c r="H240">
        <v>4</v>
      </c>
      <c r="I240" t="str">
        <f t="shared" si="3"/>
        <v>B2C</v>
      </c>
      <c r="J240" s="19">
        <f>CLIENT[[#This Row],[Duree_Cumulee_Panne_Min]]/1440</f>
        <v>0.23402777777777778</v>
      </c>
      <c r="K240" s="17">
        <f>CLIENT[[#This Row],[Anciennete_Mois]]/12</f>
        <v>0.41666666666666669</v>
      </c>
      <c r="L2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0" s="18">
        <f>CLIENT[[#This Row],[Facture_Mensuelle]]*CLIENT[[#This Row],[Remise]]</f>
        <v>9.4815000000000005</v>
      </c>
    </row>
    <row r="241" spans="1:13" x14ac:dyDescent="0.35">
      <c r="A241" s="1" t="s">
        <v>129</v>
      </c>
      <c r="B241" s="1" t="s">
        <v>159</v>
      </c>
      <c r="C241" s="1" t="s">
        <v>83</v>
      </c>
      <c r="D241">
        <v>118</v>
      </c>
      <c r="E241" s="1" t="s">
        <v>21</v>
      </c>
      <c r="F241" s="17">
        <v>430</v>
      </c>
      <c r="G241">
        <v>36.97</v>
      </c>
      <c r="H241">
        <v>2</v>
      </c>
      <c r="I241" t="str">
        <f t="shared" si="3"/>
        <v>B2C</v>
      </c>
      <c r="J241" s="19">
        <f>CLIENT[[#This Row],[Duree_Cumulee_Panne_Min]]/1440</f>
        <v>0.2986111111111111</v>
      </c>
      <c r="K241" s="17">
        <f>CLIENT[[#This Row],[Anciennete_Mois]]/12</f>
        <v>9.8333333333333339</v>
      </c>
      <c r="L2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1" s="18">
        <f>CLIENT[[#This Row],[Facture_Mensuelle]]*CLIENT[[#This Row],[Remise]]</f>
        <v>16.636500000000002</v>
      </c>
    </row>
    <row r="242" spans="1:13" x14ac:dyDescent="0.35">
      <c r="A242" s="1" t="s">
        <v>496</v>
      </c>
      <c r="B242" s="1" t="s">
        <v>538</v>
      </c>
      <c r="C242" s="1" t="s">
        <v>48</v>
      </c>
      <c r="D242">
        <v>53</v>
      </c>
      <c r="E242" s="1" t="s">
        <v>10</v>
      </c>
      <c r="F242" s="17">
        <v>243</v>
      </c>
      <c r="G242">
        <v>55.19</v>
      </c>
      <c r="H242">
        <v>4</v>
      </c>
      <c r="I242" t="str">
        <f t="shared" si="3"/>
        <v>B2B</v>
      </c>
      <c r="J242" s="19">
        <f>CLIENT[[#This Row],[Duree_Cumulee_Panne_Min]]/1440</f>
        <v>0.16875000000000001</v>
      </c>
      <c r="K242" s="17">
        <f>CLIENT[[#This Row],[Anciennete_Mois]]/12</f>
        <v>4.416666666666667</v>
      </c>
      <c r="L2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2" s="18">
        <f>CLIENT[[#This Row],[Facture_Mensuelle]]*CLIENT[[#This Row],[Remise]]</f>
        <v>24.8355</v>
      </c>
    </row>
    <row r="243" spans="1:13" x14ac:dyDescent="0.35">
      <c r="A243" s="1" t="s">
        <v>129</v>
      </c>
      <c r="B243" s="1" t="s">
        <v>172</v>
      </c>
      <c r="C243" s="1" t="s">
        <v>61</v>
      </c>
      <c r="D243">
        <v>95</v>
      </c>
      <c r="E243" s="1" t="s">
        <v>13</v>
      </c>
      <c r="F243" s="17">
        <v>95</v>
      </c>
      <c r="G243">
        <v>82.65</v>
      </c>
      <c r="H243">
        <v>2</v>
      </c>
      <c r="I243" t="str">
        <f t="shared" si="3"/>
        <v>B2C</v>
      </c>
      <c r="J243" s="19">
        <f>CLIENT[[#This Row],[Duree_Cumulee_Panne_Min]]/1440</f>
        <v>6.5972222222222224E-2</v>
      </c>
      <c r="K243" s="17">
        <f>CLIENT[[#This Row],[Anciennete_Mois]]/12</f>
        <v>7.916666666666667</v>
      </c>
      <c r="L2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43" s="18">
        <f>CLIENT[[#This Row],[Facture_Mensuelle]]*CLIENT[[#This Row],[Remise]]</f>
        <v>0</v>
      </c>
    </row>
    <row r="244" spans="1:13" x14ac:dyDescent="0.35">
      <c r="A244" s="1" t="s">
        <v>79</v>
      </c>
      <c r="B244" s="1" t="s">
        <v>106</v>
      </c>
      <c r="C244" s="1" t="s">
        <v>61</v>
      </c>
      <c r="D244">
        <v>83</v>
      </c>
      <c r="E244" s="1" t="s">
        <v>21</v>
      </c>
      <c r="F244" s="17">
        <v>14</v>
      </c>
      <c r="G244">
        <v>58.07</v>
      </c>
      <c r="H244">
        <v>3</v>
      </c>
      <c r="I244" t="str">
        <f t="shared" si="3"/>
        <v>B2B</v>
      </c>
      <c r="J244" s="19">
        <f>CLIENT[[#This Row],[Duree_Cumulee_Panne_Min]]/1440</f>
        <v>9.7222222222222224E-3</v>
      </c>
      <c r="K244" s="17">
        <f>CLIENT[[#This Row],[Anciennete_Mois]]/12</f>
        <v>6.916666666666667</v>
      </c>
      <c r="L2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44" s="18">
        <f>CLIENT[[#This Row],[Facture_Mensuelle]]*CLIENT[[#This Row],[Remise]]</f>
        <v>5.8070000000000004</v>
      </c>
    </row>
    <row r="245" spans="1:13" x14ac:dyDescent="0.35">
      <c r="A245" s="1" t="s">
        <v>640</v>
      </c>
      <c r="B245" s="1" t="s">
        <v>680</v>
      </c>
      <c r="C245" s="1" t="s">
        <v>24</v>
      </c>
      <c r="D245">
        <v>35</v>
      </c>
      <c r="E245" s="1" t="s">
        <v>13</v>
      </c>
      <c r="F245" s="17">
        <v>299</v>
      </c>
      <c r="G245">
        <v>96.32</v>
      </c>
      <c r="H245">
        <v>4</v>
      </c>
      <c r="I245" t="str">
        <f t="shared" si="3"/>
        <v>B2C</v>
      </c>
      <c r="J245" s="19">
        <f>CLIENT[[#This Row],[Duree_Cumulee_Panne_Min]]/1440</f>
        <v>0.2076388888888889</v>
      </c>
      <c r="K245" s="17">
        <f>CLIENT[[#This Row],[Anciennete_Mois]]/12</f>
        <v>2.9166666666666665</v>
      </c>
      <c r="L2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5" s="18">
        <f>CLIENT[[#This Row],[Facture_Mensuelle]]*CLIENT[[#This Row],[Remise]]</f>
        <v>43.344000000000001</v>
      </c>
    </row>
    <row r="246" spans="1:13" x14ac:dyDescent="0.35">
      <c r="A246" s="1" t="s">
        <v>174</v>
      </c>
      <c r="B246" s="1" t="s">
        <v>175</v>
      </c>
      <c r="C246" s="1" t="s">
        <v>29</v>
      </c>
      <c r="D246">
        <v>97</v>
      </c>
      <c r="E246" s="1" t="s">
        <v>18</v>
      </c>
      <c r="F246" s="17">
        <v>484</v>
      </c>
      <c r="G246">
        <v>61.98</v>
      </c>
      <c r="H246">
        <v>1</v>
      </c>
      <c r="I246" t="str">
        <f t="shared" si="3"/>
        <v>B2C</v>
      </c>
      <c r="J246" s="19">
        <f>CLIENT[[#This Row],[Duree_Cumulee_Panne_Min]]/1440</f>
        <v>0.33611111111111114</v>
      </c>
      <c r="K246" s="17">
        <f>CLIENT[[#This Row],[Anciennete_Mois]]/12</f>
        <v>8.0833333333333339</v>
      </c>
      <c r="L2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6" s="18">
        <f>CLIENT[[#This Row],[Facture_Mensuelle]]*CLIENT[[#This Row],[Remise]]</f>
        <v>27.890999999999998</v>
      </c>
    </row>
    <row r="247" spans="1:13" x14ac:dyDescent="0.35">
      <c r="A247" s="1" t="s">
        <v>267</v>
      </c>
      <c r="B247" s="1" t="s">
        <v>273</v>
      </c>
      <c r="C247" s="1" t="s">
        <v>41</v>
      </c>
      <c r="D247">
        <v>76</v>
      </c>
      <c r="E247" s="1" t="s">
        <v>21</v>
      </c>
      <c r="F247" s="17">
        <v>383</v>
      </c>
      <c r="G247">
        <v>53.73</v>
      </c>
      <c r="H247">
        <v>2</v>
      </c>
      <c r="I247" t="str">
        <f t="shared" si="3"/>
        <v>B2C</v>
      </c>
      <c r="J247" s="19">
        <f>CLIENT[[#This Row],[Duree_Cumulee_Panne_Min]]/1440</f>
        <v>0.26597222222222222</v>
      </c>
      <c r="K247" s="17">
        <f>CLIENT[[#This Row],[Anciennete_Mois]]/12</f>
        <v>6.333333333333333</v>
      </c>
      <c r="L2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7" s="18">
        <f>CLIENT[[#This Row],[Facture_Mensuelle]]*CLIENT[[#This Row],[Remise]]</f>
        <v>24.1785</v>
      </c>
    </row>
    <row r="248" spans="1:13" x14ac:dyDescent="0.35">
      <c r="A248" s="1" t="s">
        <v>453</v>
      </c>
      <c r="B248" s="1" t="s">
        <v>477</v>
      </c>
      <c r="C248" s="1" t="s">
        <v>122</v>
      </c>
      <c r="D248">
        <v>10</v>
      </c>
      <c r="E248" s="1" t="s">
        <v>10</v>
      </c>
      <c r="F248" s="17">
        <v>425</v>
      </c>
      <c r="G248">
        <v>85.75</v>
      </c>
      <c r="H248">
        <v>0</v>
      </c>
      <c r="I248" t="str">
        <f t="shared" si="3"/>
        <v>B2B</v>
      </c>
      <c r="J248" s="19">
        <f>CLIENT[[#This Row],[Duree_Cumulee_Panne_Min]]/1440</f>
        <v>0.2951388888888889</v>
      </c>
      <c r="K248" s="17">
        <f>CLIENT[[#This Row],[Anciennete_Mois]]/12</f>
        <v>0.83333333333333337</v>
      </c>
      <c r="L2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8" s="18">
        <f>CLIENT[[#This Row],[Facture_Mensuelle]]*CLIENT[[#This Row],[Remise]]</f>
        <v>38.587499999999999</v>
      </c>
    </row>
    <row r="249" spans="1:13" x14ac:dyDescent="0.35">
      <c r="A249" s="1" t="s">
        <v>360</v>
      </c>
      <c r="B249" s="1" t="s">
        <v>379</v>
      </c>
      <c r="C249" s="1" t="s">
        <v>31</v>
      </c>
      <c r="D249">
        <v>68</v>
      </c>
      <c r="E249" s="1" t="s">
        <v>13</v>
      </c>
      <c r="F249" s="17">
        <v>462</v>
      </c>
      <c r="G249">
        <v>41.91</v>
      </c>
      <c r="H249">
        <v>1</v>
      </c>
      <c r="I249" t="str">
        <f t="shared" si="3"/>
        <v>B2C</v>
      </c>
      <c r="J249" s="19">
        <f>CLIENT[[#This Row],[Duree_Cumulee_Panne_Min]]/1440</f>
        <v>0.32083333333333336</v>
      </c>
      <c r="K249" s="17">
        <f>CLIENT[[#This Row],[Anciennete_Mois]]/12</f>
        <v>5.666666666666667</v>
      </c>
      <c r="L2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49" s="18">
        <f>CLIENT[[#This Row],[Facture_Mensuelle]]*CLIENT[[#This Row],[Remise]]</f>
        <v>18.859500000000001</v>
      </c>
    </row>
    <row r="250" spans="1:13" x14ac:dyDescent="0.35">
      <c r="A250" s="1" t="s">
        <v>8</v>
      </c>
      <c r="B250" s="1" t="s">
        <v>73</v>
      </c>
      <c r="C250" s="1" t="s">
        <v>9</v>
      </c>
      <c r="D250">
        <v>16</v>
      </c>
      <c r="E250" s="1" t="s">
        <v>18</v>
      </c>
      <c r="F250" s="17">
        <v>43</v>
      </c>
      <c r="G250">
        <v>56.48</v>
      </c>
      <c r="H250">
        <v>0</v>
      </c>
      <c r="I250" t="str">
        <f t="shared" si="3"/>
        <v>B2B</v>
      </c>
      <c r="J250" s="19">
        <f>CLIENT[[#This Row],[Duree_Cumulee_Panne_Min]]/1440</f>
        <v>2.9861111111111113E-2</v>
      </c>
      <c r="K250" s="17">
        <f>CLIENT[[#This Row],[Anciennete_Mois]]/12</f>
        <v>1.3333333333333333</v>
      </c>
      <c r="L2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50" s="18">
        <f>CLIENT[[#This Row],[Facture_Mensuelle]]*CLIENT[[#This Row],[Remise]]</f>
        <v>5.6479999999999997</v>
      </c>
    </row>
    <row r="251" spans="1:13" x14ac:dyDescent="0.35">
      <c r="A251" s="1" t="s">
        <v>314</v>
      </c>
      <c r="B251" s="1" t="s">
        <v>350</v>
      </c>
      <c r="C251" s="1" t="s">
        <v>83</v>
      </c>
      <c r="D251">
        <v>109</v>
      </c>
      <c r="E251" s="1" t="s">
        <v>13</v>
      </c>
      <c r="F251" s="17">
        <v>397</v>
      </c>
      <c r="G251">
        <v>63.92</v>
      </c>
      <c r="H251">
        <v>1</v>
      </c>
      <c r="I251" t="str">
        <f t="shared" si="3"/>
        <v>B2B</v>
      </c>
      <c r="J251" s="19">
        <f>CLIENT[[#This Row],[Duree_Cumulee_Panne_Min]]/1440</f>
        <v>0.27569444444444446</v>
      </c>
      <c r="K251" s="17">
        <f>CLIENT[[#This Row],[Anciennete_Mois]]/12</f>
        <v>9.0833333333333339</v>
      </c>
      <c r="L2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51" s="18">
        <f>CLIENT[[#This Row],[Facture_Mensuelle]]*CLIENT[[#This Row],[Remise]]</f>
        <v>28.764000000000003</v>
      </c>
    </row>
    <row r="252" spans="1:13" x14ac:dyDescent="0.35">
      <c r="A252" s="1" t="s">
        <v>685</v>
      </c>
      <c r="B252" s="1" t="s">
        <v>695</v>
      </c>
      <c r="C252" s="1" t="s">
        <v>83</v>
      </c>
      <c r="D252">
        <v>96</v>
      </c>
      <c r="E252" s="1" t="s">
        <v>13</v>
      </c>
      <c r="F252" s="17">
        <v>280</v>
      </c>
      <c r="G252">
        <v>80.36</v>
      </c>
      <c r="H252">
        <v>5</v>
      </c>
      <c r="I252" t="str">
        <f t="shared" si="3"/>
        <v>B2C</v>
      </c>
      <c r="J252" s="19">
        <f>CLIENT[[#This Row],[Duree_Cumulee_Panne_Min]]/1440</f>
        <v>0.19444444444444445</v>
      </c>
      <c r="K252" s="17">
        <f>CLIENT[[#This Row],[Anciennete_Mois]]/12</f>
        <v>8</v>
      </c>
      <c r="L2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52" s="18">
        <f>CLIENT[[#This Row],[Facture_Mensuelle]]*CLIENT[[#This Row],[Remise]]</f>
        <v>36.161999999999999</v>
      </c>
    </row>
    <row r="253" spans="1:13" x14ac:dyDescent="0.35">
      <c r="A253" s="1" t="s">
        <v>220</v>
      </c>
      <c r="B253" s="1" t="s">
        <v>237</v>
      </c>
      <c r="C253" s="1" t="s">
        <v>83</v>
      </c>
      <c r="D253">
        <v>25</v>
      </c>
      <c r="E253" s="1" t="s">
        <v>18</v>
      </c>
      <c r="F253" s="17">
        <v>33</v>
      </c>
      <c r="G253">
        <v>30.93</v>
      </c>
      <c r="H253">
        <v>1</v>
      </c>
      <c r="I253" t="str">
        <f t="shared" si="3"/>
        <v>B2C</v>
      </c>
      <c r="J253" s="19">
        <f>CLIENT[[#This Row],[Duree_Cumulee_Panne_Min]]/1440</f>
        <v>2.2916666666666665E-2</v>
      </c>
      <c r="K253" s="17">
        <f>CLIENT[[#This Row],[Anciennete_Mois]]/12</f>
        <v>2.0833333333333335</v>
      </c>
      <c r="L2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53" s="18">
        <f>CLIENT[[#This Row],[Facture_Mensuelle]]*CLIENT[[#This Row],[Remise]]</f>
        <v>0</v>
      </c>
    </row>
    <row r="254" spans="1:13" x14ac:dyDescent="0.35">
      <c r="A254" s="1" t="s">
        <v>267</v>
      </c>
      <c r="B254" s="1" t="s">
        <v>291</v>
      </c>
      <c r="C254" s="1" t="s">
        <v>33</v>
      </c>
      <c r="D254">
        <v>45</v>
      </c>
      <c r="E254" s="1" t="s">
        <v>21</v>
      </c>
      <c r="F254" s="17">
        <v>43</v>
      </c>
      <c r="G254">
        <v>12.31</v>
      </c>
      <c r="H254">
        <v>0</v>
      </c>
      <c r="I254" t="str">
        <f t="shared" si="3"/>
        <v>B2C</v>
      </c>
      <c r="J254" s="19">
        <f>CLIENT[[#This Row],[Duree_Cumulee_Panne_Min]]/1440</f>
        <v>2.9861111111111113E-2</v>
      </c>
      <c r="K254" s="17">
        <f>CLIENT[[#This Row],[Anciennete_Mois]]/12</f>
        <v>3.75</v>
      </c>
      <c r="L2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54" s="18">
        <f>CLIENT[[#This Row],[Facture_Mensuelle]]*CLIENT[[#This Row],[Remise]]</f>
        <v>0</v>
      </c>
    </row>
    <row r="255" spans="1:13" x14ac:dyDescent="0.35">
      <c r="A255" s="1" t="s">
        <v>496</v>
      </c>
      <c r="B255" s="1" t="s">
        <v>518</v>
      </c>
      <c r="C255" s="1" t="s">
        <v>122</v>
      </c>
      <c r="D255">
        <v>63</v>
      </c>
      <c r="E255" s="1" t="s">
        <v>21</v>
      </c>
      <c r="F255" s="17">
        <v>109</v>
      </c>
      <c r="G255">
        <v>10.33</v>
      </c>
      <c r="H255">
        <v>3</v>
      </c>
      <c r="I255" t="str">
        <f t="shared" si="3"/>
        <v>B2C</v>
      </c>
      <c r="J255" s="19">
        <f>CLIENT[[#This Row],[Duree_Cumulee_Panne_Min]]/1440</f>
        <v>7.5694444444444439E-2</v>
      </c>
      <c r="K255" s="17">
        <f>CLIENT[[#This Row],[Anciennete_Mois]]/12</f>
        <v>5.25</v>
      </c>
      <c r="L2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55" s="18">
        <f>CLIENT[[#This Row],[Facture_Mensuelle]]*CLIENT[[#This Row],[Remise]]</f>
        <v>0</v>
      </c>
    </row>
    <row r="256" spans="1:13" x14ac:dyDescent="0.35">
      <c r="A256" s="1" t="s">
        <v>591</v>
      </c>
      <c r="B256" s="1" t="s">
        <v>637</v>
      </c>
      <c r="C256" s="1" t="s">
        <v>54</v>
      </c>
      <c r="D256">
        <v>41</v>
      </c>
      <c r="E256" s="1" t="s">
        <v>21</v>
      </c>
      <c r="F256" s="17">
        <v>90</v>
      </c>
      <c r="G256">
        <v>97.26</v>
      </c>
      <c r="H256">
        <v>1</v>
      </c>
      <c r="I256" t="str">
        <f t="shared" si="3"/>
        <v>B2C</v>
      </c>
      <c r="J256" s="19">
        <f>CLIENT[[#This Row],[Duree_Cumulee_Panne_Min]]/1440</f>
        <v>6.25E-2</v>
      </c>
      <c r="K256" s="17">
        <f>CLIENT[[#This Row],[Anciennete_Mois]]/12</f>
        <v>3.4166666666666665</v>
      </c>
      <c r="L2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56" s="18">
        <f>CLIENT[[#This Row],[Facture_Mensuelle]]*CLIENT[[#This Row],[Remise]]</f>
        <v>0</v>
      </c>
    </row>
    <row r="257" spans="1:13" x14ac:dyDescent="0.35">
      <c r="A257" s="1" t="s">
        <v>174</v>
      </c>
      <c r="B257" s="1" t="s">
        <v>192</v>
      </c>
      <c r="C257" s="1" t="s">
        <v>59</v>
      </c>
      <c r="D257">
        <v>35</v>
      </c>
      <c r="E257" s="1" t="s">
        <v>21</v>
      </c>
      <c r="F257" s="17">
        <v>107</v>
      </c>
      <c r="G257">
        <v>66.69</v>
      </c>
      <c r="H257">
        <v>4</v>
      </c>
      <c r="I257" t="str">
        <f t="shared" si="3"/>
        <v>B2C</v>
      </c>
      <c r="J257" s="19">
        <f>CLIENT[[#This Row],[Duree_Cumulee_Panne_Min]]/1440</f>
        <v>7.4305555555555555E-2</v>
      </c>
      <c r="K257" s="17">
        <f>CLIENT[[#This Row],[Anciennete_Mois]]/12</f>
        <v>2.9166666666666665</v>
      </c>
      <c r="L2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57" s="18">
        <f>CLIENT[[#This Row],[Facture_Mensuelle]]*CLIENT[[#This Row],[Remise]]</f>
        <v>0</v>
      </c>
    </row>
    <row r="258" spans="1:13" x14ac:dyDescent="0.35">
      <c r="A258" s="1" t="s">
        <v>8</v>
      </c>
      <c r="B258" s="1" t="s">
        <v>65</v>
      </c>
      <c r="C258" s="1" t="s">
        <v>27</v>
      </c>
      <c r="D258">
        <v>106</v>
      </c>
      <c r="E258" s="1" t="s">
        <v>18</v>
      </c>
      <c r="F258" s="17">
        <v>400</v>
      </c>
      <c r="G258">
        <v>70.02</v>
      </c>
      <c r="H258">
        <v>4</v>
      </c>
      <c r="I258" t="str">
        <f t="shared" ref="I258:I321" si="4">IF(E259="Pro Monde","B2B","B2C")</f>
        <v>B2C</v>
      </c>
      <c r="J258" s="19">
        <f>CLIENT[[#This Row],[Duree_Cumulee_Panne_Min]]/1440</f>
        <v>0.27777777777777779</v>
      </c>
      <c r="K258" s="17">
        <f>CLIENT[[#This Row],[Anciennete_Mois]]/12</f>
        <v>8.8333333333333339</v>
      </c>
      <c r="L2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58" s="18">
        <f>CLIENT[[#This Row],[Facture_Mensuelle]]*CLIENT[[#This Row],[Remise]]</f>
        <v>31.509</v>
      </c>
    </row>
    <row r="259" spans="1:13" x14ac:dyDescent="0.35">
      <c r="A259" s="1" t="s">
        <v>79</v>
      </c>
      <c r="B259" s="1" t="s">
        <v>121</v>
      </c>
      <c r="C259" s="1" t="s">
        <v>122</v>
      </c>
      <c r="D259">
        <v>16</v>
      </c>
      <c r="E259" s="1" t="s">
        <v>18</v>
      </c>
      <c r="F259" s="17">
        <v>390</v>
      </c>
      <c r="G259">
        <v>98.17</v>
      </c>
      <c r="H259">
        <v>5</v>
      </c>
      <c r="I259" t="str">
        <f t="shared" si="4"/>
        <v>B2C</v>
      </c>
      <c r="J259" s="19">
        <f>CLIENT[[#This Row],[Duree_Cumulee_Panne_Min]]/1440</f>
        <v>0.27083333333333331</v>
      </c>
      <c r="K259" s="17">
        <f>CLIENT[[#This Row],[Anciennete_Mois]]/12</f>
        <v>1.3333333333333333</v>
      </c>
      <c r="L2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59" s="18">
        <f>CLIENT[[#This Row],[Facture_Mensuelle]]*CLIENT[[#This Row],[Remise]]</f>
        <v>44.176500000000004</v>
      </c>
    </row>
    <row r="260" spans="1:13" x14ac:dyDescent="0.35">
      <c r="A260" s="1" t="s">
        <v>220</v>
      </c>
      <c r="B260" s="1" t="s">
        <v>255</v>
      </c>
      <c r="C260" s="1" t="s">
        <v>57</v>
      </c>
      <c r="D260">
        <v>92</v>
      </c>
      <c r="E260" s="1" t="s">
        <v>18</v>
      </c>
      <c r="F260" s="17">
        <v>472</v>
      </c>
      <c r="G260">
        <v>78.44</v>
      </c>
      <c r="H260">
        <v>1</v>
      </c>
      <c r="I260" t="str">
        <f t="shared" si="4"/>
        <v>B2C</v>
      </c>
      <c r="J260" s="19">
        <f>CLIENT[[#This Row],[Duree_Cumulee_Panne_Min]]/1440</f>
        <v>0.32777777777777778</v>
      </c>
      <c r="K260" s="17">
        <f>CLIENT[[#This Row],[Anciennete_Mois]]/12</f>
        <v>7.666666666666667</v>
      </c>
      <c r="L2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0" s="18">
        <f>CLIENT[[#This Row],[Facture_Mensuelle]]*CLIENT[[#This Row],[Remise]]</f>
        <v>35.298000000000002</v>
      </c>
    </row>
    <row r="261" spans="1:13" x14ac:dyDescent="0.35">
      <c r="A261" s="1" t="s">
        <v>174</v>
      </c>
      <c r="B261" s="1" t="s">
        <v>202</v>
      </c>
      <c r="C261" s="1" t="s">
        <v>59</v>
      </c>
      <c r="D261">
        <v>115</v>
      </c>
      <c r="E261" s="1" t="s">
        <v>18</v>
      </c>
      <c r="F261" s="17">
        <v>236</v>
      </c>
      <c r="G261">
        <v>50.64</v>
      </c>
      <c r="H261">
        <v>1</v>
      </c>
      <c r="I261" t="str">
        <f t="shared" si="4"/>
        <v>B2C</v>
      </c>
      <c r="J261" s="19">
        <f>CLIENT[[#This Row],[Duree_Cumulee_Panne_Min]]/1440</f>
        <v>0.16388888888888889</v>
      </c>
      <c r="K261" s="17">
        <f>CLIENT[[#This Row],[Anciennete_Mois]]/12</f>
        <v>9.5833333333333339</v>
      </c>
      <c r="L2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61" s="18">
        <f>CLIENT[[#This Row],[Facture_Mensuelle]]*CLIENT[[#This Row],[Remise]]</f>
        <v>0</v>
      </c>
    </row>
    <row r="262" spans="1:13" x14ac:dyDescent="0.35">
      <c r="A262" s="1" t="s">
        <v>267</v>
      </c>
      <c r="B262" s="1" t="s">
        <v>270</v>
      </c>
      <c r="C262" s="1" t="s">
        <v>17</v>
      </c>
      <c r="D262">
        <v>63</v>
      </c>
      <c r="E262" s="1" t="s">
        <v>21</v>
      </c>
      <c r="F262" s="17">
        <v>95</v>
      </c>
      <c r="G262">
        <v>56.81</v>
      </c>
      <c r="H262">
        <v>0</v>
      </c>
      <c r="I262" t="str">
        <f t="shared" si="4"/>
        <v>B2C</v>
      </c>
      <c r="J262" s="19">
        <f>CLIENT[[#This Row],[Duree_Cumulee_Panne_Min]]/1440</f>
        <v>6.5972222222222224E-2</v>
      </c>
      <c r="K262" s="17">
        <f>CLIENT[[#This Row],[Anciennete_Mois]]/12</f>
        <v>5.25</v>
      </c>
      <c r="L2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62" s="18">
        <f>CLIENT[[#This Row],[Facture_Mensuelle]]*CLIENT[[#This Row],[Remise]]</f>
        <v>0</v>
      </c>
    </row>
    <row r="263" spans="1:13" x14ac:dyDescent="0.35">
      <c r="A263" s="1" t="s">
        <v>685</v>
      </c>
      <c r="B263" s="1" t="s">
        <v>688</v>
      </c>
      <c r="C263" s="1" t="s">
        <v>37</v>
      </c>
      <c r="D263">
        <v>119</v>
      </c>
      <c r="E263" s="1" t="s">
        <v>18</v>
      </c>
      <c r="F263" s="17">
        <v>133</v>
      </c>
      <c r="G263">
        <v>30.27</v>
      </c>
      <c r="H263">
        <v>5</v>
      </c>
      <c r="I263" t="str">
        <f t="shared" si="4"/>
        <v>B2C</v>
      </c>
      <c r="J263" s="19">
        <f>CLIENT[[#This Row],[Duree_Cumulee_Panne_Min]]/1440</f>
        <v>9.2361111111111116E-2</v>
      </c>
      <c r="K263" s="17">
        <f>CLIENT[[#This Row],[Anciennete_Mois]]/12</f>
        <v>9.9166666666666661</v>
      </c>
      <c r="L2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63" s="18">
        <f>CLIENT[[#This Row],[Facture_Mensuelle]]*CLIENT[[#This Row],[Remise]]</f>
        <v>0</v>
      </c>
    </row>
    <row r="264" spans="1:13" x14ac:dyDescent="0.35">
      <c r="A264" s="1" t="s">
        <v>453</v>
      </c>
      <c r="B264" s="1" t="s">
        <v>466</v>
      </c>
      <c r="C264" s="1" t="s">
        <v>61</v>
      </c>
      <c r="D264">
        <v>14</v>
      </c>
      <c r="E264" s="1" t="s">
        <v>21</v>
      </c>
      <c r="F264" s="17">
        <v>304</v>
      </c>
      <c r="G264">
        <v>48.13</v>
      </c>
      <c r="H264">
        <v>2</v>
      </c>
      <c r="I264" t="str">
        <f t="shared" si="4"/>
        <v>B2C</v>
      </c>
      <c r="J264" s="19">
        <f>CLIENT[[#This Row],[Duree_Cumulee_Panne_Min]]/1440</f>
        <v>0.21111111111111111</v>
      </c>
      <c r="K264" s="17">
        <f>CLIENT[[#This Row],[Anciennete_Mois]]/12</f>
        <v>1.1666666666666667</v>
      </c>
      <c r="L2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4" s="18">
        <f>CLIENT[[#This Row],[Facture_Mensuelle]]*CLIENT[[#This Row],[Remise]]</f>
        <v>21.6585</v>
      </c>
    </row>
    <row r="265" spans="1:13" x14ac:dyDescent="0.35">
      <c r="A265" s="1" t="s">
        <v>685</v>
      </c>
      <c r="B265" s="1" t="s">
        <v>709</v>
      </c>
      <c r="C265" s="1" t="s">
        <v>37</v>
      </c>
      <c r="D265">
        <v>18</v>
      </c>
      <c r="E265" s="1" t="s">
        <v>18</v>
      </c>
      <c r="F265" s="17">
        <v>463</v>
      </c>
      <c r="G265">
        <v>41.66</v>
      </c>
      <c r="H265">
        <v>4</v>
      </c>
      <c r="I265" t="str">
        <f t="shared" si="4"/>
        <v>B2C</v>
      </c>
      <c r="J265" s="19">
        <f>CLIENT[[#This Row],[Duree_Cumulee_Panne_Min]]/1440</f>
        <v>0.3215277777777778</v>
      </c>
      <c r="K265" s="17">
        <f>CLIENT[[#This Row],[Anciennete_Mois]]/12</f>
        <v>1.5</v>
      </c>
      <c r="L2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5" s="18">
        <f>CLIENT[[#This Row],[Facture_Mensuelle]]*CLIENT[[#This Row],[Remise]]</f>
        <v>18.747</v>
      </c>
    </row>
    <row r="266" spans="1:13" x14ac:dyDescent="0.35">
      <c r="A266" s="1" t="s">
        <v>314</v>
      </c>
      <c r="B266" s="1" t="s">
        <v>330</v>
      </c>
      <c r="C266" s="1" t="s">
        <v>17</v>
      </c>
      <c r="D266">
        <v>76</v>
      </c>
      <c r="E266" s="1" t="s">
        <v>21</v>
      </c>
      <c r="F266" s="17">
        <v>332</v>
      </c>
      <c r="G266">
        <v>68.010000000000005</v>
      </c>
      <c r="H266">
        <v>4</v>
      </c>
      <c r="I266" t="str">
        <f t="shared" si="4"/>
        <v>B2C</v>
      </c>
      <c r="J266" s="19">
        <f>CLIENT[[#This Row],[Duree_Cumulee_Panne_Min]]/1440</f>
        <v>0.23055555555555557</v>
      </c>
      <c r="K266" s="17">
        <f>CLIENT[[#This Row],[Anciennete_Mois]]/12</f>
        <v>6.333333333333333</v>
      </c>
      <c r="L2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6" s="18">
        <f>CLIENT[[#This Row],[Facture_Mensuelle]]*CLIENT[[#This Row],[Remise]]</f>
        <v>30.604500000000002</v>
      </c>
    </row>
    <row r="267" spans="1:13" x14ac:dyDescent="0.35">
      <c r="A267" s="1" t="s">
        <v>174</v>
      </c>
      <c r="B267" s="1" t="s">
        <v>215</v>
      </c>
      <c r="C267" s="1" t="s">
        <v>29</v>
      </c>
      <c r="D267">
        <v>48</v>
      </c>
      <c r="E267" s="1" t="s">
        <v>18</v>
      </c>
      <c r="F267" s="17">
        <v>436</v>
      </c>
      <c r="G267">
        <v>15.17</v>
      </c>
      <c r="H267">
        <v>0</v>
      </c>
      <c r="I267" t="str">
        <f t="shared" si="4"/>
        <v>B2B</v>
      </c>
      <c r="J267" s="19">
        <f>CLIENT[[#This Row],[Duree_Cumulee_Panne_Min]]/1440</f>
        <v>0.30277777777777776</v>
      </c>
      <c r="K267" s="17">
        <f>CLIENT[[#This Row],[Anciennete_Mois]]/12</f>
        <v>4</v>
      </c>
      <c r="L2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7" s="18">
        <f>CLIENT[[#This Row],[Facture_Mensuelle]]*CLIENT[[#This Row],[Remise]]</f>
        <v>6.8265000000000002</v>
      </c>
    </row>
    <row r="268" spans="1:13" x14ac:dyDescent="0.35">
      <c r="A268" s="1" t="s">
        <v>8</v>
      </c>
      <c r="B268" s="1" t="s">
        <v>14</v>
      </c>
      <c r="C268" s="1" t="s">
        <v>15</v>
      </c>
      <c r="D268">
        <v>34</v>
      </c>
      <c r="E268" s="1" t="s">
        <v>13</v>
      </c>
      <c r="F268" s="17">
        <v>453</v>
      </c>
      <c r="G268">
        <v>56.84</v>
      </c>
      <c r="H268">
        <v>0</v>
      </c>
      <c r="I268" t="str">
        <f t="shared" si="4"/>
        <v>B2C</v>
      </c>
      <c r="J268" s="19">
        <f>CLIENT[[#This Row],[Duree_Cumulee_Panne_Min]]/1440</f>
        <v>0.31458333333333333</v>
      </c>
      <c r="K268" s="17">
        <f>CLIENT[[#This Row],[Anciennete_Mois]]/12</f>
        <v>2.8333333333333335</v>
      </c>
      <c r="L2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68" s="18">
        <f>CLIENT[[#This Row],[Facture_Mensuelle]]*CLIENT[[#This Row],[Remise]]</f>
        <v>25.578000000000003</v>
      </c>
    </row>
    <row r="269" spans="1:13" x14ac:dyDescent="0.35">
      <c r="A269" s="1" t="s">
        <v>174</v>
      </c>
      <c r="B269" s="1" t="s">
        <v>206</v>
      </c>
      <c r="C269" s="1" t="s">
        <v>41</v>
      </c>
      <c r="D269">
        <v>31</v>
      </c>
      <c r="E269" s="1" t="s">
        <v>18</v>
      </c>
      <c r="F269" s="17">
        <v>160</v>
      </c>
      <c r="G269">
        <v>59.76</v>
      </c>
      <c r="H269">
        <v>4</v>
      </c>
      <c r="I269" t="str">
        <f t="shared" si="4"/>
        <v>B2C</v>
      </c>
      <c r="J269" s="19">
        <f>CLIENT[[#This Row],[Duree_Cumulee_Panne_Min]]/1440</f>
        <v>0.1111111111111111</v>
      </c>
      <c r="K269" s="17">
        <f>CLIENT[[#This Row],[Anciennete_Mois]]/12</f>
        <v>2.5833333333333335</v>
      </c>
      <c r="L2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69" s="18">
        <f>CLIENT[[#This Row],[Facture_Mensuelle]]*CLIENT[[#This Row],[Remise]]</f>
        <v>0</v>
      </c>
    </row>
    <row r="270" spans="1:13" x14ac:dyDescent="0.35">
      <c r="A270" s="1" t="s">
        <v>79</v>
      </c>
      <c r="B270" s="1" t="s">
        <v>112</v>
      </c>
      <c r="C270" s="1" t="s">
        <v>9</v>
      </c>
      <c r="D270">
        <v>74</v>
      </c>
      <c r="E270" s="1" t="s">
        <v>21</v>
      </c>
      <c r="F270" s="17">
        <v>9</v>
      </c>
      <c r="G270">
        <v>99.89</v>
      </c>
      <c r="H270">
        <v>0</v>
      </c>
      <c r="I270" t="str">
        <f t="shared" si="4"/>
        <v>B2C</v>
      </c>
      <c r="J270" s="19">
        <f>CLIENT[[#This Row],[Duree_Cumulee_Panne_Min]]/1440</f>
        <v>6.2500000000000003E-3</v>
      </c>
      <c r="K270" s="17">
        <f>CLIENT[[#This Row],[Anciennete_Mois]]/12</f>
        <v>6.166666666666667</v>
      </c>
      <c r="L2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70" s="18">
        <f>CLIENT[[#This Row],[Facture_Mensuelle]]*CLIENT[[#This Row],[Remise]]</f>
        <v>0</v>
      </c>
    </row>
    <row r="271" spans="1:13" x14ac:dyDescent="0.35">
      <c r="A271" s="1" t="s">
        <v>129</v>
      </c>
      <c r="B271" s="1" t="s">
        <v>134</v>
      </c>
      <c r="C271" s="1" t="s">
        <v>24</v>
      </c>
      <c r="D271">
        <v>88</v>
      </c>
      <c r="E271" s="1" t="s">
        <v>21</v>
      </c>
      <c r="F271" s="17">
        <v>319</v>
      </c>
      <c r="G271">
        <v>56.18</v>
      </c>
      <c r="H271">
        <v>0</v>
      </c>
      <c r="I271" t="str">
        <f t="shared" si="4"/>
        <v>B2C</v>
      </c>
      <c r="J271" s="19">
        <f>CLIENT[[#This Row],[Duree_Cumulee_Panne_Min]]/1440</f>
        <v>0.22152777777777777</v>
      </c>
      <c r="K271" s="17">
        <f>CLIENT[[#This Row],[Anciennete_Mois]]/12</f>
        <v>7.333333333333333</v>
      </c>
      <c r="L2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71" s="18">
        <f>CLIENT[[#This Row],[Facture_Mensuelle]]*CLIENT[[#This Row],[Remise]]</f>
        <v>25.280999999999999</v>
      </c>
    </row>
    <row r="272" spans="1:13" x14ac:dyDescent="0.35">
      <c r="A272" s="1" t="s">
        <v>540</v>
      </c>
      <c r="B272" s="1" t="s">
        <v>589</v>
      </c>
      <c r="C272" s="1" t="s">
        <v>54</v>
      </c>
      <c r="D272">
        <v>81</v>
      </c>
      <c r="E272" s="1" t="s">
        <v>21</v>
      </c>
      <c r="F272" s="17">
        <v>64</v>
      </c>
      <c r="G272">
        <v>43.45</v>
      </c>
      <c r="H272">
        <v>2</v>
      </c>
      <c r="I272" t="str">
        <f t="shared" si="4"/>
        <v>B2C</v>
      </c>
      <c r="J272" s="19">
        <f>CLIENT[[#This Row],[Duree_Cumulee_Panne_Min]]/1440</f>
        <v>4.4444444444444446E-2</v>
      </c>
      <c r="K272" s="17">
        <f>CLIENT[[#This Row],[Anciennete_Mois]]/12</f>
        <v>6.75</v>
      </c>
      <c r="L2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72" s="18">
        <f>CLIENT[[#This Row],[Facture_Mensuelle]]*CLIENT[[#This Row],[Remise]]</f>
        <v>0</v>
      </c>
    </row>
    <row r="273" spans="1:13" x14ac:dyDescent="0.35">
      <c r="A273" s="1" t="s">
        <v>540</v>
      </c>
      <c r="B273" s="1" t="s">
        <v>550</v>
      </c>
      <c r="C273" s="1" t="s">
        <v>20</v>
      </c>
      <c r="D273">
        <v>74</v>
      </c>
      <c r="E273" s="1" t="s">
        <v>21</v>
      </c>
      <c r="F273" s="17">
        <v>16</v>
      </c>
      <c r="G273">
        <v>93.01</v>
      </c>
      <c r="H273">
        <v>3</v>
      </c>
      <c r="I273" t="str">
        <f t="shared" si="4"/>
        <v>B2C</v>
      </c>
      <c r="J273" s="19">
        <f>CLIENT[[#This Row],[Duree_Cumulee_Panne_Min]]/1440</f>
        <v>1.1111111111111112E-2</v>
      </c>
      <c r="K273" s="17">
        <f>CLIENT[[#This Row],[Anciennete_Mois]]/12</f>
        <v>6.166666666666667</v>
      </c>
      <c r="L2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73" s="18">
        <f>CLIENT[[#This Row],[Facture_Mensuelle]]*CLIENT[[#This Row],[Remise]]</f>
        <v>0</v>
      </c>
    </row>
    <row r="274" spans="1:13" x14ac:dyDescent="0.35">
      <c r="A274" s="1" t="s">
        <v>540</v>
      </c>
      <c r="B274" s="1" t="s">
        <v>579</v>
      </c>
      <c r="C274" s="1" t="s">
        <v>23</v>
      </c>
      <c r="D274">
        <v>108</v>
      </c>
      <c r="E274" s="1" t="s">
        <v>18</v>
      </c>
      <c r="F274" s="17">
        <v>460</v>
      </c>
      <c r="G274">
        <v>88.95</v>
      </c>
      <c r="H274">
        <v>3</v>
      </c>
      <c r="I274" t="str">
        <f t="shared" si="4"/>
        <v>B2C</v>
      </c>
      <c r="J274" s="19">
        <f>CLIENT[[#This Row],[Duree_Cumulee_Panne_Min]]/1440</f>
        <v>0.31944444444444442</v>
      </c>
      <c r="K274" s="17">
        <f>CLIENT[[#This Row],[Anciennete_Mois]]/12</f>
        <v>9</v>
      </c>
      <c r="L2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74" s="18">
        <f>CLIENT[[#This Row],[Facture_Mensuelle]]*CLIENT[[#This Row],[Remise]]</f>
        <v>40.027500000000003</v>
      </c>
    </row>
    <row r="275" spans="1:13" x14ac:dyDescent="0.35">
      <c r="A275" s="1" t="s">
        <v>267</v>
      </c>
      <c r="B275" s="1" t="s">
        <v>293</v>
      </c>
      <c r="C275" s="1" t="s">
        <v>33</v>
      </c>
      <c r="D275">
        <v>91</v>
      </c>
      <c r="E275" s="1" t="s">
        <v>21</v>
      </c>
      <c r="F275" s="17">
        <v>63</v>
      </c>
      <c r="G275">
        <v>57.76</v>
      </c>
      <c r="H275">
        <v>5</v>
      </c>
      <c r="I275" t="str">
        <f t="shared" si="4"/>
        <v>B2C</v>
      </c>
      <c r="J275" s="19">
        <f>CLIENT[[#This Row],[Duree_Cumulee_Panne_Min]]/1440</f>
        <v>4.3749999999999997E-2</v>
      </c>
      <c r="K275" s="17">
        <f>CLIENT[[#This Row],[Anciennete_Mois]]/12</f>
        <v>7.583333333333333</v>
      </c>
      <c r="L2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75" s="18">
        <f>CLIENT[[#This Row],[Facture_Mensuelle]]*CLIENT[[#This Row],[Remise]]</f>
        <v>0</v>
      </c>
    </row>
    <row r="276" spans="1:13" x14ac:dyDescent="0.35">
      <c r="A276" s="1" t="s">
        <v>406</v>
      </c>
      <c r="B276" s="1" t="s">
        <v>408</v>
      </c>
      <c r="C276" s="1" t="s">
        <v>62</v>
      </c>
      <c r="D276">
        <v>7</v>
      </c>
      <c r="E276" s="1" t="s">
        <v>21</v>
      </c>
      <c r="F276" s="17">
        <v>94</v>
      </c>
      <c r="G276">
        <v>68.38</v>
      </c>
      <c r="H276">
        <v>3</v>
      </c>
      <c r="I276" t="str">
        <f t="shared" si="4"/>
        <v>B2C</v>
      </c>
      <c r="J276" s="19">
        <f>CLIENT[[#This Row],[Duree_Cumulee_Panne_Min]]/1440</f>
        <v>6.5277777777777782E-2</v>
      </c>
      <c r="K276" s="17">
        <f>CLIENT[[#This Row],[Anciennete_Mois]]/12</f>
        <v>0.58333333333333337</v>
      </c>
      <c r="L2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76" s="18">
        <f>CLIENT[[#This Row],[Facture_Mensuelle]]*CLIENT[[#This Row],[Remise]]</f>
        <v>0</v>
      </c>
    </row>
    <row r="277" spans="1:13" x14ac:dyDescent="0.35">
      <c r="A277" s="1" t="s">
        <v>314</v>
      </c>
      <c r="B277" s="1" t="s">
        <v>322</v>
      </c>
      <c r="C277" s="1" t="s">
        <v>83</v>
      </c>
      <c r="D277">
        <v>47</v>
      </c>
      <c r="E277" s="1" t="s">
        <v>10</v>
      </c>
      <c r="F277" s="17">
        <v>49</v>
      </c>
      <c r="G277">
        <v>55.88</v>
      </c>
      <c r="H277">
        <v>3</v>
      </c>
      <c r="I277" t="str">
        <f t="shared" si="4"/>
        <v>B2C</v>
      </c>
      <c r="J277" s="19">
        <f>CLIENT[[#This Row],[Duree_Cumulee_Panne_Min]]/1440</f>
        <v>3.4027777777777775E-2</v>
      </c>
      <c r="K277" s="17">
        <f>CLIENT[[#This Row],[Anciennete_Mois]]/12</f>
        <v>3.9166666666666665</v>
      </c>
      <c r="L2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77" s="18">
        <f>CLIENT[[#This Row],[Facture_Mensuelle]]*CLIENT[[#This Row],[Remise]]</f>
        <v>25.146000000000001</v>
      </c>
    </row>
    <row r="278" spans="1:13" x14ac:dyDescent="0.35">
      <c r="A278" s="1" t="s">
        <v>685</v>
      </c>
      <c r="B278" s="1" t="s">
        <v>687</v>
      </c>
      <c r="C278" s="1" t="s">
        <v>122</v>
      </c>
      <c r="D278">
        <v>54</v>
      </c>
      <c r="E278" s="1" t="s">
        <v>21</v>
      </c>
      <c r="F278" s="17">
        <v>215</v>
      </c>
      <c r="G278">
        <v>54.69</v>
      </c>
      <c r="H278">
        <v>0</v>
      </c>
      <c r="I278" t="str">
        <f t="shared" si="4"/>
        <v>B2B</v>
      </c>
      <c r="J278" s="19">
        <f>CLIENT[[#This Row],[Duree_Cumulee_Panne_Min]]/1440</f>
        <v>0.14930555555555555</v>
      </c>
      <c r="K278" s="17">
        <f>CLIENT[[#This Row],[Anciennete_Mois]]/12</f>
        <v>4.5</v>
      </c>
      <c r="L2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78" s="18">
        <f>CLIENT[[#This Row],[Facture_Mensuelle]]*CLIENT[[#This Row],[Remise]]</f>
        <v>5.4690000000000003</v>
      </c>
    </row>
    <row r="279" spans="1:13" x14ac:dyDescent="0.35">
      <c r="A279" s="1" t="s">
        <v>496</v>
      </c>
      <c r="B279" s="1" t="s">
        <v>526</v>
      </c>
      <c r="C279" s="1" t="s">
        <v>15</v>
      </c>
      <c r="D279">
        <v>80</v>
      </c>
      <c r="E279" s="1" t="s">
        <v>13</v>
      </c>
      <c r="F279" s="17">
        <v>458</v>
      </c>
      <c r="G279">
        <v>98.11</v>
      </c>
      <c r="H279">
        <v>0</v>
      </c>
      <c r="I279" t="str">
        <f t="shared" si="4"/>
        <v>B2C</v>
      </c>
      <c r="J279" s="19">
        <f>CLIENT[[#This Row],[Duree_Cumulee_Panne_Min]]/1440</f>
        <v>0.31805555555555554</v>
      </c>
      <c r="K279" s="17">
        <f>CLIENT[[#This Row],[Anciennete_Mois]]/12</f>
        <v>6.666666666666667</v>
      </c>
      <c r="L2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79" s="18">
        <f>CLIENT[[#This Row],[Facture_Mensuelle]]*CLIENT[[#This Row],[Remise]]</f>
        <v>44.149500000000003</v>
      </c>
    </row>
    <row r="280" spans="1:13" x14ac:dyDescent="0.35">
      <c r="A280" s="1" t="s">
        <v>360</v>
      </c>
      <c r="B280" s="1" t="s">
        <v>396</v>
      </c>
      <c r="C280" s="1" t="s">
        <v>62</v>
      </c>
      <c r="D280">
        <v>115</v>
      </c>
      <c r="E280" s="1" t="s">
        <v>21</v>
      </c>
      <c r="F280" s="17">
        <v>467</v>
      </c>
      <c r="G280">
        <v>24.57</v>
      </c>
      <c r="H280">
        <v>3</v>
      </c>
      <c r="I280" t="str">
        <f t="shared" si="4"/>
        <v>B2C</v>
      </c>
      <c r="J280" s="19">
        <f>CLIENT[[#This Row],[Duree_Cumulee_Panne_Min]]/1440</f>
        <v>0.32430555555555557</v>
      </c>
      <c r="K280" s="17">
        <f>CLIENT[[#This Row],[Anciennete_Mois]]/12</f>
        <v>9.5833333333333339</v>
      </c>
      <c r="L2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0" s="18">
        <f>CLIENT[[#This Row],[Facture_Mensuelle]]*CLIENT[[#This Row],[Remise]]</f>
        <v>11.0565</v>
      </c>
    </row>
    <row r="281" spans="1:13" x14ac:dyDescent="0.35">
      <c r="A281" s="1" t="s">
        <v>591</v>
      </c>
      <c r="B281" s="1" t="s">
        <v>626</v>
      </c>
      <c r="C281" s="1" t="s">
        <v>122</v>
      </c>
      <c r="D281">
        <v>104</v>
      </c>
      <c r="E281" s="1" t="s">
        <v>21</v>
      </c>
      <c r="F281" s="17">
        <v>50</v>
      </c>
      <c r="G281">
        <v>90.99</v>
      </c>
      <c r="H281">
        <v>4</v>
      </c>
      <c r="I281" t="str">
        <f t="shared" si="4"/>
        <v>B2C</v>
      </c>
      <c r="J281" s="19">
        <f>CLIENT[[#This Row],[Duree_Cumulee_Panne_Min]]/1440</f>
        <v>3.4722222222222224E-2</v>
      </c>
      <c r="K281" s="17">
        <f>CLIENT[[#This Row],[Anciennete_Mois]]/12</f>
        <v>8.6666666666666661</v>
      </c>
      <c r="L2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81" s="18">
        <f>CLIENT[[#This Row],[Facture_Mensuelle]]*CLIENT[[#This Row],[Remise]]</f>
        <v>0</v>
      </c>
    </row>
    <row r="282" spans="1:13" x14ac:dyDescent="0.35">
      <c r="A282" s="1" t="s">
        <v>540</v>
      </c>
      <c r="B282" s="1" t="s">
        <v>548</v>
      </c>
      <c r="C282" s="1" t="s">
        <v>24</v>
      </c>
      <c r="D282">
        <v>103</v>
      </c>
      <c r="E282" s="1" t="s">
        <v>10</v>
      </c>
      <c r="F282" s="17">
        <v>310</v>
      </c>
      <c r="G282">
        <v>49.25</v>
      </c>
      <c r="H282">
        <v>2</v>
      </c>
      <c r="I282" t="str">
        <f t="shared" si="4"/>
        <v>B2C</v>
      </c>
      <c r="J282" s="19">
        <f>CLIENT[[#This Row],[Duree_Cumulee_Panne_Min]]/1440</f>
        <v>0.21527777777777779</v>
      </c>
      <c r="K282" s="17">
        <f>CLIENT[[#This Row],[Anciennete_Mois]]/12</f>
        <v>8.5833333333333339</v>
      </c>
      <c r="L2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2" s="18">
        <f>CLIENT[[#This Row],[Facture_Mensuelle]]*CLIENT[[#This Row],[Remise]]</f>
        <v>22.162500000000001</v>
      </c>
    </row>
    <row r="283" spans="1:13" x14ac:dyDescent="0.35">
      <c r="A283" s="1" t="s">
        <v>406</v>
      </c>
      <c r="B283" s="1" t="s">
        <v>415</v>
      </c>
      <c r="C283" s="1" t="s">
        <v>23</v>
      </c>
      <c r="D283">
        <v>54</v>
      </c>
      <c r="E283" s="1" t="s">
        <v>18</v>
      </c>
      <c r="F283" s="17">
        <v>450</v>
      </c>
      <c r="G283">
        <v>90.85</v>
      </c>
      <c r="H283">
        <v>1</v>
      </c>
      <c r="I283" t="str">
        <f t="shared" si="4"/>
        <v>B2B</v>
      </c>
      <c r="J283" s="19">
        <f>CLIENT[[#This Row],[Duree_Cumulee_Panne_Min]]/1440</f>
        <v>0.3125</v>
      </c>
      <c r="K283" s="17">
        <f>CLIENT[[#This Row],[Anciennete_Mois]]/12</f>
        <v>4.5</v>
      </c>
      <c r="L2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3" s="18">
        <f>CLIENT[[#This Row],[Facture_Mensuelle]]*CLIENT[[#This Row],[Remise]]</f>
        <v>40.8825</v>
      </c>
    </row>
    <row r="284" spans="1:13" x14ac:dyDescent="0.35">
      <c r="A284" s="1" t="s">
        <v>8</v>
      </c>
      <c r="B284" s="1" t="s">
        <v>11</v>
      </c>
      <c r="C284" s="1" t="s">
        <v>12</v>
      </c>
      <c r="D284">
        <v>63</v>
      </c>
      <c r="E284" s="1" t="s">
        <v>13</v>
      </c>
      <c r="F284" s="17">
        <v>205</v>
      </c>
      <c r="G284">
        <v>89.19</v>
      </c>
      <c r="H284">
        <v>0</v>
      </c>
      <c r="I284" t="str">
        <f t="shared" si="4"/>
        <v>B2C</v>
      </c>
      <c r="J284" s="19">
        <f>CLIENT[[#This Row],[Duree_Cumulee_Panne_Min]]/1440</f>
        <v>0.1423611111111111</v>
      </c>
      <c r="K284" s="17">
        <f>CLIENT[[#This Row],[Anciennete_Mois]]/12</f>
        <v>5.25</v>
      </c>
      <c r="L2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84" s="18">
        <f>CLIENT[[#This Row],[Facture_Mensuelle]]*CLIENT[[#This Row],[Remise]]</f>
        <v>0</v>
      </c>
    </row>
    <row r="285" spans="1:13" x14ac:dyDescent="0.35">
      <c r="A285" s="1" t="s">
        <v>540</v>
      </c>
      <c r="B285" s="1" t="s">
        <v>569</v>
      </c>
      <c r="C285" s="1" t="s">
        <v>23</v>
      </c>
      <c r="D285">
        <v>16</v>
      </c>
      <c r="E285" s="1" t="s">
        <v>10</v>
      </c>
      <c r="F285" s="17">
        <v>274</v>
      </c>
      <c r="G285">
        <v>27.97</v>
      </c>
      <c r="H285">
        <v>4</v>
      </c>
      <c r="I285" t="str">
        <f t="shared" si="4"/>
        <v>B2C</v>
      </c>
      <c r="J285" s="19">
        <f>CLIENT[[#This Row],[Duree_Cumulee_Panne_Min]]/1440</f>
        <v>0.19027777777777777</v>
      </c>
      <c r="K285" s="17">
        <f>CLIENT[[#This Row],[Anciennete_Mois]]/12</f>
        <v>1.3333333333333333</v>
      </c>
      <c r="L2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5" s="18">
        <f>CLIENT[[#This Row],[Facture_Mensuelle]]*CLIENT[[#This Row],[Remise]]</f>
        <v>12.586499999999999</v>
      </c>
    </row>
    <row r="286" spans="1:13" x14ac:dyDescent="0.35">
      <c r="A286" s="1" t="s">
        <v>685</v>
      </c>
      <c r="B286" s="1" t="s">
        <v>720</v>
      </c>
      <c r="C286" s="1" t="s">
        <v>126</v>
      </c>
      <c r="D286">
        <v>95</v>
      </c>
      <c r="E286" s="1" t="s">
        <v>10</v>
      </c>
      <c r="F286" s="17">
        <v>313</v>
      </c>
      <c r="G286">
        <v>32.49</v>
      </c>
      <c r="H286">
        <v>1</v>
      </c>
      <c r="I286" t="str">
        <f t="shared" si="4"/>
        <v>B2B</v>
      </c>
      <c r="J286" s="19">
        <f>CLIENT[[#This Row],[Duree_Cumulee_Panne_Min]]/1440</f>
        <v>0.21736111111111112</v>
      </c>
      <c r="K286" s="17">
        <f>CLIENT[[#This Row],[Anciennete_Mois]]/12</f>
        <v>7.916666666666667</v>
      </c>
      <c r="L2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86" s="18">
        <f>CLIENT[[#This Row],[Facture_Mensuelle]]*CLIENT[[#This Row],[Remise]]</f>
        <v>14.620500000000002</v>
      </c>
    </row>
    <row r="287" spans="1:13" x14ac:dyDescent="0.35">
      <c r="A287" s="1" t="s">
        <v>174</v>
      </c>
      <c r="B287" s="1" t="s">
        <v>185</v>
      </c>
      <c r="C287" s="1" t="s">
        <v>35</v>
      </c>
      <c r="D287">
        <v>48</v>
      </c>
      <c r="E287" s="1" t="s">
        <v>13</v>
      </c>
      <c r="F287" s="17">
        <v>76</v>
      </c>
      <c r="G287">
        <v>39.35</v>
      </c>
      <c r="H287">
        <v>2</v>
      </c>
      <c r="I287" t="str">
        <f t="shared" si="4"/>
        <v>B2C</v>
      </c>
      <c r="J287" s="19">
        <f>CLIENT[[#This Row],[Duree_Cumulee_Panne_Min]]/1440</f>
        <v>5.2777777777777778E-2</v>
      </c>
      <c r="K287" s="17">
        <f>CLIENT[[#This Row],[Anciennete_Mois]]/12</f>
        <v>4</v>
      </c>
      <c r="L2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87" s="18">
        <f>CLIENT[[#This Row],[Facture_Mensuelle]]*CLIENT[[#This Row],[Remise]]</f>
        <v>0</v>
      </c>
    </row>
    <row r="288" spans="1:13" x14ac:dyDescent="0.35">
      <c r="A288" s="1" t="s">
        <v>79</v>
      </c>
      <c r="B288" s="1" t="s">
        <v>120</v>
      </c>
      <c r="C288" s="1" t="s">
        <v>23</v>
      </c>
      <c r="D288">
        <v>83</v>
      </c>
      <c r="E288" s="1" t="s">
        <v>18</v>
      </c>
      <c r="F288" s="17">
        <v>126</v>
      </c>
      <c r="G288">
        <v>67.17</v>
      </c>
      <c r="H288">
        <v>1</v>
      </c>
      <c r="I288" t="str">
        <f t="shared" si="4"/>
        <v>B2C</v>
      </c>
      <c r="J288" s="19">
        <f>CLIENT[[#This Row],[Duree_Cumulee_Panne_Min]]/1440</f>
        <v>8.7499999999999994E-2</v>
      </c>
      <c r="K288" s="17">
        <f>CLIENT[[#This Row],[Anciennete_Mois]]/12</f>
        <v>6.916666666666667</v>
      </c>
      <c r="L2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88" s="18">
        <f>CLIENT[[#This Row],[Facture_Mensuelle]]*CLIENT[[#This Row],[Remise]]</f>
        <v>0</v>
      </c>
    </row>
    <row r="289" spans="1:13" x14ac:dyDescent="0.35">
      <c r="A289" s="1" t="s">
        <v>406</v>
      </c>
      <c r="B289" s="1" t="s">
        <v>425</v>
      </c>
      <c r="C289" s="1" t="s">
        <v>15</v>
      </c>
      <c r="D289">
        <v>96</v>
      </c>
      <c r="E289" s="1" t="s">
        <v>21</v>
      </c>
      <c r="F289" s="17">
        <v>155</v>
      </c>
      <c r="G289">
        <v>69.16</v>
      </c>
      <c r="H289">
        <v>4</v>
      </c>
      <c r="I289" t="str">
        <f t="shared" si="4"/>
        <v>B2C</v>
      </c>
      <c r="J289" s="19">
        <f>CLIENT[[#This Row],[Duree_Cumulee_Panne_Min]]/1440</f>
        <v>0.1076388888888889</v>
      </c>
      <c r="K289" s="17">
        <f>CLIENT[[#This Row],[Anciennete_Mois]]/12</f>
        <v>8</v>
      </c>
      <c r="L2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89" s="18">
        <f>CLIENT[[#This Row],[Facture_Mensuelle]]*CLIENT[[#This Row],[Remise]]</f>
        <v>0</v>
      </c>
    </row>
    <row r="290" spans="1:13" x14ac:dyDescent="0.35">
      <c r="A290" s="1" t="s">
        <v>406</v>
      </c>
      <c r="B290" s="1" t="s">
        <v>441</v>
      </c>
      <c r="C290" s="1" t="s">
        <v>122</v>
      </c>
      <c r="D290">
        <v>13</v>
      </c>
      <c r="E290" s="1" t="s">
        <v>21</v>
      </c>
      <c r="F290" s="17">
        <v>482</v>
      </c>
      <c r="G290">
        <v>50.15</v>
      </c>
      <c r="H290">
        <v>0</v>
      </c>
      <c r="I290" t="str">
        <f t="shared" si="4"/>
        <v>B2C</v>
      </c>
      <c r="J290" s="19">
        <f>CLIENT[[#This Row],[Duree_Cumulee_Panne_Min]]/1440</f>
        <v>0.3347222222222222</v>
      </c>
      <c r="K290" s="17">
        <f>CLIENT[[#This Row],[Anciennete_Mois]]/12</f>
        <v>1.0833333333333333</v>
      </c>
      <c r="L2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90" s="18">
        <f>CLIENT[[#This Row],[Facture_Mensuelle]]*CLIENT[[#This Row],[Remise]]</f>
        <v>22.567499999999999</v>
      </c>
    </row>
    <row r="291" spans="1:13" x14ac:dyDescent="0.35">
      <c r="A291" s="1" t="s">
        <v>129</v>
      </c>
      <c r="B291" s="1" t="s">
        <v>171</v>
      </c>
      <c r="C291" s="1" t="s">
        <v>12</v>
      </c>
      <c r="D291">
        <v>4</v>
      </c>
      <c r="E291" s="1" t="s">
        <v>18</v>
      </c>
      <c r="F291" s="17">
        <v>227</v>
      </c>
      <c r="G291">
        <v>83.32</v>
      </c>
      <c r="H291">
        <v>2</v>
      </c>
      <c r="I291" t="str">
        <f t="shared" si="4"/>
        <v>B2C</v>
      </c>
      <c r="J291" s="19">
        <f>CLIENT[[#This Row],[Duree_Cumulee_Panne_Min]]/1440</f>
        <v>0.15763888888888888</v>
      </c>
      <c r="K291" s="17">
        <f>CLIENT[[#This Row],[Anciennete_Mois]]/12</f>
        <v>0.33333333333333331</v>
      </c>
      <c r="L2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1" s="18">
        <f>CLIENT[[#This Row],[Facture_Mensuelle]]*CLIENT[[#This Row],[Remise]]</f>
        <v>0</v>
      </c>
    </row>
    <row r="292" spans="1:13" x14ac:dyDescent="0.35">
      <c r="A292" s="1" t="s">
        <v>220</v>
      </c>
      <c r="B292" s="1" t="s">
        <v>232</v>
      </c>
      <c r="C292" s="1" t="s">
        <v>118</v>
      </c>
      <c r="D292">
        <v>49</v>
      </c>
      <c r="E292" s="1" t="s">
        <v>21</v>
      </c>
      <c r="F292" s="17">
        <v>6</v>
      </c>
      <c r="G292">
        <v>44.41</v>
      </c>
      <c r="H292">
        <v>3</v>
      </c>
      <c r="I292" t="str">
        <f t="shared" si="4"/>
        <v>B2C</v>
      </c>
      <c r="J292" s="19">
        <f>CLIENT[[#This Row],[Duree_Cumulee_Panne_Min]]/1440</f>
        <v>4.1666666666666666E-3</v>
      </c>
      <c r="K292" s="17">
        <f>CLIENT[[#This Row],[Anciennete_Mois]]/12</f>
        <v>4.083333333333333</v>
      </c>
      <c r="L2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2" s="18">
        <f>CLIENT[[#This Row],[Facture_Mensuelle]]*CLIENT[[#This Row],[Remise]]</f>
        <v>0</v>
      </c>
    </row>
    <row r="293" spans="1:13" x14ac:dyDescent="0.35">
      <c r="A293" s="1" t="s">
        <v>640</v>
      </c>
      <c r="B293" s="1" t="s">
        <v>672</v>
      </c>
      <c r="C293" s="1" t="s">
        <v>9</v>
      </c>
      <c r="D293">
        <v>37</v>
      </c>
      <c r="E293" s="1" t="s">
        <v>10</v>
      </c>
      <c r="F293" s="17">
        <v>420</v>
      </c>
      <c r="G293">
        <v>67.260000000000005</v>
      </c>
      <c r="H293">
        <v>4</v>
      </c>
      <c r="I293" t="str">
        <f t="shared" si="4"/>
        <v>B2B</v>
      </c>
      <c r="J293" s="19">
        <f>CLIENT[[#This Row],[Duree_Cumulee_Panne_Min]]/1440</f>
        <v>0.29166666666666669</v>
      </c>
      <c r="K293" s="17">
        <f>CLIENT[[#This Row],[Anciennete_Mois]]/12</f>
        <v>3.0833333333333335</v>
      </c>
      <c r="L2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93" s="18">
        <f>CLIENT[[#This Row],[Facture_Mensuelle]]*CLIENT[[#This Row],[Remise]]</f>
        <v>30.267000000000003</v>
      </c>
    </row>
    <row r="294" spans="1:13" x14ac:dyDescent="0.35">
      <c r="A294" s="1" t="s">
        <v>640</v>
      </c>
      <c r="B294" s="1" t="s">
        <v>676</v>
      </c>
      <c r="C294" s="1" t="s">
        <v>23</v>
      </c>
      <c r="D294">
        <v>86</v>
      </c>
      <c r="E294" s="1" t="s">
        <v>13</v>
      </c>
      <c r="F294" s="17">
        <v>353</v>
      </c>
      <c r="G294">
        <v>25.37</v>
      </c>
      <c r="H294">
        <v>1</v>
      </c>
      <c r="I294" t="str">
        <f t="shared" si="4"/>
        <v>B2B</v>
      </c>
      <c r="J294" s="19">
        <f>CLIENT[[#This Row],[Duree_Cumulee_Panne_Min]]/1440</f>
        <v>0.24513888888888888</v>
      </c>
      <c r="K294" s="17">
        <f>CLIENT[[#This Row],[Anciennete_Mois]]/12</f>
        <v>7.166666666666667</v>
      </c>
      <c r="L2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294" s="18">
        <f>CLIENT[[#This Row],[Facture_Mensuelle]]*CLIENT[[#This Row],[Remise]]</f>
        <v>11.416500000000001</v>
      </c>
    </row>
    <row r="295" spans="1:13" x14ac:dyDescent="0.35">
      <c r="A295" s="1" t="s">
        <v>591</v>
      </c>
      <c r="B295" s="1" t="s">
        <v>616</v>
      </c>
      <c r="C295" s="1" t="s">
        <v>72</v>
      </c>
      <c r="D295">
        <v>101</v>
      </c>
      <c r="E295" s="1" t="s">
        <v>13</v>
      </c>
      <c r="F295" s="17">
        <v>108</v>
      </c>
      <c r="G295">
        <v>76.05</v>
      </c>
      <c r="H295">
        <v>3</v>
      </c>
      <c r="I295" t="str">
        <f t="shared" si="4"/>
        <v>B2C</v>
      </c>
      <c r="J295" s="19">
        <f>CLIENT[[#This Row],[Duree_Cumulee_Panne_Min]]/1440</f>
        <v>7.4999999999999997E-2</v>
      </c>
      <c r="K295" s="17">
        <f>CLIENT[[#This Row],[Anciennete_Mois]]/12</f>
        <v>8.4166666666666661</v>
      </c>
      <c r="L2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5" s="18">
        <f>CLIENT[[#This Row],[Facture_Mensuelle]]*CLIENT[[#This Row],[Remise]]</f>
        <v>0</v>
      </c>
    </row>
    <row r="296" spans="1:13" x14ac:dyDescent="0.35">
      <c r="A296" s="1" t="s">
        <v>314</v>
      </c>
      <c r="B296" s="1" t="s">
        <v>339</v>
      </c>
      <c r="C296" s="1" t="s">
        <v>54</v>
      </c>
      <c r="D296">
        <v>105</v>
      </c>
      <c r="E296" s="1" t="s">
        <v>10</v>
      </c>
      <c r="F296" s="17">
        <v>17</v>
      </c>
      <c r="G296">
        <v>60.05</v>
      </c>
      <c r="H296">
        <v>4</v>
      </c>
      <c r="I296" t="str">
        <f t="shared" si="4"/>
        <v>B2C</v>
      </c>
      <c r="J296" s="19">
        <f>CLIENT[[#This Row],[Duree_Cumulee_Panne_Min]]/1440</f>
        <v>1.1805555555555555E-2</v>
      </c>
      <c r="K296" s="17">
        <f>CLIENT[[#This Row],[Anciennete_Mois]]/12</f>
        <v>8.75</v>
      </c>
      <c r="L2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6" s="18">
        <f>CLIENT[[#This Row],[Facture_Mensuelle]]*CLIENT[[#This Row],[Remise]]</f>
        <v>0</v>
      </c>
    </row>
    <row r="297" spans="1:13" x14ac:dyDescent="0.35">
      <c r="A297" s="1" t="s">
        <v>220</v>
      </c>
      <c r="B297" s="1" t="s">
        <v>258</v>
      </c>
      <c r="C297" s="1" t="s">
        <v>37</v>
      </c>
      <c r="D297">
        <v>61</v>
      </c>
      <c r="E297" s="1" t="s">
        <v>21</v>
      </c>
      <c r="F297" s="17">
        <v>87</v>
      </c>
      <c r="G297">
        <v>68.319999999999993</v>
      </c>
      <c r="H297">
        <v>2</v>
      </c>
      <c r="I297" t="str">
        <f t="shared" si="4"/>
        <v>B2C</v>
      </c>
      <c r="J297" s="19">
        <f>CLIENT[[#This Row],[Duree_Cumulee_Panne_Min]]/1440</f>
        <v>6.0416666666666667E-2</v>
      </c>
      <c r="K297" s="17">
        <f>CLIENT[[#This Row],[Anciennete_Mois]]/12</f>
        <v>5.083333333333333</v>
      </c>
      <c r="L2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7" s="18">
        <f>CLIENT[[#This Row],[Facture_Mensuelle]]*CLIENT[[#This Row],[Remise]]</f>
        <v>0</v>
      </c>
    </row>
    <row r="298" spans="1:13" x14ac:dyDescent="0.35">
      <c r="A298" s="1" t="s">
        <v>453</v>
      </c>
      <c r="B298" s="1" t="s">
        <v>495</v>
      </c>
      <c r="C298" s="1" t="s">
        <v>68</v>
      </c>
      <c r="D298">
        <v>94</v>
      </c>
      <c r="E298" s="1" t="s">
        <v>21</v>
      </c>
      <c r="F298" s="17">
        <v>6</v>
      </c>
      <c r="G298">
        <v>67.459999999999994</v>
      </c>
      <c r="H298">
        <v>5</v>
      </c>
      <c r="I298" t="str">
        <f t="shared" si="4"/>
        <v>B2B</v>
      </c>
      <c r="J298" s="19">
        <f>CLIENT[[#This Row],[Duree_Cumulee_Panne_Min]]/1440</f>
        <v>4.1666666666666666E-3</v>
      </c>
      <c r="K298" s="17">
        <f>CLIENT[[#This Row],[Anciennete_Mois]]/12</f>
        <v>7.833333333333333</v>
      </c>
      <c r="L2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298" s="18">
        <f>CLIENT[[#This Row],[Facture_Mensuelle]]*CLIENT[[#This Row],[Remise]]</f>
        <v>6.7459999999999996</v>
      </c>
    </row>
    <row r="299" spans="1:13" x14ac:dyDescent="0.35">
      <c r="A299" s="1" t="s">
        <v>220</v>
      </c>
      <c r="B299" s="1" t="s">
        <v>223</v>
      </c>
      <c r="C299" s="1" t="s">
        <v>29</v>
      </c>
      <c r="D299">
        <v>6</v>
      </c>
      <c r="E299" s="1" t="s">
        <v>13</v>
      </c>
      <c r="F299" s="17">
        <v>109</v>
      </c>
      <c r="G299">
        <v>39.880000000000003</v>
      </c>
      <c r="H299">
        <v>4</v>
      </c>
      <c r="I299" t="str">
        <f t="shared" si="4"/>
        <v>B2C</v>
      </c>
      <c r="J299" s="19">
        <f>CLIENT[[#This Row],[Duree_Cumulee_Panne_Min]]/1440</f>
        <v>7.5694444444444439E-2</v>
      </c>
      <c r="K299" s="17">
        <f>CLIENT[[#This Row],[Anciennete_Mois]]/12</f>
        <v>0.5</v>
      </c>
      <c r="L2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299" s="18">
        <f>CLIENT[[#This Row],[Facture_Mensuelle]]*CLIENT[[#This Row],[Remise]]</f>
        <v>0</v>
      </c>
    </row>
    <row r="300" spans="1:13" x14ac:dyDescent="0.35">
      <c r="A300" s="1" t="s">
        <v>267</v>
      </c>
      <c r="B300" s="1" t="s">
        <v>305</v>
      </c>
      <c r="C300" s="1" t="s">
        <v>61</v>
      </c>
      <c r="D300">
        <v>62</v>
      </c>
      <c r="E300" s="1" t="s">
        <v>21</v>
      </c>
      <c r="F300" s="17">
        <v>136</v>
      </c>
      <c r="G300">
        <v>88.61</v>
      </c>
      <c r="H300">
        <v>2</v>
      </c>
      <c r="I300" t="str">
        <f t="shared" si="4"/>
        <v>B2C</v>
      </c>
      <c r="J300" s="19">
        <f>CLIENT[[#This Row],[Duree_Cumulee_Panne_Min]]/1440</f>
        <v>9.4444444444444442E-2</v>
      </c>
      <c r="K300" s="17">
        <f>CLIENT[[#This Row],[Anciennete_Mois]]/12</f>
        <v>5.166666666666667</v>
      </c>
      <c r="L3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00" s="18">
        <f>CLIENT[[#This Row],[Facture_Mensuelle]]*CLIENT[[#This Row],[Remise]]</f>
        <v>0</v>
      </c>
    </row>
    <row r="301" spans="1:13" x14ac:dyDescent="0.35">
      <c r="A301" s="1" t="s">
        <v>591</v>
      </c>
      <c r="B301" s="1" t="s">
        <v>614</v>
      </c>
      <c r="C301" s="1" t="s">
        <v>33</v>
      </c>
      <c r="D301">
        <v>34</v>
      </c>
      <c r="E301" s="1" t="s">
        <v>21</v>
      </c>
      <c r="F301" s="17">
        <v>181</v>
      </c>
      <c r="G301">
        <v>35.92</v>
      </c>
      <c r="H301">
        <v>2</v>
      </c>
      <c r="I301" t="str">
        <f t="shared" si="4"/>
        <v>B2B</v>
      </c>
      <c r="J301" s="19">
        <f>CLIENT[[#This Row],[Duree_Cumulee_Panne_Min]]/1440</f>
        <v>0.12569444444444444</v>
      </c>
      <c r="K301" s="17">
        <f>CLIENT[[#This Row],[Anciennete_Mois]]/12</f>
        <v>2.8333333333333335</v>
      </c>
      <c r="L3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1" s="18">
        <f>CLIENT[[#This Row],[Facture_Mensuelle]]*CLIENT[[#This Row],[Remise]]</f>
        <v>3.5920000000000005</v>
      </c>
    </row>
    <row r="302" spans="1:13" x14ac:dyDescent="0.35">
      <c r="A302" s="1" t="s">
        <v>406</v>
      </c>
      <c r="B302" s="1" t="s">
        <v>446</v>
      </c>
      <c r="C302" s="1" t="s">
        <v>15</v>
      </c>
      <c r="D302">
        <v>99</v>
      </c>
      <c r="E302" s="1" t="s">
        <v>13</v>
      </c>
      <c r="F302" s="17">
        <v>138</v>
      </c>
      <c r="G302">
        <v>54.64</v>
      </c>
      <c r="H302">
        <v>5</v>
      </c>
      <c r="I302" t="str">
        <f t="shared" si="4"/>
        <v>B2C</v>
      </c>
      <c r="J302" s="19">
        <f>CLIENT[[#This Row],[Duree_Cumulee_Panne_Min]]/1440</f>
        <v>9.583333333333334E-2</v>
      </c>
      <c r="K302" s="17">
        <f>CLIENT[[#This Row],[Anciennete_Mois]]/12</f>
        <v>8.25</v>
      </c>
      <c r="L3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02" s="18">
        <f>CLIENT[[#This Row],[Facture_Mensuelle]]*CLIENT[[#This Row],[Remise]]</f>
        <v>0</v>
      </c>
    </row>
    <row r="303" spans="1:13" x14ac:dyDescent="0.35">
      <c r="A303" s="1" t="s">
        <v>314</v>
      </c>
      <c r="B303" s="1" t="s">
        <v>343</v>
      </c>
      <c r="C303" s="1" t="s">
        <v>37</v>
      </c>
      <c r="D303">
        <v>59</v>
      </c>
      <c r="E303" s="1" t="s">
        <v>10</v>
      </c>
      <c r="F303" s="17">
        <v>352</v>
      </c>
      <c r="G303">
        <v>74.239999999999995</v>
      </c>
      <c r="H303">
        <v>0</v>
      </c>
      <c r="I303" t="str">
        <f t="shared" si="4"/>
        <v>B2B</v>
      </c>
      <c r="J303" s="19">
        <f>CLIENT[[#This Row],[Duree_Cumulee_Panne_Min]]/1440</f>
        <v>0.24444444444444444</v>
      </c>
      <c r="K303" s="17">
        <f>CLIENT[[#This Row],[Anciennete_Mois]]/12</f>
        <v>4.916666666666667</v>
      </c>
      <c r="L3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03" s="18">
        <f>CLIENT[[#This Row],[Facture_Mensuelle]]*CLIENT[[#This Row],[Remise]]</f>
        <v>33.408000000000001</v>
      </c>
    </row>
    <row r="304" spans="1:13" x14ac:dyDescent="0.35">
      <c r="A304" s="1" t="s">
        <v>267</v>
      </c>
      <c r="B304" s="1" t="s">
        <v>285</v>
      </c>
      <c r="C304" s="1" t="s">
        <v>57</v>
      </c>
      <c r="D304">
        <v>56</v>
      </c>
      <c r="E304" s="1" t="s">
        <v>13</v>
      </c>
      <c r="F304" s="17">
        <v>55</v>
      </c>
      <c r="G304">
        <v>82.56</v>
      </c>
      <c r="H304">
        <v>2</v>
      </c>
      <c r="I304" t="str">
        <f t="shared" si="4"/>
        <v>B2B</v>
      </c>
      <c r="J304" s="19">
        <f>CLIENT[[#This Row],[Duree_Cumulee_Panne_Min]]/1440</f>
        <v>3.8194444444444448E-2</v>
      </c>
      <c r="K304" s="17">
        <f>CLIENT[[#This Row],[Anciennete_Mois]]/12</f>
        <v>4.666666666666667</v>
      </c>
      <c r="L3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4" s="18">
        <f>CLIENT[[#This Row],[Facture_Mensuelle]]*CLIENT[[#This Row],[Remise]]</f>
        <v>8.2560000000000002</v>
      </c>
    </row>
    <row r="305" spans="1:13" x14ac:dyDescent="0.35">
      <c r="A305" s="1" t="s">
        <v>540</v>
      </c>
      <c r="B305" s="1" t="s">
        <v>555</v>
      </c>
      <c r="C305" s="1" t="s">
        <v>35</v>
      </c>
      <c r="D305">
        <v>94</v>
      </c>
      <c r="E305" s="1" t="s">
        <v>13</v>
      </c>
      <c r="F305" s="17">
        <v>247</v>
      </c>
      <c r="G305">
        <v>96.57</v>
      </c>
      <c r="H305">
        <v>0</v>
      </c>
      <c r="I305" t="str">
        <f t="shared" si="4"/>
        <v>B2B</v>
      </c>
      <c r="J305" s="19">
        <f>CLIENT[[#This Row],[Duree_Cumulee_Panne_Min]]/1440</f>
        <v>0.17152777777777778</v>
      </c>
      <c r="K305" s="17">
        <f>CLIENT[[#This Row],[Anciennete_Mois]]/12</f>
        <v>7.833333333333333</v>
      </c>
      <c r="L3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05" s="18">
        <f>CLIENT[[#This Row],[Facture_Mensuelle]]*CLIENT[[#This Row],[Remise]]</f>
        <v>43.456499999999998</v>
      </c>
    </row>
    <row r="306" spans="1:13" x14ac:dyDescent="0.35">
      <c r="A306" s="1" t="s">
        <v>591</v>
      </c>
      <c r="B306" s="1" t="s">
        <v>593</v>
      </c>
      <c r="C306" s="1" t="s">
        <v>61</v>
      </c>
      <c r="D306">
        <v>14</v>
      </c>
      <c r="E306" s="1" t="s">
        <v>13</v>
      </c>
      <c r="F306" s="17">
        <v>236</v>
      </c>
      <c r="G306">
        <v>54.43</v>
      </c>
      <c r="H306">
        <v>3</v>
      </c>
      <c r="I306" t="str">
        <f t="shared" si="4"/>
        <v>B2B</v>
      </c>
      <c r="J306" s="19">
        <f>CLIENT[[#This Row],[Duree_Cumulee_Panne_Min]]/1440</f>
        <v>0.16388888888888889</v>
      </c>
      <c r="K306" s="17">
        <f>CLIENT[[#This Row],[Anciennete_Mois]]/12</f>
        <v>1.1666666666666667</v>
      </c>
      <c r="L3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6" s="18">
        <f>CLIENT[[#This Row],[Facture_Mensuelle]]*CLIENT[[#This Row],[Remise]]</f>
        <v>5.4430000000000005</v>
      </c>
    </row>
    <row r="307" spans="1:13" x14ac:dyDescent="0.35">
      <c r="A307" s="1" t="s">
        <v>406</v>
      </c>
      <c r="B307" s="1" t="s">
        <v>436</v>
      </c>
      <c r="C307" s="1" t="s">
        <v>61</v>
      </c>
      <c r="D307">
        <v>63</v>
      </c>
      <c r="E307" s="1" t="s">
        <v>13</v>
      </c>
      <c r="F307" s="17">
        <v>121</v>
      </c>
      <c r="G307">
        <v>39.18</v>
      </c>
      <c r="H307">
        <v>2</v>
      </c>
      <c r="I307" t="str">
        <f t="shared" si="4"/>
        <v>B2C</v>
      </c>
      <c r="J307" s="19">
        <f>CLIENT[[#This Row],[Duree_Cumulee_Panne_Min]]/1440</f>
        <v>8.4027777777777785E-2</v>
      </c>
      <c r="K307" s="17">
        <f>CLIENT[[#This Row],[Anciennete_Mois]]/12</f>
        <v>5.25</v>
      </c>
      <c r="L3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07" s="18">
        <f>CLIENT[[#This Row],[Facture_Mensuelle]]*CLIENT[[#This Row],[Remise]]</f>
        <v>0</v>
      </c>
    </row>
    <row r="308" spans="1:13" x14ac:dyDescent="0.35">
      <c r="A308" s="1" t="s">
        <v>360</v>
      </c>
      <c r="B308" s="1" t="s">
        <v>391</v>
      </c>
      <c r="C308" s="1" t="s">
        <v>9</v>
      </c>
      <c r="D308">
        <v>111</v>
      </c>
      <c r="E308" s="1" t="s">
        <v>18</v>
      </c>
      <c r="F308" s="17">
        <v>194</v>
      </c>
      <c r="G308">
        <v>48.55</v>
      </c>
      <c r="H308">
        <v>2</v>
      </c>
      <c r="I308" t="str">
        <f t="shared" si="4"/>
        <v>B2B</v>
      </c>
      <c r="J308" s="19">
        <f>CLIENT[[#This Row],[Duree_Cumulee_Panne_Min]]/1440</f>
        <v>0.13472222222222222</v>
      </c>
      <c r="K308" s="17">
        <f>CLIENT[[#This Row],[Anciennete_Mois]]/12</f>
        <v>9.25</v>
      </c>
      <c r="L3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8" s="18">
        <f>CLIENT[[#This Row],[Facture_Mensuelle]]*CLIENT[[#This Row],[Remise]]</f>
        <v>4.8550000000000004</v>
      </c>
    </row>
    <row r="309" spans="1:13" x14ac:dyDescent="0.35">
      <c r="A309" s="1" t="s">
        <v>685</v>
      </c>
      <c r="B309" s="1" t="s">
        <v>726</v>
      </c>
      <c r="C309" s="1" t="s">
        <v>48</v>
      </c>
      <c r="D309">
        <v>25</v>
      </c>
      <c r="E309" s="1" t="s">
        <v>13</v>
      </c>
      <c r="F309" s="17">
        <v>66</v>
      </c>
      <c r="G309">
        <v>90.14</v>
      </c>
      <c r="H309">
        <v>5</v>
      </c>
      <c r="I309" t="str">
        <f t="shared" si="4"/>
        <v>B2B</v>
      </c>
      <c r="J309" s="19">
        <f>CLIENT[[#This Row],[Duree_Cumulee_Panne_Min]]/1440</f>
        <v>4.583333333333333E-2</v>
      </c>
      <c r="K309" s="17">
        <f>CLIENT[[#This Row],[Anciennete_Mois]]/12</f>
        <v>2.0833333333333335</v>
      </c>
      <c r="L3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09" s="18">
        <f>CLIENT[[#This Row],[Facture_Mensuelle]]*CLIENT[[#This Row],[Remise]]</f>
        <v>9.0140000000000011</v>
      </c>
    </row>
    <row r="310" spans="1:13" x14ac:dyDescent="0.35">
      <c r="A310" s="1" t="s">
        <v>314</v>
      </c>
      <c r="B310" s="1" t="s">
        <v>346</v>
      </c>
      <c r="C310" s="1" t="s">
        <v>83</v>
      </c>
      <c r="D310">
        <v>37</v>
      </c>
      <c r="E310" s="1" t="s">
        <v>13</v>
      </c>
      <c r="F310" s="17">
        <v>88</v>
      </c>
      <c r="G310">
        <v>77.77</v>
      </c>
      <c r="H310">
        <v>1</v>
      </c>
      <c r="I310" t="str">
        <f t="shared" si="4"/>
        <v>B2C</v>
      </c>
      <c r="J310" s="19">
        <f>CLIENT[[#This Row],[Duree_Cumulee_Panne_Min]]/1440</f>
        <v>6.1111111111111109E-2</v>
      </c>
      <c r="K310" s="17">
        <f>CLIENT[[#This Row],[Anciennete_Mois]]/12</f>
        <v>3.0833333333333335</v>
      </c>
      <c r="L3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10" s="18">
        <f>CLIENT[[#This Row],[Facture_Mensuelle]]*CLIENT[[#This Row],[Remise]]</f>
        <v>0</v>
      </c>
    </row>
    <row r="311" spans="1:13" x14ac:dyDescent="0.35">
      <c r="A311" s="1" t="s">
        <v>685</v>
      </c>
      <c r="B311" s="1" t="s">
        <v>718</v>
      </c>
      <c r="C311" s="1" t="s">
        <v>24</v>
      </c>
      <c r="D311">
        <v>29</v>
      </c>
      <c r="E311" s="1" t="s">
        <v>18</v>
      </c>
      <c r="F311" s="17">
        <v>306</v>
      </c>
      <c r="G311">
        <v>82.16</v>
      </c>
      <c r="H311">
        <v>1</v>
      </c>
      <c r="I311" t="str">
        <f t="shared" si="4"/>
        <v>B2B</v>
      </c>
      <c r="J311" s="19">
        <f>CLIENT[[#This Row],[Duree_Cumulee_Panne_Min]]/1440</f>
        <v>0.21249999999999999</v>
      </c>
      <c r="K311" s="17">
        <f>CLIENT[[#This Row],[Anciennete_Mois]]/12</f>
        <v>2.4166666666666665</v>
      </c>
      <c r="L3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1" s="18">
        <f>CLIENT[[#This Row],[Facture_Mensuelle]]*CLIENT[[#This Row],[Remise]]</f>
        <v>36.972000000000001</v>
      </c>
    </row>
    <row r="312" spans="1:13" x14ac:dyDescent="0.35">
      <c r="A312" s="1" t="s">
        <v>406</v>
      </c>
      <c r="B312" s="1" t="s">
        <v>433</v>
      </c>
      <c r="C312" s="1" t="s">
        <v>62</v>
      </c>
      <c r="D312">
        <v>13</v>
      </c>
      <c r="E312" s="1" t="s">
        <v>13</v>
      </c>
      <c r="F312" s="17">
        <v>87</v>
      </c>
      <c r="G312">
        <v>66.36</v>
      </c>
      <c r="H312">
        <v>0</v>
      </c>
      <c r="I312" t="str">
        <f t="shared" si="4"/>
        <v>B2C</v>
      </c>
      <c r="J312" s="19">
        <f>CLIENT[[#This Row],[Duree_Cumulee_Panne_Min]]/1440</f>
        <v>6.0416666666666667E-2</v>
      </c>
      <c r="K312" s="17">
        <f>CLIENT[[#This Row],[Anciennete_Mois]]/12</f>
        <v>1.0833333333333333</v>
      </c>
      <c r="L3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12" s="18">
        <f>CLIENT[[#This Row],[Facture_Mensuelle]]*CLIENT[[#This Row],[Remise]]</f>
        <v>0</v>
      </c>
    </row>
    <row r="313" spans="1:13" x14ac:dyDescent="0.35">
      <c r="A313" s="1" t="s">
        <v>174</v>
      </c>
      <c r="B313" s="1" t="s">
        <v>200</v>
      </c>
      <c r="C313" s="1" t="s">
        <v>72</v>
      </c>
      <c r="D313">
        <v>27</v>
      </c>
      <c r="E313" s="1" t="s">
        <v>10</v>
      </c>
      <c r="F313" s="17">
        <v>369</v>
      </c>
      <c r="G313">
        <v>19.78</v>
      </c>
      <c r="H313">
        <v>1</v>
      </c>
      <c r="I313" t="str">
        <f t="shared" si="4"/>
        <v>B2C</v>
      </c>
      <c r="J313" s="19">
        <f>CLIENT[[#This Row],[Duree_Cumulee_Panne_Min]]/1440</f>
        <v>0.25624999999999998</v>
      </c>
      <c r="K313" s="17">
        <f>CLIENT[[#This Row],[Anciennete_Mois]]/12</f>
        <v>2.25</v>
      </c>
      <c r="L3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3" s="18">
        <f>CLIENT[[#This Row],[Facture_Mensuelle]]*CLIENT[[#This Row],[Remise]]</f>
        <v>8.9010000000000016</v>
      </c>
    </row>
    <row r="314" spans="1:13" x14ac:dyDescent="0.35">
      <c r="A314" s="1" t="s">
        <v>640</v>
      </c>
      <c r="B314" s="1" t="s">
        <v>674</v>
      </c>
      <c r="C314" s="1" t="s">
        <v>118</v>
      </c>
      <c r="D314">
        <v>110</v>
      </c>
      <c r="E314" s="1" t="s">
        <v>10</v>
      </c>
      <c r="F314" s="17">
        <v>289</v>
      </c>
      <c r="G314">
        <v>83.67</v>
      </c>
      <c r="H314">
        <v>4</v>
      </c>
      <c r="I314" t="str">
        <f t="shared" si="4"/>
        <v>B2B</v>
      </c>
      <c r="J314" s="19">
        <f>CLIENT[[#This Row],[Duree_Cumulee_Panne_Min]]/1440</f>
        <v>0.20069444444444445</v>
      </c>
      <c r="K314" s="17">
        <f>CLIENT[[#This Row],[Anciennete_Mois]]/12</f>
        <v>9.1666666666666661</v>
      </c>
      <c r="L3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4" s="18">
        <f>CLIENT[[#This Row],[Facture_Mensuelle]]*CLIENT[[#This Row],[Remise]]</f>
        <v>37.651499999999999</v>
      </c>
    </row>
    <row r="315" spans="1:13" x14ac:dyDescent="0.35">
      <c r="A315" s="1" t="s">
        <v>685</v>
      </c>
      <c r="B315" s="1" t="s">
        <v>710</v>
      </c>
      <c r="C315" s="1" t="s">
        <v>59</v>
      </c>
      <c r="D315">
        <v>82</v>
      </c>
      <c r="E315" s="1" t="s">
        <v>13</v>
      </c>
      <c r="F315" s="17">
        <v>312</v>
      </c>
      <c r="G315">
        <v>40.880000000000003</v>
      </c>
      <c r="H315">
        <v>0</v>
      </c>
      <c r="I315" t="str">
        <f t="shared" si="4"/>
        <v>B2C</v>
      </c>
      <c r="J315" s="19">
        <f>CLIENT[[#This Row],[Duree_Cumulee_Panne_Min]]/1440</f>
        <v>0.21666666666666667</v>
      </c>
      <c r="K315" s="17">
        <f>CLIENT[[#This Row],[Anciennete_Mois]]/12</f>
        <v>6.833333333333333</v>
      </c>
      <c r="L3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5" s="18">
        <f>CLIENT[[#This Row],[Facture_Mensuelle]]*CLIENT[[#This Row],[Remise]]</f>
        <v>18.396000000000001</v>
      </c>
    </row>
    <row r="316" spans="1:13" x14ac:dyDescent="0.35">
      <c r="A316" s="1" t="s">
        <v>129</v>
      </c>
      <c r="B316" s="1" t="s">
        <v>135</v>
      </c>
      <c r="C316" s="1" t="s">
        <v>20</v>
      </c>
      <c r="D316">
        <v>72</v>
      </c>
      <c r="E316" s="1" t="s">
        <v>10</v>
      </c>
      <c r="F316" s="17">
        <v>5</v>
      </c>
      <c r="G316">
        <v>68.650000000000006</v>
      </c>
      <c r="H316">
        <v>0</v>
      </c>
      <c r="I316" t="str">
        <f t="shared" si="4"/>
        <v>B2C</v>
      </c>
      <c r="J316" s="19">
        <f>CLIENT[[#This Row],[Duree_Cumulee_Panne_Min]]/1440</f>
        <v>3.472222222222222E-3</v>
      </c>
      <c r="K316" s="17">
        <f>CLIENT[[#This Row],[Anciennete_Mois]]/12</f>
        <v>6</v>
      </c>
      <c r="L3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16" s="18">
        <f>CLIENT[[#This Row],[Facture_Mensuelle]]*CLIENT[[#This Row],[Remise]]</f>
        <v>0</v>
      </c>
    </row>
    <row r="317" spans="1:13" x14ac:dyDescent="0.35">
      <c r="A317" s="1" t="s">
        <v>129</v>
      </c>
      <c r="B317" s="1" t="s">
        <v>139</v>
      </c>
      <c r="C317" s="1" t="s">
        <v>61</v>
      </c>
      <c r="D317">
        <v>7</v>
      </c>
      <c r="E317" s="1" t="s">
        <v>10</v>
      </c>
      <c r="F317" s="17">
        <v>317</v>
      </c>
      <c r="G317">
        <v>97.32</v>
      </c>
      <c r="H317">
        <v>1</v>
      </c>
      <c r="I317" t="str">
        <f t="shared" si="4"/>
        <v>B2C</v>
      </c>
      <c r="J317" s="19">
        <f>CLIENT[[#This Row],[Duree_Cumulee_Panne_Min]]/1440</f>
        <v>0.22013888888888888</v>
      </c>
      <c r="K317" s="17">
        <f>CLIENT[[#This Row],[Anciennete_Mois]]/12</f>
        <v>0.58333333333333337</v>
      </c>
      <c r="L3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7" s="18">
        <f>CLIENT[[#This Row],[Facture_Mensuelle]]*CLIENT[[#This Row],[Remise]]</f>
        <v>43.793999999999997</v>
      </c>
    </row>
    <row r="318" spans="1:13" x14ac:dyDescent="0.35">
      <c r="A318" s="1" t="s">
        <v>591</v>
      </c>
      <c r="B318" s="1" t="s">
        <v>635</v>
      </c>
      <c r="C318" s="1" t="s">
        <v>48</v>
      </c>
      <c r="D318">
        <v>16</v>
      </c>
      <c r="E318" s="1" t="s">
        <v>10</v>
      </c>
      <c r="F318" s="17">
        <v>96</v>
      </c>
      <c r="G318">
        <v>86.78</v>
      </c>
      <c r="H318">
        <v>1</v>
      </c>
      <c r="I318" t="str">
        <f t="shared" si="4"/>
        <v>B2C</v>
      </c>
      <c r="J318" s="19">
        <f>CLIENT[[#This Row],[Duree_Cumulee_Panne_Min]]/1440</f>
        <v>6.6666666666666666E-2</v>
      </c>
      <c r="K318" s="17">
        <f>CLIENT[[#This Row],[Anciennete_Mois]]/12</f>
        <v>1.3333333333333333</v>
      </c>
      <c r="L3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8" s="18">
        <f>CLIENT[[#This Row],[Facture_Mensuelle]]*CLIENT[[#This Row],[Remise]]</f>
        <v>39.051000000000002</v>
      </c>
    </row>
    <row r="319" spans="1:13" x14ac:dyDescent="0.35">
      <c r="A319" s="1" t="s">
        <v>540</v>
      </c>
      <c r="B319" s="1" t="s">
        <v>571</v>
      </c>
      <c r="C319" s="1" t="s">
        <v>12</v>
      </c>
      <c r="D319">
        <v>74</v>
      </c>
      <c r="E319" s="1" t="s">
        <v>18</v>
      </c>
      <c r="F319" s="17">
        <v>265</v>
      </c>
      <c r="G319">
        <v>90.81</v>
      </c>
      <c r="H319">
        <v>3</v>
      </c>
      <c r="I319" t="str">
        <f t="shared" si="4"/>
        <v>B2C</v>
      </c>
      <c r="J319" s="19">
        <f>CLIENT[[#This Row],[Duree_Cumulee_Panne_Min]]/1440</f>
        <v>0.18402777777777779</v>
      </c>
      <c r="K319" s="17">
        <f>CLIENT[[#This Row],[Anciennete_Mois]]/12</f>
        <v>6.166666666666667</v>
      </c>
      <c r="L3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19" s="18">
        <f>CLIENT[[#This Row],[Facture_Mensuelle]]*CLIENT[[#This Row],[Remise]]</f>
        <v>40.8645</v>
      </c>
    </row>
    <row r="320" spans="1:13" x14ac:dyDescent="0.35">
      <c r="A320" s="1" t="s">
        <v>220</v>
      </c>
      <c r="B320" s="1" t="s">
        <v>259</v>
      </c>
      <c r="C320" s="1" t="s">
        <v>126</v>
      </c>
      <c r="D320">
        <v>106</v>
      </c>
      <c r="E320" s="1" t="s">
        <v>21</v>
      </c>
      <c r="F320" s="17">
        <v>128</v>
      </c>
      <c r="G320">
        <v>35.96</v>
      </c>
      <c r="H320">
        <v>2</v>
      </c>
      <c r="I320" t="str">
        <f t="shared" si="4"/>
        <v>B2C</v>
      </c>
      <c r="J320" s="19">
        <f>CLIENT[[#This Row],[Duree_Cumulee_Panne_Min]]/1440</f>
        <v>8.8888888888888892E-2</v>
      </c>
      <c r="K320" s="17">
        <f>CLIENT[[#This Row],[Anciennete_Mois]]/12</f>
        <v>8.8333333333333339</v>
      </c>
      <c r="L3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0" s="18">
        <f>CLIENT[[#This Row],[Facture_Mensuelle]]*CLIENT[[#This Row],[Remise]]</f>
        <v>0</v>
      </c>
    </row>
    <row r="321" spans="1:13" x14ac:dyDescent="0.35">
      <c r="A321" s="1" t="s">
        <v>640</v>
      </c>
      <c r="B321" s="1" t="s">
        <v>655</v>
      </c>
      <c r="C321" s="1" t="s">
        <v>27</v>
      </c>
      <c r="D321">
        <v>37</v>
      </c>
      <c r="E321" s="1" t="s">
        <v>21</v>
      </c>
      <c r="F321" s="17">
        <v>3</v>
      </c>
      <c r="G321">
        <v>20.89</v>
      </c>
      <c r="H321">
        <v>5</v>
      </c>
      <c r="I321" t="str">
        <f t="shared" si="4"/>
        <v>B2C</v>
      </c>
      <c r="J321" s="19">
        <f>CLIENT[[#This Row],[Duree_Cumulee_Panne_Min]]/1440</f>
        <v>2.0833333333333333E-3</v>
      </c>
      <c r="K321" s="17">
        <f>CLIENT[[#This Row],[Anciennete_Mois]]/12</f>
        <v>3.0833333333333335</v>
      </c>
      <c r="L3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1" s="18">
        <f>CLIENT[[#This Row],[Facture_Mensuelle]]*CLIENT[[#This Row],[Remise]]</f>
        <v>0</v>
      </c>
    </row>
    <row r="322" spans="1:13" x14ac:dyDescent="0.35">
      <c r="A322" s="1" t="s">
        <v>406</v>
      </c>
      <c r="B322" s="1" t="s">
        <v>445</v>
      </c>
      <c r="C322" s="1" t="s">
        <v>35</v>
      </c>
      <c r="D322">
        <v>71</v>
      </c>
      <c r="E322" s="1" t="s">
        <v>21</v>
      </c>
      <c r="F322" s="17">
        <v>68</v>
      </c>
      <c r="G322">
        <v>53.11</v>
      </c>
      <c r="H322">
        <v>2</v>
      </c>
      <c r="I322" t="str">
        <f t="shared" ref="I322:I385" si="5">IF(E323="Pro Monde","B2B","B2C")</f>
        <v>B2C</v>
      </c>
      <c r="J322" s="19">
        <f>CLIENT[[#This Row],[Duree_Cumulee_Panne_Min]]/1440</f>
        <v>4.7222222222222221E-2</v>
      </c>
      <c r="K322" s="17">
        <f>CLIENT[[#This Row],[Anciennete_Mois]]/12</f>
        <v>5.916666666666667</v>
      </c>
      <c r="L3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2" s="18">
        <f>CLIENT[[#This Row],[Facture_Mensuelle]]*CLIENT[[#This Row],[Remise]]</f>
        <v>0</v>
      </c>
    </row>
    <row r="323" spans="1:13" x14ac:dyDescent="0.35">
      <c r="A323" s="1" t="s">
        <v>8</v>
      </c>
      <c r="B323" s="1" t="s">
        <v>47</v>
      </c>
      <c r="C323" s="1" t="s">
        <v>48</v>
      </c>
      <c r="D323">
        <v>119</v>
      </c>
      <c r="E323" s="1" t="s">
        <v>21</v>
      </c>
      <c r="F323" s="17">
        <v>228</v>
      </c>
      <c r="G323">
        <v>94.72</v>
      </c>
      <c r="H323">
        <v>3</v>
      </c>
      <c r="I323" t="str">
        <f t="shared" si="5"/>
        <v>B2C</v>
      </c>
      <c r="J323" s="19">
        <f>CLIENT[[#This Row],[Duree_Cumulee_Panne_Min]]/1440</f>
        <v>0.15833333333333333</v>
      </c>
      <c r="K323" s="17">
        <f>CLIENT[[#This Row],[Anciennete_Mois]]/12</f>
        <v>9.9166666666666661</v>
      </c>
      <c r="L3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3" s="18">
        <f>CLIENT[[#This Row],[Facture_Mensuelle]]*CLIENT[[#This Row],[Remise]]</f>
        <v>0</v>
      </c>
    </row>
    <row r="324" spans="1:13" x14ac:dyDescent="0.35">
      <c r="A324" s="1" t="s">
        <v>640</v>
      </c>
      <c r="B324" s="1" t="s">
        <v>641</v>
      </c>
      <c r="C324" s="1" t="s">
        <v>17</v>
      </c>
      <c r="D324">
        <v>20</v>
      </c>
      <c r="E324" s="1" t="s">
        <v>18</v>
      </c>
      <c r="F324" s="17">
        <v>297</v>
      </c>
      <c r="G324">
        <v>14.77</v>
      </c>
      <c r="H324">
        <v>0</v>
      </c>
      <c r="I324" t="str">
        <f t="shared" si="5"/>
        <v>B2C</v>
      </c>
      <c r="J324" s="19">
        <f>CLIENT[[#This Row],[Duree_Cumulee_Panne_Min]]/1440</f>
        <v>0.20624999999999999</v>
      </c>
      <c r="K324" s="17">
        <f>CLIENT[[#This Row],[Anciennete_Mois]]/12</f>
        <v>1.6666666666666667</v>
      </c>
      <c r="L3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24" s="18">
        <f>CLIENT[[#This Row],[Facture_Mensuelle]]*CLIENT[[#This Row],[Remise]]</f>
        <v>6.6464999999999996</v>
      </c>
    </row>
    <row r="325" spans="1:13" x14ac:dyDescent="0.35">
      <c r="A325" s="1" t="s">
        <v>685</v>
      </c>
      <c r="B325" s="1" t="s">
        <v>694</v>
      </c>
      <c r="C325" s="1" t="s">
        <v>27</v>
      </c>
      <c r="D325">
        <v>109</v>
      </c>
      <c r="E325" s="1" t="s">
        <v>21</v>
      </c>
      <c r="F325" s="17">
        <v>104</v>
      </c>
      <c r="G325">
        <v>12.37</v>
      </c>
      <c r="H325">
        <v>5</v>
      </c>
      <c r="I325" t="str">
        <f t="shared" si="5"/>
        <v>B2C</v>
      </c>
      <c r="J325" s="19">
        <f>CLIENT[[#This Row],[Duree_Cumulee_Panne_Min]]/1440</f>
        <v>7.2222222222222215E-2</v>
      </c>
      <c r="K325" s="17">
        <f>CLIENT[[#This Row],[Anciennete_Mois]]/12</f>
        <v>9.0833333333333339</v>
      </c>
      <c r="L3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5" s="18">
        <f>CLIENT[[#This Row],[Facture_Mensuelle]]*CLIENT[[#This Row],[Remise]]</f>
        <v>0</v>
      </c>
    </row>
    <row r="326" spans="1:13" x14ac:dyDescent="0.35">
      <c r="A326" s="1" t="s">
        <v>685</v>
      </c>
      <c r="B326" s="1" t="s">
        <v>700</v>
      </c>
      <c r="C326" s="1" t="s">
        <v>68</v>
      </c>
      <c r="D326">
        <v>78</v>
      </c>
      <c r="E326" s="1" t="s">
        <v>10</v>
      </c>
      <c r="F326" s="17">
        <v>387</v>
      </c>
      <c r="G326">
        <v>11.63</v>
      </c>
      <c r="H326">
        <v>2</v>
      </c>
      <c r="I326" t="str">
        <f t="shared" si="5"/>
        <v>B2B</v>
      </c>
      <c r="J326" s="19">
        <f>CLIENT[[#This Row],[Duree_Cumulee_Panne_Min]]/1440</f>
        <v>0.26874999999999999</v>
      </c>
      <c r="K326" s="17">
        <f>CLIENT[[#This Row],[Anciennete_Mois]]/12</f>
        <v>6.5</v>
      </c>
      <c r="L3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26" s="18">
        <f>CLIENT[[#This Row],[Facture_Mensuelle]]*CLIENT[[#This Row],[Remise]]</f>
        <v>5.2335000000000003</v>
      </c>
    </row>
    <row r="327" spans="1:13" x14ac:dyDescent="0.35">
      <c r="A327" s="1" t="s">
        <v>496</v>
      </c>
      <c r="B327" s="1" t="s">
        <v>537</v>
      </c>
      <c r="C327" s="1" t="s">
        <v>37</v>
      </c>
      <c r="D327">
        <v>11</v>
      </c>
      <c r="E327" s="1" t="s">
        <v>13</v>
      </c>
      <c r="F327" s="17">
        <v>214</v>
      </c>
      <c r="G327">
        <v>11.46</v>
      </c>
      <c r="H327">
        <v>5</v>
      </c>
      <c r="I327" t="str">
        <f t="shared" si="5"/>
        <v>B2C</v>
      </c>
      <c r="J327" s="19">
        <f>CLIENT[[#This Row],[Duree_Cumulee_Panne_Min]]/1440</f>
        <v>0.14861111111111111</v>
      </c>
      <c r="K327" s="17">
        <f>CLIENT[[#This Row],[Anciennete_Mois]]/12</f>
        <v>0.91666666666666663</v>
      </c>
      <c r="L3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7" s="18">
        <f>CLIENT[[#This Row],[Facture_Mensuelle]]*CLIENT[[#This Row],[Remise]]</f>
        <v>0</v>
      </c>
    </row>
    <row r="328" spans="1:13" x14ac:dyDescent="0.35">
      <c r="A328" s="1" t="s">
        <v>79</v>
      </c>
      <c r="B328" s="1" t="s">
        <v>125</v>
      </c>
      <c r="C328" s="1" t="s">
        <v>126</v>
      </c>
      <c r="D328">
        <v>80</v>
      </c>
      <c r="E328" s="1" t="s">
        <v>21</v>
      </c>
      <c r="F328" s="17">
        <v>155</v>
      </c>
      <c r="G328">
        <v>28.96</v>
      </c>
      <c r="H328">
        <v>2</v>
      </c>
      <c r="I328" t="str">
        <f t="shared" si="5"/>
        <v>B2C</v>
      </c>
      <c r="J328" s="19">
        <f>CLIENT[[#This Row],[Duree_Cumulee_Panne_Min]]/1440</f>
        <v>0.1076388888888889</v>
      </c>
      <c r="K328" s="17">
        <f>CLIENT[[#This Row],[Anciennete_Mois]]/12</f>
        <v>6.666666666666667</v>
      </c>
      <c r="L3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8" s="18">
        <f>CLIENT[[#This Row],[Facture_Mensuelle]]*CLIENT[[#This Row],[Remise]]</f>
        <v>0</v>
      </c>
    </row>
    <row r="329" spans="1:13" x14ac:dyDescent="0.35">
      <c r="A329" s="1" t="s">
        <v>496</v>
      </c>
      <c r="B329" s="1" t="s">
        <v>525</v>
      </c>
      <c r="C329" s="1" t="s">
        <v>83</v>
      </c>
      <c r="D329">
        <v>110</v>
      </c>
      <c r="E329" s="1" t="s">
        <v>21</v>
      </c>
      <c r="F329" s="17">
        <v>47</v>
      </c>
      <c r="G329">
        <v>29.68</v>
      </c>
      <c r="H329">
        <v>0</v>
      </c>
      <c r="I329" t="str">
        <f t="shared" si="5"/>
        <v>B2C</v>
      </c>
      <c r="J329" s="19">
        <f>CLIENT[[#This Row],[Duree_Cumulee_Panne_Min]]/1440</f>
        <v>3.2638888888888891E-2</v>
      </c>
      <c r="K329" s="17">
        <f>CLIENT[[#This Row],[Anciennete_Mois]]/12</f>
        <v>9.1666666666666661</v>
      </c>
      <c r="L3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29" s="18">
        <f>CLIENT[[#This Row],[Facture_Mensuelle]]*CLIENT[[#This Row],[Remise]]</f>
        <v>0</v>
      </c>
    </row>
    <row r="330" spans="1:13" x14ac:dyDescent="0.35">
      <c r="A330" s="1" t="s">
        <v>174</v>
      </c>
      <c r="B330" s="1" t="s">
        <v>199</v>
      </c>
      <c r="C330" s="1" t="s">
        <v>41</v>
      </c>
      <c r="D330">
        <v>5</v>
      </c>
      <c r="E330" s="1" t="s">
        <v>18</v>
      </c>
      <c r="F330" s="17">
        <v>239</v>
      </c>
      <c r="G330">
        <v>26.95</v>
      </c>
      <c r="H330">
        <v>2</v>
      </c>
      <c r="I330" t="str">
        <f t="shared" si="5"/>
        <v>B2C</v>
      </c>
      <c r="J330" s="19">
        <f>CLIENT[[#This Row],[Duree_Cumulee_Panne_Min]]/1440</f>
        <v>0.16597222222222222</v>
      </c>
      <c r="K330" s="17">
        <f>CLIENT[[#This Row],[Anciennete_Mois]]/12</f>
        <v>0.41666666666666669</v>
      </c>
      <c r="L3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30" s="18">
        <f>CLIENT[[#This Row],[Facture_Mensuelle]]*CLIENT[[#This Row],[Remise]]</f>
        <v>0</v>
      </c>
    </row>
    <row r="331" spans="1:13" x14ac:dyDescent="0.35">
      <c r="A331" s="1" t="s">
        <v>360</v>
      </c>
      <c r="B331" s="1" t="s">
        <v>389</v>
      </c>
      <c r="C331" s="1" t="s">
        <v>72</v>
      </c>
      <c r="D331">
        <v>90</v>
      </c>
      <c r="E331" s="1" t="s">
        <v>18</v>
      </c>
      <c r="F331" s="17">
        <v>216</v>
      </c>
      <c r="G331">
        <v>45.58</v>
      </c>
      <c r="H331">
        <v>0</v>
      </c>
      <c r="I331" t="str">
        <f t="shared" si="5"/>
        <v>B2C</v>
      </c>
      <c r="J331" s="19">
        <f>CLIENT[[#This Row],[Duree_Cumulee_Panne_Min]]/1440</f>
        <v>0.15</v>
      </c>
      <c r="K331" s="17">
        <f>CLIENT[[#This Row],[Anciennete_Mois]]/12</f>
        <v>7.5</v>
      </c>
      <c r="L3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31" s="18">
        <f>CLIENT[[#This Row],[Facture_Mensuelle]]*CLIENT[[#This Row],[Remise]]</f>
        <v>0</v>
      </c>
    </row>
    <row r="332" spans="1:13" x14ac:dyDescent="0.35">
      <c r="A332" s="1" t="s">
        <v>267</v>
      </c>
      <c r="B332" s="1" t="s">
        <v>308</v>
      </c>
      <c r="C332" s="1" t="s">
        <v>17</v>
      </c>
      <c r="D332">
        <v>105</v>
      </c>
      <c r="E332" s="1" t="s">
        <v>21</v>
      </c>
      <c r="F332" s="17">
        <v>3</v>
      </c>
      <c r="G332">
        <v>71.010000000000005</v>
      </c>
      <c r="H332">
        <v>1</v>
      </c>
      <c r="I332" t="str">
        <f t="shared" si="5"/>
        <v>B2C</v>
      </c>
      <c r="J332" s="19">
        <f>CLIENT[[#This Row],[Duree_Cumulee_Panne_Min]]/1440</f>
        <v>2.0833333333333333E-3</v>
      </c>
      <c r="K332" s="17">
        <f>CLIENT[[#This Row],[Anciennete_Mois]]/12</f>
        <v>8.75</v>
      </c>
      <c r="L3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32" s="18">
        <f>CLIENT[[#This Row],[Facture_Mensuelle]]*CLIENT[[#This Row],[Remise]]</f>
        <v>0</v>
      </c>
    </row>
    <row r="333" spans="1:13" x14ac:dyDescent="0.35">
      <c r="A333" s="1" t="s">
        <v>406</v>
      </c>
      <c r="B333" s="1" t="s">
        <v>439</v>
      </c>
      <c r="C333" s="1" t="s">
        <v>37</v>
      </c>
      <c r="D333">
        <v>39</v>
      </c>
      <c r="E333" s="1" t="s">
        <v>21</v>
      </c>
      <c r="F333" s="17">
        <v>327</v>
      </c>
      <c r="G333">
        <v>87.24</v>
      </c>
      <c r="H333">
        <v>4</v>
      </c>
      <c r="I333" t="str">
        <f t="shared" si="5"/>
        <v>B2C</v>
      </c>
      <c r="J333" s="19">
        <f>CLIENT[[#This Row],[Duree_Cumulee_Panne_Min]]/1440</f>
        <v>0.22708333333333333</v>
      </c>
      <c r="K333" s="17">
        <f>CLIENT[[#This Row],[Anciennete_Mois]]/12</f>
        <v>3.25</v>
      </c>
      <c r="L3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3" s="18">
        <f>CLIENT[[#This Row],[Facture_Mensuelle]]*CLIENT[[#This Row],[Remise]]</f>
        <v>39.257999999999996</v>
      </c>
    </row>
    <row r="334" spans="1:13" x14ac:dyDescent="0.35">
      <c r="A334" s="1" t="s">
        <v>540</v>
      </c>
      <c r="B334" s="1" t="s">
        <v>561</v>
      </c>
      <c r="C334" s="1" t="s">
        <v>23</v>
      </c>
      <c r="D334">
        <v>21</v>
      </c>
      <c r="E334" s="1" t="s">
        <v>18</v>
      </c>
      <c r="F334" s="17">
        <v>267</v>
      </c>
      <c r="G334">
        <v>74.989999999999995</v>
      </c>
      <c r="H334">
        <v>1</v>
      </c>
      <c r="I334" t="str">
        <f t="shared" si="5"/>
        <v>B2C</v>
      </c>
      <c r="J334" s="19">
        <f>CLIENT[[#This Row],[Duree_Cumulee_Panne_Min]]/1440</f>
        <v>0.18541666666666667</v>
      </c>
      <c r="K334" s="17">
        <f>CLIENT[[#This Row],[Anciennete_Mois]]/12</f>
        <v>1.75</v>
      </c>
      <c r="L3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4" s="18">
        <f>CLIENT[[#This Row],[Facture_Mensuelle]]*CLIENT[[#This Row],[Remise]]</f>
        <v>33.7455</v>
      </c>
    </row>
    <row r="335" spans="1:13" x14ac:dyDescent="0.35">
      <c r="A335" s="1" t="s">
        <v>685</v>
      </c>
      <c r="B335" s="1" t="s">
        <v>689</v>
      </c>
      <c r="C335" s="1" t="s">
        <v>15</v>
      </c>
      <c r="D335">
        <v>9</v>
      </c>
      <c r="E335" s="1" t="s">
        <v>21</v>
      </c>
      <c r="F335" s="17">
        <v>102</v>
      </c>
      <c r="G335">
        <v>41.52</v>
      </c>
      <c r="H335">
        <v>0</v>
      </c>
      <c r="I335" t="str">
        <f t="shared" si="5"/>
        <v>B2B</v>
      </c>
      <c r="J335" s="19">
        <f>CLIENT[[#This Row],[Duree_Cumulee_Panne_Min]]/1440</f>
        <v>7.0833333333333331E-2</v>
      </c>
      <c r="K335" s="17">
        <f>CLIENT[[#This Row],[Anciennete_Mois]]/12</f>
        <v>0.75</v>
      </c>
      <c r="L3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35" s="18">
        <f>CLIENT[[#This Row],[Facture_Mensuelle]]*CLIENT[[#This Row],[Remise]]</f>
        <v>4.1520000000000001</v>
      </c>
    </row>
    <row r="336" spans="1:13" x14ac:dyDescent="0.35">
      <c r="A336" s="1" t="s">
        <v>79</v>
      </c>
      <c r="B336" s="1" t="s">
        <v>95</v>
      </c>
      <c r="C336" s="1" t="s">
        <v>23</v>
      </c>
      <c r="D336">
        <v>53</v>
      </c>
      <c r="E336" s="1" t="s">
        <v>13</v>
      </c>
      <c r="F336" s="17">
        <v>385</v>
      </c>
      <c r="G336">
        <v>68.78</v>
      </c>
      <c r="H336">
        <v>3</v>
      </c>
      <c r="I336" t="str">
        <f t="shared" si="5"/>
        <v>B2B</v>
      </c>
      <c r="J336" s="19">
        <f>CLIENT[[#This Row],[Duree_Cumulee_Panne_Min]]/1440</f>
        <v>0.2673611111111111</v>
      </c>
      <c r="K336" s="17">
        <f>CLIENT[[#This Row],[Anciennete_Mois]]/12</f>
        <v>4.416666666666667</v>
      </c>
      <c r="L3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6" s="18">
        <f>CLIENT[[#This Row],[Facture_Mensuelle]]*CLIENT[[#This Row],[Remise]]</f>
        <v>30.951000000000001</v>
      </c>
    </row>
    <row r="337" spans="1:13" x14ac:dyDescent="0.35">
      <c r="A337" s="1" t="s">
        <v>453</v>
      </c>
      <c r="B337" s="1" t="s">
        <v>469</v>
      </c>
      <c r="C337" s="1" t="s">
        <v>54</v>
      </c>
      <c r="D337">
        <v>64</v>
      </c>
      <c r="E337" s="1" t="s">
        <v>13</v>
      </c>
      <c r="F337" s="17">
        <v>15</v>
      </c>
      <c r="G337">
        <v>56.94</v>
      </c>
      <c r="H337">
        <v>4</v>
      </c>
      <c r="I337" t="str">
        <f t="shared" si="5"/>
        <v>B2C</v>
      </c>
      <c r="J337" s="19">
        <f>CLIENT[[#This Row],[Duree_Cumulee_Panne_Min]]/1440</f>
        <v>1.0416666666666666E-2</v>
      </c>
      <c r="K337" s="17">
        <f>CLIENT[[#This Row],[Anciennete_Mois]]/12</f>
        <v>5.333333333333333</v>
      </c>
      <c r="L3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37" s="18">
        <f>CLIENT[[#This Row],[Facture_Mensuelle]]*CLIENT[[#This Row],[Remise]]</f>
        <v>0</v>
      </c>
    </row>
    <row r="338" spans="1:13" x14ac:dyDescent="0.35">
      <c r="A338" s="1" t="s">
        <v>360</v>
      </c>
      <c r="B338" s="1" t="s">
        <v>403</v>
      </c>
      <c r="C338" s="1" t="s">
        <v>37</v>
      </c>
      <c r="D338">
        <v>45</v>
      </c>
      <c r="E338" s="1" t="s">
        <v>18</v>
      </c>
      <c r="F338" s="17">
        <v>439</v>
      </c>
      <c r="G338">
        <v>13.62</v>
      </c>
      <c r="H338">
        <v>4</v>
      </c>
      <c r="I338" t="str">
        <f t="shared" si="5"/>
        <v>B2C</v>
      </c>
      <c r="J338" s="19">
        <f>CLIENT[[#This Row],[Duree_Cumulee_Panne_Min]]/1440</f>
        <v>0.30486111111111114</v>
      </c>
      <c r="K338" s="17">
        <f>CLIENT[[#This Row],[Anciennete_Mois]]/12</f>
        <v>3.75</v>
      </c>
      <c r="L3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8" s="18">
        <f>CLIENT[[#This Row],[Facture_Mensuelle]]*CLIENT[[#This Row],[Remise]]</f>
        <v>6.1289999999999996</v>
      </c>
    </row>
    <row r="339" spans="1:13" x14ac:dyDescent="0.35">
      <c r="A339" s="1" t="s">
        <v>79</v>
      </c>
      <c r="B339" s="1" t="s">
        <v>85</v>
      </c>
      <c r="C339" s="1" t="s">
        <v>59</v>
      </c>
      <c r="D339">
        <v>86</v>
      </c>
      <c r="E339" s="1" t="s">
        <v>18</v>
      </c>
      <c r="F339" s="17">
        <v>460</v>
      </c>
      <c r="G339">
        <v>22.81</v>
      </c>
      <c r="H339">
        <v>4</v>
      </c>
      <c r="I339" t="str">
        <f t="shared" si="5"/>
        <v>B2C</v>
      </c>
      <c r="J339" s="19">
        <f>CLIENT[[#This Row],[Duree_Cumulee_Panne_Min]]/1440</f>
        <v>0.31944444444444442</v>
      </c>
      <c r="K339" s="17">
        <f>CLIENT[[#This Row],[Anciennete_Mois]]/12</f>
        <v>7.166666666666667</v>
      </c>
      <c r="L3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39" s="18">
        <f>CLIENT[[#This Row],[Facture_Mensuelle]]*CLIENT[[#This Row],[Remise]]</f>
        <v>10.2645</v>
      </c>
    </row>
    <row r="340" spans="1:13" x14ac:dyDescent="0.35">
      <c r="A340" s="1" t="s">
        <v>360</v>
      </c>
      <c r="B340" s="1" t="s">
        <v>388</v>
      </c>
      <c r="C340" s="1" t="s">
        <v>41</v>
      </c>
      <c r="D340">
        <v>45</v>
      </c>
      <c r="E340" s="1" t="s">
        <v>21</v>
      </c>
      <c r="F340" s="17">
        <v>26</v>
      </c>
      <c r="G340">
        <v>30.35</v>
      </c>
      <c r="H340">
        <v>1</v>
      </c>
      <c r="I340" t="str">
        <f t="shared" si="5"/>
        <v>B2C</v>
      </c>
      <c r="J340" s="19">
        <f>CLIENT[[#This Row],[Duree_Cumulee_Panne_Min]]/1440</f>
        <v>1.8055555555555554E-2</v>
      </c>
      <c r="K340" s="17">
        <f>CLIENT[[#This Row],[Anciennete_Mois]]/12</f>
        <v>3.75</v>
      </c>
      <c r="L3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40" s="18">
        <f>CLIENT[[#This Row],[Facture_Mensuelle]]*CLIENT[[#This Row],[Remise]]</f>
        <v>0</v>
      </c>
    </row>
    <row r="341" spans="1:13" x14ac:dyDescent="0.35">
      <c r="A341" s="1" t="s">
        <v>360</v>
      </c>
      <c r="B341" s="1" t="s">
        <v>375</v>
      </c>
      <c r="C341" s="1" t="s">
        <v>62</v>
      </c>
      <c r="D341">
        <v>101</v>
      </c>
      <c r="E341" s="1" t="s">
        <v>10</v>
      </c>
      <c r="F341" s="17">
        <v>476</v>
      </c>
      <c r="G341">
        <v>41.85</v>
      </c>
      <c r="H341">
        <v>4</v>
      </c>
      <c r="I341" t="str">
        <f t="shared" si="5"/>
        <v>B2C</v>
      </c>
      <c r="J341" s="19">
        <f>CLIENT[[#This Row],[Duree_Cumulee_Panne_Min]]/1440</f>
        <v>0.33055555555555555</v>
      </c>
      <c r="K341" s="17">
        <f>CLIENT[[#This Row],[Anciennete_Mois]]/12</f>
        <v>8.4166666666666661</v>
      </c>
      <c r="L3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41" s="18">
        <f>CLIENT[[#This Row],[Facture_Mensuelle]]*CLIENT[[#This Row],[Remise]]</f>
        <v>18.8325</v>
      </c>
    </row>
    <row r="342" spans="1:13" x14ac:dyDescent="0.35">
      <c r="A342" s="1" t="s">
        <v>174</v>
      </c>
      <c r="B342" s="1" t="s">
        <v>213</v>
      </c>
      <c r="C342" s="1" t="s">
        <v>24</v>
      </c>
      <c r="D342">
        <v>21</v>
      </c>
      <c r="E342" s="1" t="s">
        <v>21</v>
      </c>
      <c r="F342" s="17">
        <v>107</v>
      </c>
      <c r="G342">
        <v>30.97</v>
      </c>
      <c r="H342">
        <v>4</v>
      </c>
      <c r="I342" t="str">
        <f t="shared" si="5"/>
        <v>B2B</v>
      </c>
      <c r="J342" s="19">
        <f>CLIENT[[#This Row],[Duree_Cumulee_Panne_Min]]/1440</f>
        <v>7.4305555555555555E-2</v>
      </c>
      <c r="K342" s="17">
        <f>CLIENT[[#This Row],[Anciennete_Mois]]/12</f>
        <v>1.75</v>
      </c>
      <c r="L3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42" s="18">
        <f>CLIENT[[#This Row],[Facture_Mensuelle]]*CLIENT[[#This Row],[Remise]]</f>
        <v>3.097</v>
      </c>
    </row>
    <row r="343" spans="1:13" x14ac:dyDescent="0.35">
      <c r="A343" s="1" t="s">
        <v>540</v>
      </c>
      <c r="B343" s="1" t="s">
        <v>588</v>
      </c>
      <c r="C343" s="1" t="s">
        <v>9</v>
      </c>
      <c r="D343">
        <v>2</v>
      </c>
      <c r="E343" s="1" t="s">
        <v>13</v>
      </c>
      <c r="F343" s="17">
        <v>481</v>
      </c>
      <c r="G343">
        <v>29.37</v>
      </c>
      <c r="H343">
        <v>4</v>
      </c>
      <c r="I343" t="str">
        <f t="shared" si="5"/>
        <v>B2C</v>
      </c>
      <c r="J343" s="19">
        <f>CLIENT[[#This Row],[Duree_Cumulee_Panne_Min]]/1440</f>
        <v>0.33402777777777776</v>
      </c>
      <c r="K343" s="17">
        <f>CLIENT[[#This Row],[Anciennete_Mois]]/12</f>
        <v>0.16666666666666666</v>
      </c>
      <c r="L3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43" s="18">
        <f>CLIENT[[#This Row],[Facture_Mensuelle]]*CLIENT[[#This Row],[Remise]]</f>
        <v>13.2165</v>
      </c>
    </row>
    <row r="344" spans="1:13" x14ac:dyDescent="0.35">
      <c r="A344" s="1" t="s">
        <v>496</v>
      </c>
      <c r="B344" s="1" t="s">
        <v>535</v>
      </c>
      <c r="C344" s="1" t="s">
        <v>23</v>
      </c>
      <c r="D344">
        <v>41</v>
      </c>
      <c r="E344" s="1" t="s">
        <v>10</v>
      </c>
      <c r="F344" s="17">
        <v>178</v>
      </c>
      <c r="G344">
        <v>11.29</v>
      </c>
      <c r="H344">
        <v>4</v>
      </c>
      <c r="I344" t="str">
        <f t="shared" si="5"/>
        <v>B2C</v>
      </c>
      <c r="J344" s="19">
        <f>CLIENT[[#This Row],[Duree_Cumulee_Panne_Min]]/1440</f>
        <v>0.12361111111111112</v>
      </c>
      <c r="K344" s="17">
        <f>CLIENT[[#This Row],[Anciennete_Mois]]/12</f>
        <v>3.4166666666666665</v>
      </c>
      <c r="L3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44" s="18">
        <f>CLIENT[[#This Row],[Facture_Mensuelle]]*CLIENT[[#This Row],[Remise]]</f>
        <v>5.0804999999999998</v>
      </c>
    </row>
    <row r="345" spans="1:13" x14ac:dyDescent="0.35">
      <c r="A345" s="1" t="s">
        <v>540</v>
      </c>
      <c r="B345" s="1" t="s">
        <v>553</v>
      </c>
      <c r="C345" s="1" t="s">
        <v>9</v>
      </c>
      <c r="D345">
        <v>82</v>
      </c>
      <c r="E345" s="1" t="s">
        <v>21</v>
      </c>
      <c r="F345" s="17">
        <v>175</v>
      </c>
      <c r="G345">
        <v>86.14</v>
      </c>
      <c r="H345">
        <v>1</v>
      </c>
      <c r="I345" t="str">
        <f t="shared" si="5"/>
        <v>B2C</v>
      </c>
      <c r="J345" s="19">
        <f>CLIENT[[#This Row],[Duree_Cumulee_Panne_Min]]/1440</f>
        <v>0.12152777777777778</v>
      </c>
      <c r="K345" s="17">
        <f>CLIENT[[#This Row],[Anciennete_Mois]]/12</f>
        <v>6.833333333333333</v>
      </c>
      <c r="L3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45" s="18">
        <f>CLIENT[[#This Row],[Facture_Mensuelle]]*CLIENT[[#This Row],[Remise]]</f>
        <v>0</v>
      </c>
    </row>
    <row r="346" spans="1:13" x14ac:dyDescent="0.35">
      <c r="A346" s="1" t="s">
        <v>220</v>
      </c>
      <c r="B346" s="1" t="s">
        <v>245</v>
      </c>
      <c r="C346" s="1" t="s">
        <v>33</v>
      </c>
      <c r="D346">
        <v>86</v>
      </c>
      <c r="E346" s="1" t="s">
        <v>10</v>
      </c>
      <c r="F346" s="17">
        <v>111</v>
      </c>
      <c r="G346">
        <v>23.65</v>
      </c>
      <c r="H346">
        <v>0</v>
      </c>
      <c r="I346" t="str">
        <f t="shared" si="5"/>
        <v>B2C</v>
      </c>
      <c r="J346" s="19">
        <f>CLIENT[[#This Row],[Duree_Cumulee_Panne_Min]]/1440</f>
        <v>7.7083333333333337E-2</v>
      </c>
      <c r="K346" s="17">
        <f>CLIENT[[#This Row],[Anciennete_Mois]]/12</f>
        <v>7.166666666666667</v>
      </c>
      <c r="L3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46" s="18">
        <f>CLIENT[[#This Row],[Facture_Mensuelle]]*CLIENT[[#This Row],[Remise]]</f>
        <v>0</v>
      </c>
    </row>
    <row r="347" spans="1:13" x14ac:dyDescent="0.35">
      <c r="A347" s="1" t="s">
        <v>406</v>
      </c>
      <c r="B347" s="1" t="s">
        <v>413</v>
      </c>
      <c r="C347" s="1" t="s">
        <v>24</v>
      </c>
      <c r="D347">
        <v>45</v>
      </c>
      <c r="E347" s="1" t="s">
        <v>21</v>
      </c>
      <c r="F347" s="17">
        <v>356</v>
      </c>
      <c r="G347">
        <v>33.76</v>
      </c>
      <c r="H347">
        <v>0</v>
      </c>
      <c r="I347" t="str">
        <f t="shared" si="5"/>
        <v>B2C</v>
      </c>
      <c r="J347" s="19">
        <f>CLIENT[[#This Row],[Duree_Cumulee_Panne_Min]]/1440</f>
        <v>0.24722222222222223</v>
      </c>
      <c r="K347" s="17">
        <f>CLIENT[[#This Row],[Anciennete_Mois]]/12</f>
        <v>3.75</v>
      </c>
      <c r="L3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47" s="18">
        <f>CLIENT[[#This Row],[Facture_Mensuelle]]*CLIENT[[#This Row],[Remise]]</f>
        <v>15.192</v>
      </c>
    </row>
    <row r="348" spans="1:13" x14ac:dyDescent="0.35">
      <c r="A348" s="1" t="s">
        <v>79</v>
      </c>
      <c r="B348" s="1" t="s">
        <v>88</v>
      </c>
      <c r="C348" s="1" t="s">
        <v>48</v>
      </c>
      <c r="D348">
        <v>111</v>
      </c>
      <c r="E348" s="1" t="s">
        <v>10</v>
      </c>
      <c r="F348" s="17">
        <v>103</v>
      </c>
      <c r="G348">
        <v>32.06</v>
      </c>
      <c r="H348">
        <v>0</v>
      </c>
      <c r="I348" t="str">
        <f t="shared" si="5"/>
        <v>B2B</v>
      </c>
      <c r="J348" s="19">
        <f>CLIENT[[#This Row],[Duree_Cumulee_Panne_Min]]/1440</f>
        <v>7.1527777777777773E-2</v>
      </c>
      <c r="K348" s="17">
        <f>CLIENT[[#This Row],[Anciennete_Mois]]/12</f>
        <v>9.25</v>
      </c>
      <c r="L3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48" s="18">
        <f>CLIENT[[#This Row],[Facture_Mensuelle]]*CLIENT[[#This Row],[Remise]]</f>
        <v>3.2060000000000004</v>
      </c>
    </row>
    <row r="349" spans="1:13" x14ac:dyDescent="0.35">
      <c r="A349" s="1" t="s">
        <v>540</v>
      </c>
      <c r="B349" s="1" t="s">
        <v>578</v>
      </c>
      <c r="C349" s="1" t="s">
        <v>41</v>
      </c>
      <c r="D349">
        <v>34</v>
      </c>
      <c r="E349" s="1" t="s">
        <v>13</v>
      </c>
      <c r="F349" s="17">
        <v>58</v>
      </c>
      <c r="G349">
        <v>64.349999999999994</v>
      </c>
      <c r="H349">
        <v>0</v>
      </c>
      <c r="I349" t="str">
        <f t="shared" si="5"/>
        <v>B2C</v>
      </c>
      <c r="J349" s="19">
        <f>CLIENT[[#This Row],[Duree_Cumulee_Panne_Min]]/1440</f>
        <v>4.027777777777778E-2</v>
      </c>
      <c r="K349" s="17">
        <f>CLIENT[[#This Row],[Anciennete_Mois]]/12</f>
        <v>2.8333333333333335</v>
      </c>
      <c r="L3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49" s="18">
        <f>CLIENT[[#This Row],[Facture_Mensuelle]]*CLIENT[[#This Row],[Remise]]</f>
        <v>0</v>
      </c>
    </row>
    <row r="350" spans="1:13" x14ac:dyDescent="0.35">
      <c r="A350" s="1" t="s">
        <v>540</v>
      </c>
      <c r="B350" s="1" t="s">
        <v>565</v>
      </c>
      <c r="C350" s="1" t="s">
        <v>62</v>
      </c>
      <c r="D350">
        <v>91</v>
      </c>
      <c r="E350" s="1" t="s">
        <v>18</v>
      </c>
      <c r="F350" s="17">
        <v>62</v>
      </c>
      <c r="G350">
        <v>34.450000000000003</v>
      </c>
      <c r="H350">
        <v>5</v>
      </c>
      <c r="I350" t="str">
        <f t="shared" si="5"/>
        <v>B2C</v>
      </c>
      <c r="J350" s="19">
        <f>CLIENT[[#This Row],[Duree_Cumulee_Panne_Min]]/1440</f>
        <v>4.3055555555555555E-2</v>
      </c>
      <c r="K350" s="17">
        <f>CLIENT[[#This Row],[Anciennete_Mois]]/12</f>
        <v>7.583333333333333</v>
      </c>
      <c r="L3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50" s="18">
        <f>CLIENT[[#This Row],[Facture_Mensuelle]]*CLIENT[[#This Row],[Remise]]</f>
        <v>0</v>
      </c>
    </row>
    <row r="351" spans="1:13" x14ac:dyDescent="0.35">
      <c r="A351" s="1" t="s">
        <v>267</v>
      </c>
      <c r="B351" s="1" t="s">
        <v>303</v>
      </c>
      <c r="C351" s="1" t="s">
        <v>41</v>
      </c>
      <c r="D351">
        <v>95</v>
      </c>
      <c r="E351" s="1" t="s">
        <v>10</v>
      </c>
      <c r="F351" s="17">
        <v>51</v>
      </c>
      <c r="G351">
        <v>94.77</v>
      </c>
      <c r="H351">
        <v>5</v>
      </c>
      <c r="I351" t="str">
        <f t="shared" si="5"/>
        <v>B2B</v>
      </c>
      <c r="J351" s="19">
        <f>CLIENT[[#This Row],[Duree_Cumulee_Panne_Min]]/1440</f>
        <v>3.5416666666666666E-2</v>
      </c>
      <c r="K351" s="17">
        <f>CLIENT[[#This Row],[Anciennete_Mois]]/12</f>
        <v>7.916666666666667</v>
      </c>
      <c r="L3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51" s="18">
        <f>CLIENT[[#This Row],[Facture_Mensuelle]]*CLIENT[[#This Row],[Remise]]</f>
        <v>9.4770000000000003</v>
      </c>
    </row>
    <row r="352" spans="1:13" x14ac:dyDescent="0.35">
      <c r="A352" s="1" t="s">
        <v>453</v>
      </c>
      <c r="B352" s="1" t="s">
        <v>463</v>
      </c>
      <c r="C352" s="1" t="s">
        <v>68</v>
      </c>
      <c r="D352">
        <v>37</v>
      </c>
      <c r="E352" s="1" t="s">
        <v>13</v>
      </c>
      <c r="F352" s="17">
        <v>37</v>
      </c>
      <c r="G352">
        <v>92.72</v>
      </c>
      <c r="H352">
        <v>0</v>
      </c>
      <c r="I352" t="str">
        <f t="shared" si="5"/>
        <v>B2C</v>
      </c>
      <c r="J352" s="19">
        <f>CLIENT[[#This Row],[Duree_Cumulee_Panne_Min]]/1440</f>
        <v>2.5694444444444443E-2</v>
      </c>
      <c r="K352" s="17">
        <f>CLIENT[[#This Row],[Anciennete_Mois]]/12</f>
        <v>3.0833333333333335</v>
      </c>
      <c r="L3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52" s="18">
        <f>CLIENT[[#This Row],[Facture_Mensuelle]]*CLIENT[[#This Row],[Remise]]</f>
        <v>0</v>
      </c>
    </row>
    <row r="353" spans="1:13" x14ac:dyDescent="0.35">
      <c r="A353" s="1" t="s">
        <v>540</v>
      </c>
      <c r="B353" s="1" t="s">
        <v>562</v>
      </c>
      <c r="C353" s="1" t="s">
        <v>54</v>
      </c>
      <c r="D353">
        <v>56</v>
      </c>
      <c r="E353" s="1" t="s">
        <v>18</v>
      </c>
      <c r="F353" s="17">
        <v>379</v>
      </c>
      <c r="G353">
        <v>49.01</v>
      </c>
      <c r="H353">
        <v>0</v>
      </c>
      <c r="I353" t="str">
        <f t="shared" si="5"/>
        <v>B2B</v>
      </c>
      <c r="J353" s="19">
        <f>CLIENT[[#This Row],[Duree_Cumulee_Panne_Min]]/1440</f>
        <v>0.26319444444444445</v>
      </c>
      <c r="K353" s="17">
        <f>CLIENT[[#This Row],[Anciennete_Mois]]/12</f>
        <v>4.666666666666667</v>
      </c>
      <c r="L3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53" s="18">
        <f>CLIENT[[#This Row],[Facture_Mensuelle]]*CLIENT[[#This Row],[Remise]]</f>
        <v>22.054500000000001</v>
      </c>
    </row>
    <row r="354" spans="1:13" x14ac:dyDescent="0.35">
      <c r="A354" s="1" t="s">
        <v>685</v>
      </c>
      <c r="B354" s="1" t="s">
        <v>702</v>
      </c>
      <c r="C354" s="1" t="s">
        <v>35</v>
      </c>
      <c r="D354">
        <v>4</v>
      </c>
      <c r="E354" s="1" t="s">
        <v>13</v>
      </c>
      <c r="F354" s="17">
        <v>449</v>
      </c>
      <c r="G354">
        <v>43.95</v>
      </c>
      <c r="H354">
        <v>2</v>
      </c>
      <c r="I354" t="str">
        <f t="shared" si="5"/>
        <v>B2B</v>
      </c>
      <c r="J354" s="19">
        <f>CLIENT[[#This Row],[Duree_Cumulee_Panne_Min]]/1440</f>
        <v>0.31180555555555556</v>
      </c>
      <c r="K354" s="17">
        <f>CLIENT[[#This Row],[Anciennete_Mois]]/12</f>
        <v>0.33333333333333331</v>
      </c>
      <c r="L3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54" s="18">
        <f>CLIENT[[#This Row],[Facture_Mensuelle]]*CLIENT[[#This Row],[Remise]]</f>
        <v>19.777500000000003</v>
      </c>
    </row>
    <row r="355" spans="1:13" x14ac:dyDescent="0.35">
      <c r="A355" s="1" t="s">
        <v>360</v>
      </c>
      <c r="B355" s="1" t="s">
        <v>395</v>
      </c>
      <c r="C355" s="1" t="s">
        <v>37</v>
      </c>
      <c r="D355">
        <v>13</v>
      </c>
      <c r="E355" s="1" t="s">
        <v>13</v>
      </c>
      <c r="F355" s="17">
        <v>173</v>
      </c>
      <c r="G355">
        <v>85.54</v>
      </c>
      <c r="H355">
        <v>3</v>
      </c>
      <c r="I355" t="str">
        <f t="shared" si="5"/>
        <v>B2B</v>
      </c>
      <c r="J355" s="19">
        <f>CLIENT[[#This Row],[Duree_Cumulee_Panne_Min]]/1440</f>
        <v>0.12013888888888889</v>
      </c>
      <c r="K355" s="17">
        <f>CLIENT[[#This Row],[Anciennete_Mois]]/12</f>
        <v>1.0833333333333333</v>
      </c>
      <c r="L3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55" s="18">
        <f>CLIENT[[#This Row],[Facture_Mensuelle]]*CLIENT[[#This Row],[Remise]]</f>
        <v>8.5540000000000003</v>
      </c>
    </row>
    <row r="356" spans="1:13" x14ac:dyDescent="0.35">
      <c r="A356" s="1" t="s">
        <v>79</v>
      </c>
      <c r="B356" s="1" t="s">
        <v>127</v>
      </c>
      <c r="C356" s="1" t="s">
        <v>41</v>
      </c>
      <c r="D356">
        <v>70</v>
      </c>
      <c r="E356" s="1" t="s">
        <v>13</v>
      </c>
      <c r="F356" s="17">
        <v>290</v>
      </c>
      <c r="G356">
        <v>96.31</v>
      </c>
      <c r="H356">
        <v>1</v>
      </c>
      <c r="I356" t="str">
        <f t="shared" si="5"/>
        <v>B2C</v>
      </c>
      <c r="J356" s="19">
        <f>CLIENT[[#This Row],[Duree_Cumulee_Panne_Min]]/1440</f>
        <v>0.2013888888888889</v>
      </c>
      <c r="K356" s="17">
        <f>CLIENT[[#This Row],[Anciennete_Mois]]/12</f>
        <v>5.833333333333333</v>
      </c>
      <c r="L3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56" s="18">
        <f>CLIENT[[#This Row],[Facture_Mensuelle]]*CLIENT[[#This Row],[Remise]]</f>
        <v>43.339500000000001</v>
      </c>
    </row>
    <row r="357" spans="1:13" x14ac:dyDescent="0.35">
      <c r="A357" s="1" t="s">
        <v>591</v>
      </c>
      <c r="B357" s="1" t="s">
        <v>627</v>
      </c>
      <c r="C357" s="1" t="s">
        <v>33</v>
      </c>
      <c r="D357">
        <v>49</v>
      </c>
      <c r="E357" s="1" t="s">
        <v>21</v>
      </c>
      <c r="F357" s="17">
        <v>25</v>
      </c>
      <c r="G357">
        <v>22.77</v>
      </c>
      <c r="H357">
        <v>3</v>
      </c>
      <c r="I357" t="str">
        <f t="shared" si="5"/>
        <v>B2C</v>
      </c>
      <c r="J357" s="19">
        <f>CLIENT[[#This Row],[Duree_Cumulee_Panne_Min]]/1440</f>
        <v>1.7361111111111112E-2</v>
      </c>
      <c r="K357" s="17">
        <f>CLIENT[[#This Row],[Anciennete_Mois]]/12</f>
        <v>4.083333333333333</v>
      </c>
      <c r="L3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57" s="18">
        <f>CLIENT[[#This Row],[Facture_Mensuelle]]*CLIENT[[#This Row],[Remise]]</f>
        <v>0</v>
      </c>
    </row>
    <row r="358" spans="1:13" x14ac:dyDescent="0.35">
      <c r="A358" s="1" t="s">
        <v>129</v>
      </c>
      <c r="B358" s="1" t="s">
        <v>167</v>
      </c>
      <c r="C358" s="1" t="s">
        <v>17</v>
      </c>
      <c r="D358">
        <v>11</v>
      </c>
      <c r="E358" s="1" t="s">
        <v>18</v>
      </c>
      <c r="F358" s="17">
        <v>215</v>
      </c>
      <c r="G358">
        <v>51.99</v>
      </c>
      <c r="H358">
        <v>1</v>
      </c>
      <c r="I358" t="str">
        <f t="shared" si="5"/>
        <v>B2C</v>
      </c>
      <c r="J358" s="19">
        <f>CLIENT[[#This Row],[Duree_Cumulee_Panne_Min]]/1440</f>
        <v>0.14930555555555555</v>
      </c>
      <c r="K358" s="17">
        <f>CLIENT[[#This Row],[Anciennete_Mois]]/12</f>
        <v>0.91666666666666663</v>
      </c>
      <c r="L3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58" s="18">
        <f>CLIENT[[#This Row],[Facture_Mensuelle]]*CLIENT[[#This Row],[Remise]]</f>
        <v>0</v>
      </c>
    </row>
    <row r="359" spans="1:13" x14ac:dyDescent="0.35">
      <c r="A359" s="1" t="s">
        <v>640</v>
      </c>
      <c r="B359" s="1" t="s">
        <v>661</v>
      </c>
      <c r="C359" s="1" t="s">
        <v>83</v>
      </c>
      <c r="D359">
        <v>40</v>
      </c>
      <c r="E359" s="1" t="s">
        <v>10</v>
      </c>
      <c r="F359" s="17">
        <v>235</v>
      </c>
      <c r="G359">
        <v>15.01</v>
      </c>
      <c r="H359">
        <v>3</v>
      </c>
      <c r="I359" t="str">
        <f t="shared" si="5"/>
        <v>B2C</v>
      </c>
      <c r="J359" s="19">
        <f>CLIENT[[#This Row],[Duree_Cumulee_Panne_Min]]/1440</f>
        <v>0.16319444444444445</v>
      </c>
      <c r="K359" s="17">
        <f>CLIENT[[#This Row],[Anciennete_Mois]]/12</f>
        <v>3.3333333333333335</v>
      </c>
      <c r="L3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59" s="18">
        <f>CLIENT[[#This Row],[Facture_Mensuelle]]*CLIENT[[#This Row],[Remise]]</f>
        <v>6.7545000000000002</v>
      </c>
    </row>
    <row r="360" spans="1:13" x14ac:dyDescent="0.35">
      <c r="A360" s="1" t="s">
        <v>129</v>
      </c>
      <c r="B360" s="1" t="s">
        <v>133</v>
      </c>
      <c r="C360" s="1" t="s">
        <v>54</v>
      </c>
      <c r="D360">
        <v>33</v>
      </c>
      <c r="E360" s="1" t="s">
        <v>21</v>
      </c>
      <c r="F360" s="17">
        <v>337</v>
      </c>
      <c r="G360">
        <v>62.61</v>
      </c>
      <c r="H360">
        <v>2</v>
      </c>
      <c r="I360" t="str">
        <f t="shared" si="5"/>
        <v>B2C</v>
      </c>
      <c r="J360" s="19">
        <f>CLIENT[[#This Row],[Duree_Cumulee_Panne_Min]]/1440</f>
        <v>0.23402777777777778</v>
      </c>
      <c r="K360" s="17">
        <f>CLIENT[[#This Row],[Anciennete_Mois]]/12</f>
        <v>2.75</v>
      </c>
      <c r="L3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0" s="18">
        <f>CLIENT[[#This Row],[Facture_Mensuelle]]*CLIENT[[#This Row],[Remise]]</f>
        <v>28.174500000000002</v>
      </c>
    </row>
    <row r="361" spans="1:13" x14ac:dyDescent="0.35">
      <c r="A361" s="1" t="s">
        <v>496</v>
      </c>
      <c r="B361" s="1" t="s">
        <v>506</v>
      </c>
      <c r="C361" s="1" t="s">
        <v>126</v>
      </c>
      <c r="D361">
        <v>91</v>
      </c>
      <c r="E361" s="1" t="s">
        <v>21</v>
      </c>
      <c r="F361" s="17">
        <v>90</v>
      </c>
      <c r="G361">
        <v>39.14</v>
      </c>
      <c r="H361">
        <v>3</v>
      </c>
      <c r="I361" t="str">
        <f t="shared" si="5"/>
        <v>B2B</v>
      </c>
      <c r="J361" s="19">
        <f>CLIENT[[#This Row],[Duree_Cumulee_Panne_Min]]/1440</f>
        <v>6.25E-2</v>
      </c>
      <c r="K361" s="17">
        <f>CLIENT[[#This Row],[Anciennete_Mois]]/12</f>
        <v>7.583333333333333</v>
      </c>
      <c r="L3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61" s="18">
        <f>CLIENT[[#This Row],[Facture_Mensuelle]]*CLIENT[[#This Row],[Remise]]</f>
        <v>3.9140000000000001</v>
      </c>
    </row>
    <row r="362" spans="1:13" x14ac:dyDescent="0.35">
      <c r="A362" s="1" t="s">
        <v>174</v>
      </c>
      <c r="B362" s="1" t="s">
        <v>219</v>
      </c>
      <c r="C362" s="1" t="s">
        <v>122</v>
      </c>
      <c r="D362">
        <v>18</v>
      </c>
      <c r="E362" s="1" t="s">
        <v>13</v>
      </c>
      <c r="F362" s="17">
        <v>71</v>
      </c>
      <c r="G362">
        <v>46.98</v>
      </c>
      <c r="H362">
        <v>2</v>
      </c>
      <c r="I362" t="str">
        <f t="shared" si="5"/>
        <v>B2C</v>
      </c>
      <c r="J362" s="19">
        <f>CLIENT[[#This Row],[Duree_Cumulee_Panne_Min]]/1440</f>
        <v>4.9305555555555554E-2</v>
      </c>
      <c r="K362" s="17">
        <f>CLIENT[[#This Row],[Anciennete_Mois]]/12</f>
        <v>1.5</v>
      </c>
      <c r="L3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62" s="18">
        <f>CLIENT[[#This Row],[Facture_Mensuelle]]*CLIENT[[#This Row],[Remise]]</f>
        <v>0</v>
      </c>
    </row>
    <row r="363" spans="1:13" x14ac:dyDescent="0.35">
      <c r="A363" s="1" t="s">
        <v>8</v>
      </c>
      <c r="B363" s="1" t="s">
        <v>39</v>
      </c>
      <c r="C363" s="1" t="s">
        <v>24</v>
      </c>
      <c r="D363">
        <v>112</v>
      </c>
      <c r="E363" s="1" t="s">
        <v>10</v>
      </c>
      <c r="F363" s="17">
        <v>460</v>
      </c>
      <c r="G363">
        <v>55.47</v>
      </c>
      <c r="H363">
        <v>4</v>
      </c>
      <c r="I363" t="str">
        <f t="shared" si="5"/>
        <v>B2C</v>
      </c>
      <c r="J363" s="19">
        <f>CLIENT[[#This Row],[Duree_Cumulee_Panne_Min]]/1440</f>
        <v>0.31944444444444442</v>
      </c>
      <c r="K363" s="17">
        <f>CLIENT[[#This Row],[Anciennete_Mois]]/12</f>
        <v>9.3333333333333339</v>
      </c>
      <c r="L3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3" s="18">
        <f>CLIENT[[#This Row],[Facture_Mensuelle]]*CLIENT[[#This Row],[Remise]]</f>
        <v>24.961500000000001</v>
      </c>
    </row>
    <row r="364" spans="1:13" x14ac:dyDescent="0.35">
      <c r="A364" s="1" t="s">
        <v>540</v>
      </c>
      <c r="B364" s="1" t="s">
        <v>583</v>
      </c>
      <c r="C364" s="1" t="s">
        <v>29</v>
      </c>
      <c r="D364">
        <v>27</v>
      </c>
      <c r="E364" s="1" t="s">
        <v>18</v>
      </c>
      <c r="F364" s="17">
        <v>70</v>
      </c>
      <c r="G364">
        <v>20.32</v>
      </c>
      <c r="H364">
        <v>3</v>
      </c>
      <c r="I364" t="str">
        <f t="shared" si="5"/>
        <v>B2C</v>
      </c>
      <c r="J364" s="19">
        <f>CLIENT[[#This Row],[Duree_Cumulee_Panne_Min]]/1440</f>
        <v>4.8611111111111112E-2</v>
      </c>
      <c r="K364" s="17">
        <f>CLIENT[[#This Row],[Anciennete_Mois]]/12</f>
        <v>2.25</v>
      </c>
      <c r="L3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64" s="18">
        <f>CLIENT[[#This Row],[Facture_Mensuelle]]*CLIENT[[#This Row],[Remise]]</f>
        <v>0</v>
      </c>
    </row>
    <row r="365" spans="1:13" x14ac:dyDescent="0.35">
      <c r="A365" s="1" t="s">
        <v>129</v>
      </c>
      <c r="B365" s="1" t="s">
        <v>1625</v>
      </c>
      <c r="C365" s="1" t="s">
        <v>37</v>
      </c>
      <c r="D365">
        <v>-36</v>
      </c>
      <c r="E365" s="1" t="s">
        <v>18</v>
      </c>
      <c r="F365" s="17">
        <v>404</v>
      </c>
      <c r="G365">
        <v>40.21</v>
      </c>
      <c r="H365">
        <v>1</v>
      </c>
      <c r="I365" t="str">
        <f t="shared" si="5"/>
        <v>B2C</v>
      </c>
      <c r="J365" s="19">
        <f>CLIENT[[#This Row],[Duree_Cumulee_Panne_Min]]/1440</f>
        <v>0.28055555555555556</v>
      </c>
      <c r="K365" s="17">
        <f>CLIENT[[#This Row],[Anciennete_Mois]]/12</f>
        <v>-3</v>
      </c>
      <c r="L3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5" s="18">
        <f>CLIENT[[#This Row],[Facture_Mensuelle]]*CLIENT[[#This Row],[Remise]]</f>
        <v>18.0945</v>
      </c>
    </row>
    <row r="366" spans="1:13" x14ac:dyDescent="0.35">
      <c r="A366" s="1" t="s">
        <v>685</v>
      </c>
      <c r="B366" s="1" t="s">
        <v>706</v>
      </c>
      <c r="C366" s="1" t="s">
        <v>83</v>
      </c>
      <c r="D366">
        <v>90</v>
      </c>
      <c r="E366" s="1" t="s">
        <v>21</v>
      </c>
      <c r="F366" s="17">
        <v>412</v>
      </c>
      <c r="G366">
        <v>20.62</v>
      </c>
      <c r="H366">
        <v>2</v>
      </c>
      <c r="I366" t="str">
        <f t="shared" si="5"/>
        <v>B2B</v>
      </c>
      <c r="J366" s="19">
        <f>CLIENT[[#This Row],[Duree_Cumulee_Panne_Min]]/1440</f>
        <v>0.28611111111111109</v>
      </c>
      <c r="K366" s="17">
        <f>CLIENT[[#This Row],[Anciennete_Mois]]/12</f>
        <v>7.5</v>
      </c>
      <c r="L3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6" s="18">
        <f>CLIENT[[#This Row],[Facture_Mensuelle]]*CLIENT[[#This Row],[Remise]]</f>
        <v>9.2789999999999999</v>
      </c>
    </row>
    <row r="367" spans="1:13" x14ac:dyDescent="0.35">
      <c r="A367" s="1" t="s">
        <v>685</v>
      </c>
      <c r="B367" s="1" t="s">
        <v>692</v>
      </c>
      <c r="C367" s="1" t="s">
        <v>24</v>
      </c>
      <c r="D367">
        <v>33</v>
      </c>
      <c r="E367" s="1" t="s">
        <v>13</v>
      </c>
      <c r="F367" s="17">
        <v>391</v>
      </c>
      <c r="G367">
        <v>88.88</v>
      </c>
      <c r="H367">
        <v>4</v>
      </c>
      <c r="I367" t="str">
        <f t="shared" si="5"/>
        <v>B2C</v>
      </c>
      <c r="J367" s="19">
        <f>CLIENT[[#This Row],[Duree_Cumulee_Panne_Min]]/1440</f>
        <v>0.27152777777777776</v>
      </c>
      <c r="K367" s="17">
        <f>CLIENT[[#This Row],[Anciennete_Mois]]/12</f>
        <v>2.75</v>
      </c>
      <c r="L3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7" s="18">
        <f>CLIENT[[#This Row],[Facture_Mensuelle]]*CLIENT[[#This Row],[Remise]]</f>
        <v>39.996000000000002</v>
      </c>
    </row>
    <row r="368" spans="1:13" x14ac:dyDescent="0.35">
      <c r="A368" s="1" t="s">
        <v>406</v>
      </c>
      <c r="B368" s="1" t="s">
        <v>422</v>
      </c>
      <c r="C368" s="1" t="s">
        <v>27</v>
      </c>
      <c r="D368">
        <v>1</v>
      </c>
      <c r="E368" s="1" t="s">
        <v>10</v>
      </c>
      <c r="F368" s="17">
        <v>368</v>
      </c>
      <c r="G368">
        <v>35.17</v>
      </c>
      <c r="H368">
        <v>1</v>
      </c>
      <c r="I368" t="str">
        <f t="shared" si="5"/>
        <v>B2C</v>
      </c>
      <c r="J368" s="19">
        <f>CLIENT[[#This Row],[Duree_Cumulee_Panne_Min]]/1440</f>
        <v>0.25555555555555554</v>
      </c>
      <c r="K368" s="17">
        <f>CLIENT[[#This Row],[Anciennete_Mois]]/12</f>
        <v>8.3333333333333329E-2</v>
      </c>
      <c r="L3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8" s="18">
        <f>CLIENT[[#This Row],[Facture_Mensuelle]]*CLIENT[[#This Row],[Remise]]</f>
        <v>15.826500000000001</v>
      </c>
    </row>
    <row r="369" spans="1:13" x14ac:dyDescent="0.35">
      <c r="A369" s="1" t="s">
        <v>360</v>
      </c>
      <c r="B369" s="1" t="s">
        <v>363</v>
      </c>
      <c r="C369" s="1" t="s">
        <v>15</v>
      </c>
      <c r="D369">
        <v>117</v>
      </c>
      <c r="E369" s="1" t="s">
        <v>21</v>
      </c>
      <c r="F369" s="17">
        <v>338</v>
      </c>
      <c r="G369">
        <v>29.18</v>
      </c>
      <c r="H369">
        <v>5</v>
      </c>
      <c r="I369" t="str">
        <f t="shared" si="5"/>
        <v>B2C</v>
      </c>
      <c r="J369" s="19">
        <f>CLIENT[[#This Row],[Duree_Cumulee_Panne_Min]]/1440</f>
        <v>0.23472222222222222</v>
      </c>
      <c r="K369" s="17">
        <f>CLIENT[[#This Row],[Anciennete_Mois]]/12</f>
        <v>9.75</v>
      </c>
      <c r="L3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69" s="18">
        <f>CLIENT[[#This Row],[Facture_Mensuelle]]*CLIENT[[#This Row],[Remise]]</f>
        <v>13.131</v>
      </c>
    </row>
    <row r="370" spans="1:13" x14ac:dyDescent="0.35">
      <c r="A370" s="1" t="s">
        <v>267</v>
      </c>
      <c r="B370" s="1" t="s">
        <v>279</v>
      </c>
      <c r="C370" s="1" t="s">
        <v>37</v>
      </c>
      <c r="D370">
        <v>50</v>
      </c>
      <c r="E370" s="1" t="s">
        <v>21</v>
      </c>
      <c r="F370" s="17">
        <v>446</v>
      </c>
      <c r="G370">
        <v>31.56</v>
      </c>
      <c r="H370">
        <v>5</v>
      </c>
      <c r="I370" t="str">
        <f t="shared" si="5"/>
        <v>B2C</v>
      </c>
      <c r="J370" s="19">
        <f>CLIENT[[#This Row],[Duree_Cumulee_Panne_Min]]/1440</f>
        <v>0.30972222222222223</v>
      </c>
      <c r="K370" s="17">
        <f>CLIENT[[#This Row],[Anciennete_Mois]]/12</f>
        <v>4.166666666666667</v>
      </c>
      <c r="L3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0" s="18">
        <f>CLIENT[[#This Row],[Facture_Mensuelle]]*CLIENT[[#This Row],[Remise]]</f>
        <v>14.202</v>
      </c>
    </row>
    <row r="371" spans="1:13" x14ac:dyDescent="0.35">
      <c r="A371" s="1" t="s">
        <v>360</v>
      </c>
      <c r="B371" s="1" t="s">
        <v>383</v>
      </c>
      <c r="C371" s="1" t="s">
        <v>12</v>
      </c>
      <c r="D371">
        <v>76</v>
      </c>
      <c r="E371" s="1" t="s">
        <v>10</v>
      </c>
      <c r="F371" s="17">
        <v>187</v>
      </c>
      <c r="G371">
        <v>56.29</v>
      </c>
      <c r="H371">
        <v>1</v>
      </c>
      <c r="I371" t="str">
        <f t="shared" si="5"/>
        <v>B2C</v>
      </c>
      <c r="J371" s="19">
        <f>CLIENT[[#This Row],[Duree_Cumulee_Panne_Min]]/1440</f>
        <v>0.12986111111111112</v>
      </c>
      <c r="K371" s="17">
        <f>CLIENT[[#This Row],[Anciennete_Mois]]/12</f>
        <v>6.333333333333333</v>
      </c>
      <c r="L3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71" s="18">
        <f>CLIENT[[#This Row],[Facture_Mensuelle]]*CLIENT[[#This Row],[Remise]]</f>
        <v>0</v>
      </c>
    </row>
    <row r="372" spans="1:13" x14ac:dyDescent="0.35">
      <c r="A372" s="1" t="s">
        <v>406</v>
      </c>
      <c r="B372" s="1" t="s">
        <v>444</v>
      </c>
      <c r="C372" s="1" t="s">
        <v>33</v>
      </c>
      <c r="D372">
        <v>88</v>
      </c>
      <c r="E372" s="1" t="s">
        <v>18</v>
      </c>
      <c r="F372" s="17">
        <v>474</v>
      </c>
      <c r="G372">
        <v>23.35</v>
      </c>
      <c r="H372">
        <v>5</v>
      </c>
      <c r="I372" t="str">
        <f t="shared" si="5"/>
        <v>B2B</v>
      </c>
      <c r="J372" s="19">
        <f>CLIENT[[#This Row],[Duree_Cumulee_Panne_Min]]/1440</f>
        <v>0.32916666666666666</v>
      </c>
      <c r="K372" s="17">
        <f>CLIENT[[#This Row],[Anciennete_Mois]]/12</f>
        <v>7.333333333333333</v>
      </c>
      <c r="L3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2" s="18">
        <f>CLIENT[[#This Row],[Facture_Mensuelle]]*CLIENT[[#This Row],[Remise]]</f>
        <v>10.5075</v>
      </c>
    </row>
    <row r="373" spans="1:13" x14ac:dyDescent="0.35">
      <c r="A373" s="1" t="s">
        <v>453</v>
      </c>
      <c r="B373" s="1" t="s">
        <v>457</v>
      </c>
      <c r="C373" s="1" t="s">
        <v>61</v>
      </c>
      <c r="D373">
        <v>115</v>
      </c>
      <c r="E373" s="1" t="s">
        <v>13</v>
      </c>
      <c r="F373" s="17">
        <v>190</v>
      </c>
      <c r="G373">
        <v>10.98</v>
      </c>
      <c r="H373">
        <v>0</v>
      </c>
      <c r="I373" t="str">
        <f t="shared" si="5"/>
        <v>B2C</v>
      </c>
      <c r="J373" s="19">
        <f>CLIENT[[#This Row],[Duree_Cumulee_Panne_Min]]/1440</f>
        <v>0.13194444444444445</v>
      </c>
      <c r="K373" s="17">
        <f>CLIENT[[#This Row],[Anciennete_Mois]]/12</f>
        <v>9.5833333333333339</v>
      </c>
      <c r="L3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73" s="18">
        <f>CLIENT[[#This Row],[Facture_Mensuelle]]*CLIENT[[#This Row],[Remise]]</f>
        <v>0</v>
      </c>
    </row>
    <row r="374" spans="1:13" x14ac:dyDescent="0.35">
      <c r="A374" s="1" t="s">
        <v>267</v>
      </c>
      <c r="B374" s="1" t="s">
        <v>299</v>
      </c>
      <c r="C374" s="1" t="s">
        <v>41</v>
      </c>
      <c r="D374">
        <v>84</v>
      </c>
      <c r="E374" s="1" t="s">
        <v>18</v>
      </c>
      <c r="F374" s="17">
        <v>244</v>
      </c>
      <c r="G374">
        <v>56.34</v>
      </c>
      <c r="H374">
        <v>5</v>
      </c>
      <c r="I374" t="str">
        <f t="shared" si="5"/>
        <v>B2C</v>
      </c>
      <c r="J374" s="19">
        <f>CLIENT[[#This Row],[Duree_Cumulee_Panne_Min]]/1440</f>
        <v>0.16944444444444445</v>
      </c>
      <c r="K374" s="17">
        <f>CLIENT[[#This Row],[Anciennete_Mois]]/12</f>
        <v>7</v>
      </c>
      <c r="L3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4" s="18">
        <f>CLIENT[[#This Row],[Facture_Mensuelle]]*CLIENT[[#This Row],[Remise]]</f>
        <v>25.353000000000002</v>
      </c>
    </row>
    <row r="375" spans="1:13" x14ac:dyDescent="0.35">
      <c r="A375" s="1" t="s">
        <v>540</v>
      </c>
      <c r="B375" s="1" t="s">
        <v>581</v>
      </c>
      <c r="C375" s="1" t="s">
        <v>68</v>
      </c>
      <c r="D375">
        <v>21</v>
      </c>
      <c r="E375" s="1" t="s">
        <v>18</v>
      </c>
      <c r="F375" s="17">
        <v>15</v>
      </c>
      <c r="G375">
        <v>57.74</v>
      </c>
      <c r="H375">
        <v>0</v>
      </c>
      <c r="I375" t="str">
        <f t="shared" si="5"/>
        <v>B2C</v>
      </c>
      <c r="J375" s="19">
        <f>CLIENT[[#This Row],[Duree_Cumulee_Panne_Min]]/1440</f>
        <v>1.0416666666666666E-2</v>
      </c>
      <c r="K375" s="17">
        <f>CLIENT[[#This Row],[Anciennete_Mois]]/12</f>
        <v>1.75</v>
      </c>
      <c r="L3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75" s="18">
        <f>CLIENT[[#This Row],[Facture_Mensuelle]]*CLIENT[[#This Row],[Remise]]</f>
        <v>0</v>
      </c>
    </row>
    <row r="376" spans="1:13" x14ac:dyDescent="0.35">
      <c r="A376" s="1" t="s">
        <v>496</v>
      </c>
      <c r="B376" s="1" t="s">
        <v>498</v>
      </c>
      <c r="C376" s="1" t="s">
        <v>126</v>
      </c>
      <c r="D376">
        <v>21</v>
      </c>
      <c r="E376" s="1" t="s">
        <v>21</v>
      </c>
      <c r="F376" s="17">
        <v>444</v>
      </c>
      <c r="G376">
        <v>41.92</v>
      </c>
      <c r="H376">
        <v>3</v>
      </c>
      <c r="I376" t="str">
        <f t="shared" si="5"/>
        <v>B2C</v>
      </c>
      <c r="J376" s="19">
        <f>CLIENT[[#This Row],[Duree_Cumulee_Panne_Min]]/1440</f>
        <v>0.30833333333333335</v>
      </c>
      <c r="K376" s="17">
        <f>CLIENT[[#This Row],[Anciennete_Mois]]/12</f>
        <v>1.75</v>
      </c>
      <c r="L3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6" s="18">
        <f>CLIENT[[#This Row],[Facture_Mensuelle]]*CLIENT[[#This Row],[Remise]]</f>
        <v>18.864000000000001</v>
      </c>
    </row>
    <row r="377" spans="1:13" x14ac:dyDescent="0.35">
      <c r="A377" s="1" t="s">
        <v>640</v>
      </c>
      <c r="B377" s="1" t="s">
        <v>679</v>
      </c>
      <c r="C377" s="1" t="s">
        <v>61</v>
      </c>
      <c r="D377">
        <v>92</v>
      </c>
      <c r="E377" s="1" t="s">
        <v>18</v>
      </c>
      <c r="F377" s="17">
        <v>379</v>
      </c>
      <c r="G377">
        <v>70.08</v>
      </c>
      <c r="H377">
        <v>5</v>
      </c>
      <c r="I377" t="str">
        <f t="shared" si="5"/>
        <v>B2C</v>
      </c>
      <c r="J377" s="19">
        <f>CLIENT[[#This Row],[Duree_Cumulee_Panne_Min]]/1440</f>
        <v>0.26319444444444445</v>
      </c>
      <c r="K377" s="17">
        <f>CLIENT[[#This Row],[Anciennete_Mois]]/12</f>
        <v>7.666666666666667</v>
      </c>
      <c r="L3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7" s="18">
        <f>CLIENT[[#This Row],[Facture_Mensuelle]]*CLIENT[[#This Row],[Remise]]</f>
        <v>31.536000000000001</v>
      </c>
    </row>
    <row r="378" spans="1:13" x14ac:dyDescent="0.35">
      <c r="A378" s="1" t="s">
        <v>267</v>
      </c>
      <c r="B378" s="1" t="s">
        <v>275</v>
      </c>
      <c r="C378" s="1" t="s">
        <v>61</v>
      </c>
      <c r="D378">
        <v>114</v>
      </c>
      <c r="E378" s="1" t="s">
        <v>18</v>
      </c>
      <c r="F378" s="17">
        <v>388</v>
      </c>
      <c r="G378">
        <v>40.29</v>
      </c>
      <c r="H378">
        <v>5</v>
      </c>
      <c r="I378" t="str">
        <f t="shared" si="5"/>
        <v>B2B</v>
      </c>
      <c r="J378" s="19">
        <f>CLIENT[[#This Row],[Duree_Cumulee_Panne_Min]]/1440</f>
        <v>0.26944444444444443</v>
      </c>
      <c r="K378" s="17">
        <f>CLIENT[[#This Row],[Anciennete_Mois]]/12</f>
        <v>9.5</v>
      </c>
      <c r="L3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8" s="18">
        <f>CLIENT[[#This Row],[Facture_Mensuelle]]*CLIENT[[#This Row],[Remise]]</f>
        <v>18.130500000000001</v>
      </c>
    </row>
    <row r="379" spans="1:13" x14ac:dyDescent="0.35">
      <c r="A379" s="1" t="s">
        <v>79</v>
      </c>
      <c r="B379" s="1" t="s">
        <v>82</v>
      </c>
      <c r="C379" s="1" t="s">
        <v>83</v>
      </c>
      <c r="D379">
        <v>98</v>
      </c>
      <c r="E379" s="1" t="s">
        <v>13</v>
      </c>
      <c r="F379" s="17">
        <v>482</v>
      </c>
      <c r="G379">
        <v>55.04</v>
      </c>
      <c r="H379">
        <v>5</v>
      </c>
      <c r="I379" t="str">
        <f t="shared" si="5"/>
        <v>B2C</v>
      </c>
      <c r="J379" s="19">
        <f>CLIENT[[#This Row],[Duree_Cumulee_Panne_Min]]/1440</f>
        <v>0.3347222222222222</v>
      </c>
      <c r="K379" s="17">
        <f>CLIENT[[#This Row],[Anciennete_Mois]]/12</f>
        <v>8.1666666666666661</v>
      </c>
      <c r="L3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79" s="18">
        <f>CLIENT[[#This Row],[Facture_Mensuelle]]*CLIENT[[#This Row],[Remise]]</f>
        <v>24.768000000000001</v>
      </c>
    </row>
    <row r="380" spans="1:13" x14ac:dyDescent="0.35">
      <c r="A380" s="1" t="s">
        <v>220</v>
      </c>
      <c r="B380" s="1" t="s">
        <v>241</v>
      </c>
      <c r="C380" s="1" t="s">
        <v>54</v>
      </c>
      <c r="D380">
        <v>15</v>
      </c>
      <c r="E380" s="1" t="s">
        <v>18</v>
      </c>
      <c r="F380" s="17">
        <v>319</v>
      </c>
      <c r="G380">
        <v>78.150000000000006</v>
      </c>
      <c r="H380">
        <v>4</v>
      </c>
      <c r="I380" t="str">
        <f t="shared" si="5"/>
        <v>B2C</v>
      </c>
      <c r="J380" s="19">
        <f>CLIENT[[#This Row],[Duree_Cumulee_Panne_Min]]/1440</f>
        <v>0.22152777777777777</v>
      </c>
      <c r="K380" s="17">
        <f>CLIENT[[#This Row],[Anciennete_Mois]]/12</f>
        <v>1.25</v>
      </c>
      <c r="L3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80" s="18">
        <f>CLIENT[[#This Row],[Facture_Mensuelle]]*CLIENT[[#This Row],[Remise]]</f>
        <v>35.167500000000004</v>
      </c>
    </row>
    <row r="381" spans="1:13" x14ac:dyDescent="0.35">
      <c r="A381" s="1" t="s">
        <v>685</v>
      </c>
      <c r="B381" s="1" t="s">
        <v>705</v>
      </c>
      <c r="C381" s="1" t="s">
        <v>83</v>
      </c>
      <c r="D381">
        <v>42</v>
      </c>
      <c r="E381" s="1" t="s">
        <v>18</v>
      </c>
      <c r="F381" s="17">
        <v>252</v>
      </c>
      <c r="G381">
        <v>59.46</v>
      </c>
      <c r="H381">
        <v>4</v>
      </c>
      <c r="I381" t="str">
        <f t="shared" si="5"/>
        <v>B2C</v>
      </c>
      <c r="J381" s="19">
        <f>CLIENT[[#This Row],[Duree_Cumulee_Panne_Min]]/1440</f>
        <v>0.17499999999999999</v>
      </c>
      <c r="K381" s="17">
        <f>CLIENT[[#This Row],[Anciennete_Mois]]/12</f>
        <v>3.5</v>
      </c>
      <c r="L3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81" s="18">
        <f>CLIENT[[#This Row],[Facture_Mensuelle]]*CLIENT[[#This Row],[Remise]]</f>
        <v>26.757000000000001</v>
      </c>
    </row>
    <row r="382" spans="1:13" x14ac:dyDescent="0.35">
      <c r="A382" s="1" t="s">
        <v>685</v>
      </c>
      <c r="B382" s="1" t="s">
        <v>690</v>
      </c>
      <c r="C382" s="1" t="s">
        <v>24</v>
      </c>
      <c r="D382">
        <v>8</v>
      </c>
      <c r="E382" s="1" t="s">
        <v>18</v>
      </c>
      <c r="F382" s="17">
        <v>171</v>
      </c>
      <c r="G382">
        <v>52.98</v>
      </c>
      <c r="H382">
        <v>0</v>
      </c>
      <c r="I382" t="str">
        <f t="shared" si="5"/>
        <v>B2B</v>
      </c>
      <c r="J382" s="19">
        <f>CLIENT[[#This Row],[Duree_Cumulee_Panne_Min]]/1440</f>
        <v>0.11874999999999999</v>
      </c>
      <c r="K382" s="17">
        <f>CLIENT[[#This Row],[Anciennete_Mois]]/12</f>
        <v>0.66666666666666663</v>
      </c>
      <c r="L3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82" s="18">
        <f>CLIENT[[#This Row],[Facture_Mensuelle]]*CLIENT[[#This Row],[Remise]]</f>
        <v>5.298</v>
      </c>
    </row>
    <row r="383" spans="1:13" x14ac:dyDescent="0.35">
      <c r="A383" s="1" t="s">
        <v>79</v>
      </c>
      <c r="B383" s="1" t="s">
        <v>91</v>
      </c>
      <c r="C383" s="1" t="s">
        <v>20</v>
      </c>
      <c r="D383">
        <v>12</v>
      </c>
      <c r="E383" s="1" t="s">
        <v>13</v>
      </c>
      <c r="F383" s="17">
        <v>305</v>
      </c>
      <c r="G383">
        <v>59.96</v>
      </c>
      <c r="H383">
        <v>3</v>
      </c>
      <c r="I383" t="str">
        <f t="shared" si="5"/>
        <v>B2B</v>
      </c>
      <c r="J383" s="19">
        <f>CLIENT[[#This Row],[Duree_Cumulee_Panne_Min]]/1440</f>
        <v>0.21180555555555555</v>
      </c>
      <c r="K383" s="17">
        <f>CLIENT[[#This Row],[Anciennete_Mois]]/12</f>
        <v>1</v>
      </c>
      <c r="L3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83" s="18">
        <f>CLIENT[[#This Row],[Facture_Mensuelle]]*CLIENT[[#This Row],[Remise]]</f>
        <v>26.981999999999999</v>
      </c>
    </row>
    <row r="384" spans="1:13" x14ac:dyDescent="0.35">
      <c r="A384" s="1" t="s">
        <v>314</v>
      </c>
      <c r="B384" s="1" t="s">
        <v>341</v>
      </c>
      <c r="C384" s="1" t="s">
        <v>33</v>
      </c>
      <c r="D384">
        <v>29</v>
      </c>
      <c r="E384" s="1" t="s">
        <v>13</v>
      </c>
      <c r="F384" s="17">
        <v>203</v>
      </c>
      <c r="G384">
        <v>53.97</v>
      </c>
      <c r="H384">
        <v>5</v>
      </c>
      <c r="I384" t="str">
        <f t="shared" si="5"/>
        <v>B2B</v>
      </c>
      <c r="J384" s="19">
        <f>CLIENT[[#This Row],[Duree_Cumulee_Panne_Min]]/1440</f>
        <v>0.14097222222222222</v>
      </c>
      <c r="K384" s="17">
        <f>CLIENT[[#This Row],[Anciennete_Mois]]/12</f>
        <v>2.4166666666666665</v>
      </c>
      <c r="L3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84" s="18">
        <f>CLIENT[[#This Row],[Facture_Mensuelle]]*CLIENT[[#This Row],[Remise]]</f>
        <v>5.3970000000000002</v>
      </c>
    </row>
    <row r="385" spans="1:13" x14ac:dyDescent="0.35">
      <c r="A385" s="1" t="s">
        <v>453</v>
      </c>
      <c r="B385" s="1" t="s">
        <v>461</v>
      </c>
      <c r="C385" s="1" t="s">
        <v>33</v>
      </c>
      <c r="D385">
        <v>80</v>
      </c>
      <c r="E385" s="1" t="s">
        <v>13</v>
      </c>
      <c r="F385" s="17">
        <v>339</v>
      </c>
      <c r="G385">
        <v>59.87</v>
      </c>
      <c r="H385">
        <v>0</v>
      </c>
      <c r="I385" t="str">
        <f t="shared" si="5"/>
        <v>B2C</v>
      </c>
      <c r="J385" s="19">
        <f>CLIENT[[#This Row],[Duree_Cumulee_Panne_Min]]/1440</f>
        <v>0.23541666666666666</v>
      </c>
      <c r="K385" s="17">
        <f>CLIENT[[#This Row],[Anciennete_Mois]]/12</f>
        <v>6.666666666666667</v>
      </c>
      <c r="L3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85" s="18">
        <f>CLIENT[[#This Row],[Facture_Mensuelle]]*CLIENT[[#This Row],[Remise]]</f>
        <v>26.941499999999998</v>
      </c>
    </row>
    <row r="386" spans="1:13" x14ac:dyDescent="0.35">
      <c r="A386" s="1" t="s">
        <v>79</v>
      </c>
      <c r="B386" s="1" t="s">
        <v>104</v>
      </c>
      <c r="C386" s="1" t="s">
        <v>17</v>
      </c>
      <c r="D386">
        <v>95</v>
      </c>
      <c r="E386" s="1" t="s">
        <v>18</v>
      </c>
      <c r="F386" s="17">
        <v>33</v>
      </c>
      <c r="G386">
        <v>35.32</v>
      </c>
      <c r="H386">
        <v>0</v>
      </c>
      <c r="I386" t="str">
        <f t="shared" ref="I386:I449" si="6">IF(E387="Pro Monde","B2B","B2C")</f>
        <v>B2B</v>
      </c>
      <c r="J386" s="19">
        <f>CLIENT[[#This Row],[Duree_Cumulee_Panne_Min]]/1440</f>
        <v>2.2916666666666665E-2</v>
      </c>
      <c r="K386" s="17">
        <f>CLIENT[[#This Row],[Anciennete_Mois]]/12</f>
        <v>7.916666666666667</v>
      </c>
      <c r="L3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86" s="18">
        <f>CLIENT[[#This Row],[Facture_Mensuelle]]*CLIENT[[#This Row],[Remise]]</f>
        <v>3.532</v>
      </c>
    </row>
    <row r="387" spans="1:13" x14ac:dyDescent="0.35">
      <c r="A387" s="1" t="s">
        <v>640</v>
      </c>
      <c r="B387" s="1" t="s">
        <v>677</v>
      </c>
      <c r="C387" s="1" t="s">
        <v>23</v>
      </c>
      <c r="D387">
        <v>99</v>
      </c>
      <c r="E387" s="1" t="s">
        <v>13</v>
      </c>
      <c r="F387" s="17">
        <v>169</v>
      </c>
      <c r="G387">
        <v>76.75</v>
      </c>
      <c r="H387">
        <v>5</v>
      </c>
      <c r="I387" t="str">
        <f t="shared" si="6"/>
        <v>B2C</v>
      </c>
      <c r="J387" s="19">
        <f>CLIENT[[#This Row],[Duree_Cumulee_Panne_Min]]/1440</f>
        <v>0.11736111111111111</v>
      </c>
      <c r="K387" s="17">
        <f>CLIENT[[#This Row],[Anciennete_Mois]]/12</f>
        <v>8.25</v>
      </c>
      <c r="L3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87" s="18">
        <f>CLIENT[[#This Row],[Facture_Mensuelle]]*CLIENT[[#This Row],[Remise]]</f>
        <v>0</v>
      </c>
    </row>
    <row r="388" spans="1:13" x14ac:dyDescent="0.35">
      <c r="A388" s="1" t="s">
        <v>453</v>
      </c>
      <c r="B388" s="1" t="s">
        <v>459</v>
      </c>
      <c r="C388" s="1" t="s">
        <v>48</v>
      </c>
      <c r="D388">
        <v>88</v>
      </c>
      <c r="E388" s="1" t="s">
        <v>10</v>
      </c>
      <c r="F388" s="17">
        <v>359</v>
      </c>
      <c r="G388">
        <v>71.19</v>
      </c>
      <c r="H388">
        <v>3</v>
      </c>
      <c r="I388" t="str">
        <f t="shared" si="6"/>
        <v>B2C</v>
      </c>
      <c r="J388" s="19">
        <f>CLIENT[[#This Row],[Duree_Cumulee_Panne_Min]]/1440</f>
        <v>0.24930555555555556</v>
      </c>
      <c r="K388" s="17">
        <f>CLIENT[[#This Row],[Anciennete_Mois]]/12</f>
        <v>7.333333333333333</v>
      </c>
      <c r="L3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88" s="18">
        <f>CLIENT[[#This Row],[Facture_Mensuelle]]*CLIENT[[#This Row],[Remise]]</f>
        <v>32.035499999999999</v>
      </c>
    </row>
    <row r="389" spans="1:13" x14ac:dyDescent="0.35">
      <c r="A389" s="1" t="s">
        <v>591</v>
      </c>
      <c r="B389" s="1" t="s">
        <v>613</v>
      </c>
      <c r="C389" s="1" t="s">
        <v>17</v>
      </c>
      <c r="D389">
        <v>7</v>
      </c>
      <c r="E389" s="1" t="s">
        <v>18</v>
      </c>
      <c r="F389" s="17">
        <v>43</v>
      </c>
      <c r="G389">
        <v>41.29</v>
      </c>
      <c r="H389">
        <v>4</v>
      </c>
      <c r="I389" t="str">
        <f t="shared" si="6"/>
        <v>B2B</v>
      </c>
      <c r="J389" s="19">
        <f>CLIENT[[#This Row],[Duree_Cumulee_Panne_Min]]/1440</f>
        <v>2.9861111111111113E-2</v>
      </c>
      <c r="K389" s="17">
        <f>CLIENT[[#This Row],[Anciennete_Mois]]/12</f>
        <v>0.58333333333333337</v>
      </c>
      <c r="L3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89" s="18">
        <f>CLIENT[[#This Row],[Facture_Mensuelle]]*CLIENT[[#This Row],[Remise]]</f>
        <v>4.1290000000000004</v>
      </c>
    </row>
    <row r="390" spans="1:13" x14ac:dyDescent="0.35">
      <c r="A390" s="1" t="s">
        <v>685</v>
      </c>
      <c r="B390" s="1" t="s">
        <v>723</v>
      </c>
      <c r="C390" s="1" t="s">
        <v>17</v>
      </c>
      <c r="D390">
        <v>68</v>
      </c>
      <c r="E390" s="1" t="s">
        <v>13</v>
      </c>
      <c r="F390" s="17">
        <v>282</v>
      </c>
      <c r="G390">
        <v>35.43</v>
      </c>
      <c r="H390">
        <v>1</v>
      </c>
      <c r="I390" t="str">
        <f t="shared" si="6"/>
        <v>B2C</v>
      </c>
      <c r="J390" s="19">
        <f>CLIENT[[#This Row],[Duree_Cumulee_Panne_Min]]/1440</f>
        <v>0.19583333333333333</v>
      </c>
      <c r="K390" s="17">
        <f>CLIENT[[#This Row],[Anciennete_Mois]]/12</f>
        <v>5.666666666666667</v>
      </c>
      <c r="L3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0" s="18">
        <f>CLIENT[[#This Row],[Facture_Mensuelle]]*CLIENT[[#This Row],[Remise]]</f>
        <v>15.9435</v>
      </c>
    </row>
    <row r="391" spans="1:13" x14ac:dyDescent="0.35">
      <c r="A391" s="1" t="s">
        <v>453</v>
      </c>
      <c r="B391" s="1" t="s">
        <v>479</v>
      </c>
      <c r="C391" s="1" t="s">
        <v>35</v>
      </c>
      <c r="D391">
        <v>1</v>
      </c>
      <c r="E391" s="1" t="s">
        <v>21</v>
      </c>
      <c r="F391" s="17">
        <v>213</v>
      </c>
      <c r="G391">
        <v>52.16</v>
      </c>
      <c r="H391">
        <v>3</v>
      </c>
      <c r="I391" t="str">
        <f t="shared" si="6"/>
        <v>B2B</v>
      </c>
      <c r="J391" s="19">
        <f>CLIENT[[#This Row],[Duree_Cumulee_Panne_Min]]/1440</f>
        <v>0.14791666666666667</v>
      </c>
      <c r="K391" s="17">
        <f>CLIENT[[#This Row],[Anciennete_Mois]]/12</f>
        <v>8.3333333333333329E-2</v>
      </c>
      <c r="L3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91" s="18">
        <f>CLIENT[[#This Row],[Facture_Mensuelle]]*CLIENT[[#This Row],[Remise]]</f>
        <v>5.2160000000000002</v>
      </c>
    </row>
    <row r="392" spans="1:13" x14ac:dyDescent="0.35">
      <c r="A392" s="1" t="s">
        <v>685</v>
      </c>
      <c r="B392" s="1" t="s">
        <v>698</v>
      </c>
      <c r="C392" s="1" t="s">
        <v>126</v>
      </c>
      <c r="D392">
        <v>98</v>
      </c>
      <c r="E392" s="1" t="s">
        <v>13</v>
      </c>
      <c r="F392" s="17">
        <v>168</v>
      </c>
      <c r="G392">
        <v>44.14</v>
      </c>
      <c r="H392">
        <v>3</v>
      </c>
      <c r="I392" t="str">
        <f t="shared" si="6"/>
        <v>B2C</v>
      </c>
      <c r="J392" s="19">
        <f>CLIENT[[#This Row],[Duree_Cumulee_Panne_Min]]/1440</f>
        <v>0.11666666666666667</v>
      </c>
      <c r="K392" s="17">
        <f>CLIENT[[#This Row],[Anciennete_Mois]]/12</f>
        <v>8.1666666666666661</v>
      </c>
      <c r="L3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392" s="18">
        <f>CLIENT[[#This Row],[Facture_Mensuelle]]*CLIENT[[#This Row],[Remise]]</f>
        <v>0</v>
      </c>
    </row>
    <row r="393" spans="1:13" x14ac:dyDescent="0.35">
      <c r="A393" s="1" t="s">
        <v>220</v>
      </c>
      <c r="B393" s="1" t="s">
        <v>253</v>
      </c>
      <c r="C393" s="1" t="s">
        <v>9</v>
      </c>
      <c r="D393">
        <v>85</v>
      </c>
      <c r="E393" s="1" t="s">
        <v>10</v>
      </c>
      <c r="F393" s="17">
        <v>274</v>
      </c>
      <c r="G393">
        <v>35.03</v>
      </c>
      <c r="H393">
        <v>1</v>
      </c>
      <c r="I393" t="str">
        <f t="shared" si="6"/>
        <v>B2C</v>
      </c>
      <c r="J393" s="19">
        <f>CLIENT[[#This Row],[Duree_Cumulee_Panne_Min]]/1440</f>
        <v>0.19027777777777777</v>
      </c>
      <c r="K393" s="17">
        <f>CLIENT[[#This Row],[Anciennete_Mois]]/12</f>
        <v>7.083333333333333</v>
      </c>
      <c r="L3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3" s="18">
        <f>CLIENT[[#This Row],[Facture_Mensuelle]]*CLIENT[[#This Row],[Remise]]</f>
        <v>15.763500000000001</v>
      </c>
    </row>
    <row r="394" spans="1:13" x14ac:dyDescent="0.35">
      <c r="A394" s="1" t="s">
        <v>685</v>
      </c>
      <c r="B394" s="1" t="s">
        <v>691</v>
      </c>
      <c r="C394" s="1" t="s">
        <v>122</v>
      </c>
      <c r="D394">
        <v>79</v>
      </c>
      <c r="E394" s="1" t="s">
        <v>10</v>
      </c>
      <c r="F394" s="17">
        <v>454</v>
      </c>
      <c r="G394">
        <v>80.34</v>
      </c>
      <c r="H394">
        <v>2</v>
      </c>
      <c r="I394" t="str">
        <f t="shared" si="6"/>
        <v>B2C</v>
      </c>
      <c r="J394" s="19">
        <f>CLIENT[[#This Row],[Duree_Cumulee_Panne_Min]]/1440</f>
        <v>0.31527777777777777</v>
      </c>
      <c r="K394" s="17">
        <f>CLIENT[[#This Row],[Anciennete_Mois]]/12</f>
        <v>6.583333333333333</v>
      </c>
      <c r="L3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4" s="18">
        <f>CLIENT[[#This Row],[Facture_Mensuelle]]*CLIENT[[#This Row],[Remise]]</f>
        <v>36.153000000000006</v>
      </c>
    </row>
    <row r="395" spans="1:13" x14ac:dyDescent="0.35">
      <c r="A395" s="1" t="s">
        <v>314</v>
      </c>
      <c r="B395" s="1" t="s">
        <v>358</v>
      </c>
      <c r="C395" s="1" t="s">
        <v>33</v>
      </c>
      <c r="D395">
        <v>65</v>
      </c>
      <c r="E395" s="1" t="s">
        <v>18</v>
      </c>
      <c r="F395" s="17">
        <v>442</v>
      </c>
      <c r="G395">
        <v>60.62</v>
      </c>
      <c r="H395">
        <v>5</v>
      </c>
      <c r="I395" t="str">
        <f t="shared" si="6"/>
        <v>B2C</v>
      </c>
      <c r="J395" s="19">
        <f>CLIENT[[#This Row],[Duree_Cumulee_Panne_Min]]/1440</f>
        <v>0.30694444444444446</v>
      </c>
      <c r="K395" s="17">
        <f>CLIENT[[#This Row],[Anciennete_Mois]]/12</f>
        <v>5.416666666666667</v>
      </c>
      <c r="L3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5" s="18">
        <f>CLIENT[[#This Row],[Facture_Mensuelle]]*CLIENT[[#This Row],[Remise]]</f>
        <v>27.279</v>
      </c>
    </row>
    <row r="396" spans="1:13" x14ac:dyDescent="0.35">
      <c r="A396" s="1" t="s">
        <v>360</v>
      </c>
      <c r="B396" s="1" t="s">
        <v>371</v>
      </c>
      <c r="C396" s="1" t="s">
        <v>41</v>
      </c>
      <c r="D396">
        <v>2</v>
      </c>
      <c r="E396" s="1" t="s">
        <v>10</v>
      </c>
      <c r="F396" s="17">
        <v>21</v>
      </c>
      <c r="G396">
        <v>51.68</v>
      </c>
      <c r="H396">
        <v>3</v>
      </c>
      <c r="I396" t="str">
        <f t="shared" si="6"/>
        <v>B2B</v>
      </c>
      <c r="J396" s="19">
        <f>CLIENT[[#This Row],[Duree_Cumulee_Panne_Min]]/1440</f>
        <v>1.4583333333333334E-2</v>
      </c>
      <c r="K396" s="17">
        <f>CLIENT[[#This Row],[Anciennete_Mois]]/12</f>
        <v>0.16666666666666666</v>
      </c>
      <c r="L3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6" s="18">
        <f>CLIENT[[#This Row],[Facture_Mensuelle]]*CLIENT[[#This Row],[Remise]]</f>
        <v>23.256</v>
      </c>
    </row>
    <row r="397" spans="1:13" x14ac:dyDescent="0.35">
      <c r="A397" s="1" t="s">
        <v>8</v>
      </c>
      <c r="B397" s="1" t="s">
        <v>58</v>
      </c>
      <c r="C397" s="1" t="s">
        <v>59</v>
      </c>
      <c r="D397">
        <v>101</v>
      </c>
      <c r="E397" s="1" t="s">
        <v>13</v>
      </c>
      <c r="F397" s="17">
        <v>333</v>
      </c>
      <c r="G397">
        <v>74.319999999999993</v>
      </c>
      <c r="H397">
        <v>1</v>
      </c>
      <c r="I397" t="str">
        <f t="shared" si="6"/>
        <v>B2C</v>
      </c>
      <c r="J397" s="19">
        <f>CLIENT[[#This Row],[Duree_Cumulee_Panne_Min]]/1440</f>
        <v>0.23125000000000001</v>
      </c>
      <c r="K397" s="17">
        <f>CLIENT[[#This Row],[Anciennete_Mois]]/12</f>
        <v>8.4166666666666661</v>
      </c>
      <c r="L3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7" s="18">
        <f>CLIENT[[#This Row],[Facture_Mensuelle]]*CLIENT[[#This Row],[Remise]]</f>
        <v>33.443999999999996</v>
      </c>
    </row>
    <row r="398" spans="1:13" x14ac:dyDescent="0.35">
      <c r="A398" s="1" t="s">
        <v>174</v>
      </c>
      <c r="B398" s="1" t="s">
        <v>216</v>
      </c>
      <c r="C398" s="1" t="s">
        <v>37</v>
      </c>
      <c r="D398">
        <v>33</v>
      </c>
      <c r="E398" s="1" t="s">
        <v>10</v>
      </c>
      <c r="F398" s="17">
        <v>285</v>
      </c>
      <c r="G398">
        <v>56.67</v>
      </c>
      <c r="H398">
        <v>2</v>
      </c>
      <c r="I398" t="str">
        <f t="shared" si="6"/>
        <v>B2B</v>
      </c>
      <c r="J398" s="19">
        <f>CLIENT[[#This Row],[Duree_Cumulee_Panne_Min]]/1440</f>
        <v>0.19791666666666666</v>
      </c>
      <c r="K398" s="17">
        <f>CLIENT[[#This Row],[Anciennete_Mois]]/12</f>
        <v>2.75</v>
      </c>
      <c r="L3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398" s="18">
        <f>CLIENT[[#This Row],[Facture_Mensuelle]]*CLIENT[[#This Row],[Remise]]</f>
        <v>25.5015</v>
      </c>
    </row>
    <row r="399" spans="1:13" x14ac:dyDescent="0.35">
      <c r="A399" s="1" t="s">
        <v>496</v>
      </c>
      <c r="B399" s="1" t="s">
        <v>529</v>
      </c>
      <c r="C399" s="1" t="s">
        <v>23</v>
      </c>
      <c r="D399">
        <v>17</v>
      </c>
      <c r="E399" s="1" t="s">
        <v>13</v>
      </c>
      <c r="F399" s="17">
        <v>175</v>
      </c>
      <c r="G399">
        <v>24.95</v>
      </c>
      <c r="H399">
        <v>4</v>
      </c>
      <c r="I399" t="str">
        <f t="shared" si="6"/>
        <v>B2B</v>
      </c>
      <c r="J399" s="19">
        <f>CLIENT[[#This Row],[Duree_Cumulee_Panne_Min]]/1440</f>
        <v>0.12152777777777778</v>
      </c>
      <c r="K399" s="17">
        <f>CLIENT[[#This Row],[Anciennete_Mois]]/12</f>
        <v>1.4166666666666667</v>
      </c>
      <c r="L3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399" s="18">
        <f>CLIENT[[#This Row],[Facture_Mensuelle]]*CLIENT[[#This Row],[Remise]]</f>
        <v>2.4950000000000001</v>
      </c>
    </row>
    <row r="400" spans="1:13" x14ac:dyDescent="0.35">
      <c r="A400" s="1" t="s">
        <v>591</v>
      </c>
      <c r="B400" s="1" t="s">
        <v>623</v>
      </c>
      <c r="C400" s="1" t="s">
        <v>24</v>
      </c>
      <c r="D400">
        <v>89</v>
      </c>
      <c r="E400" s="1" t="s">
        <v>13</v>
      </c>
      <c r="F400" s="17">
        <v>225</v>
      </c>
      <c r="G400">
        <v>38.36</v>
      </c>
      <c r="H400">
        <v>2</v>
      </c>
      <c r="I400" t="str">
        <f t="shared" si="6"/>
        <v>B2C</v>
      </c>
      <c r="J400" s="19">
        <f>CLIENT[[#This Row],[Duree_Cumulee_Panne_Min]]/1440</f>
        <v>0.15625</v>
      </c>
      <c r="K400" s="17">
        <f>CLIENT[[#This Row],[Anciennete_Mois]]/12</f>
        <v>7.416666666666667</v>
      </c>
      <c r="L4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00" s="18">
        <f>CLIENT[[#This Row],[Facture_Mensuelle]]*CLIENT[[#This Row],[Remise]]</f>
        <v>0</v>
      </c>
    </row>
    <row r="401" spans="1:13" x14ac:dyDescent="0.35">
      <c r="A401" s="1" t="s">
        <v>129</v>
      </c>
      <c r="B401" s="1" t="s">
        <v>147</v>
      </c>
      <c r="C401" s="1" t="s">
        <v>24</v>
      </c>
      <c r="D401">
        <v>88</v>
      </c>
      <c r="E401" s="1" t="s">
        <v>10</v>
      </c>
      <c r="F401" s="17">
        <v>232</v>
      </c>
      <c r="G401">
        <v>40.94</v>
      </c>
      <c r="H401">
        <v>2</v>
      </c>
      <c r="I401" t="str">
        <f t="shared" si="6"/>
        <v>B2C</v>
      </c>
      <c r="J401" s="19">
        <f>CLIENT[[#This Row],[Duree_Cumulee_Panne_Min]]/1440</f>
        <v>0.16111111111111112</v>
      </c>
      <c r="K401" s="17">
        <f>CLIENT[[#This Row],[Anciennete_Mois]]/12</f>
        <v>7.333333333333333</v>
      </c>
      <c r="L4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01" s="18">
        <f>CLIENT[[#This Row],[Facture_Mensuelle]]*CLIENT[[#This Row],[Remise]]</f>
        <v>0</v>
      </c>
    </row>
    <row r="402" spans="1:13" x14ac:dyDescent="0.35">
      <c r="A402" s="1" t="s">
        <v>360</v>
      </c>
      <c r="B402" s="1" t="s">
        <v>369</v>
      </c>
      <c r="C402" s="1" t="s">
        <v>9</v>
      </c>
      <c r="D402">
        <v>29</v>
      </c>
      <c r="E402" s="1" t="s">
        <v>10</v>
      </c>
      <c r="F402" s="17">
        <v>350</v>
      </c>
      <c r="G402">
        <v>84.32</v>
      </c>
      <c r="H402">
        <v>3</v>
      </c>
      <c r="I402" t="str">
        <f t="shared" si="6"/>
        <v>B2C</v>
      </c>
      <c r="J402" s="19">
        <f>CLIENT[[#This Row],[Duree_Cumulee_Panne_Min]]/1440</f>
        <v>0.24305555555555555</v>
      </c>
      <c r="K402" s="17">
        <f>CLIENT[[#This Row],[Anciennete_Mois]]/12</f>
        <v>2.4166666666666665</v>
      </c>
      <c r="L4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02" s="18">
        <f>CLIENT[[#This Row],[Facture_Mensuelle]]*CLIENT[[#This Row],[Remise]]</f>
        <v>37.943999999999996</v>
      </c>
    </row>
    <row r="403" spans="1:13" x14ac:dyDescent="0.35">
      <c r="A403" s="1" t="s">
        <v>685</v>
      </c>
      <c r="B403" s="1" t="s">
        <v>699</v>
      </c>
      <c r="C403" s="1" t="s">
        <v>12</v>
      </c>
      <c r="D403">
        <v>48</v>
      </c>
      <c r="E403" s="1" t="s">
        <v>10</v>
      </c>
      <c r="F403" s="17">
        <v>473</v>
      </c>
      <c r="G403">
        <v>71.52</v>
      </c>
      <c r="H403">
        <v>5</v>
      </c>
      <c r="I403" t="str">
        <f t="shared" si="6"/>
        <v>B2C</v>
      </c>
      <c r="J403" s="19">
        <f>CLIENT[[#This Row],[Duree_Cumulee_Panne_Min]]/1440</f>
        <v>0.32847222222222222</v>
      </c>
      <c r="K403" s="17">
        <f>CLIENT[[#This Row],[Anciennete_Mois]]/12</f>
        <v>4</v>
      </c>
      <c r="L4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03" s="18">
        <f>CLIENT[[#This Row],[Facture_Mensuelle]]*CLIENT[[#This Row],[Remise]]</f>
        <v>32.183999999999997</v>
      </c>
    </row>
    <row r="404" spans="1:13" x14ac:dyDescent="0.35">
      <c r="A404" s="1" t="s">
        <v>267</v>
      </c>
      <c r="B404" s="1" t="s">
        <v>281</v>
      </c>
      <c r="C404" s="1" t="s">
        <v>33</v>
      </c>
      <c r="D404">
        <v>73</v>
      </c>
      <c r="E404" s="1" t="s">
        <v>21</v>
      </c>
      <c r="F404" s="17">
        <v>225</v>
      </c>
      <c r="G404">
        <v>45.86</v>
      </c>
      <c r="H404">
        <v>0</v>
      </c>
      <c r="I404" t="str">
        <f t="shared" si="6"/>
        <v>B2B</v>
      </c>
      <c r="J404" s="19">
        <f>CLIENT[[#This Row],[Duree_Cumulee_Panne_Min]]/1440</f>
        <v>0.15625</v>
      </c>
      <c r="K404" s="17">
        <f>CLIENT[[#This Row],[Anciennete_Mois]]/12</f>
        <v>6.083333333333333</v>
      </c>
      <c r="L4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04" s="18">
        <f>CLIENT[[#This Row],[Facture_Mensuelle]]*CLIENT[[#This Row],[Remise]]</f>
        <v>4.5860000000000003</v>
      </c>
    </row>
    <row r="405" spans="1:13" x14ac:dyDescent="0.35">
      <c r="A405" s="1" t="s">
        <v>406</v>
      </c>
      <c r="B405" s="1" t="s">
        <v>410</v>
      </c>
      <c r="C405" s="1" t="s">
        <v>12</v>
      </c>
      <c r="D405">
        <v>35</v>
      </c>
      <c r="E405" s="1" t="s">
        <v>13</v>
      </c>
      <c r="F405" s="17">
        <v>292</v>
      </c>
      <c r="G405">
        <v>39.21</v>
      </c>
      <c r="H405">
        <v>1</v>
      </c>
      <c r="I405" t="str">
        <f t="shared" si="6"/>
        <v>B2C</v>
      </c>
      <c r="J405" s="19">
        <f>CLIENT[[#This Row],[Duree_Cumulee_Panne_Min]]/1440</f>
        <v>0.20277777777777778</v>
      </c>
      <c r="K405" s="17">
        <f>CLIENT[[#This Row],[Anciennete_Mois]]/12</f>
        <v>2.9166666666666665</v>
      </c>
      <c r="L4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05" s="18">
        <f>CLIENT[[#This Row],[Facture_Mensuelle]]*CLIENT[[#This Row],[Remise]]</f>
        <v>17.644500000000001</v>
      </c>
    </row>
    <row r="406" spans="1:13" x14ac:dyDescent="0.35">
      <c r="A406" s="1" t="s">
        <v>540</v>
      </c>
      <c r="B406" s="1" t="s">
        <v>546</v>
      </c>
      <c r="C406" s="1" t="s">
        <v>48</v>
      </c>
      <c r="D406">
        <v>107</v>
      </c>
      <c r="E406" s="1" t="s">
        <v>21</v>
      </c>
      <c r="F406" s="17">
        <v>290</v>
      </c>
      <c r="G406">
        <v>52.03</v>
      </c>
      <c r="H406">
        <v>0</v>
      </c>
      <c r="I406" t="str">
        <f t="shared" si="6"/>
        <v>B2C</v>
      </c>
      <c r="J406" s="19">
        <f>CLIENT[[#This Row],[Duree_Cumulee_Panne_Min]]/1440</f>
        <v>0.2013888888888889</v>
      </c>
      <c r="K406" s="17">
        <f>CLIENT[[#This Row],[Anciennete_Mois]]/12</f>
        <v>8.9166666666666661</v>
      </c>
      <c r="L4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06" s="18">
        <f>CLIENT[[#This Row],[Facture_Mensuelle]]*CLIENT[[#This Row],[Remise]]</f>
        <v>23.413500000000003</v>
      </c>
    </row>
    <row r="407" spans="1:13" x14ac:dyDescent="0.35">
      <c r="A407" s="1" t="s">
        <v>640</v>
      </c>
      <c r="B407" s="1" t="s">
        <v>644</v>
      </c>
      <c r="C407" s="1" t="s">
        <v>20</v>
      </c>
      <c r="D407">
        <v>80</v>
      </c>
      <c r="E407" s="1" t="s">
        <v>18</v>
      </c>
      <c r="F407" s="17">
        <v>65</v>
      </c>
      <c r="G407">
        <v>76.64</v>
      </c>
      <c r="H407">
        <v>3</v>
      </c>
      <c r="I407" t="str">
        <f t="shared" si="6"/>
        <v>B2C</v>
      </c>
      <c r="J407" s="19">
        <f>CLIENT[[#This Row],[Duree_Cumulee_Panne_Min]]/1440</f>
        <v>4.5138888888888888E-2</v>
      </c>
      <c r="K407" s="17">
        <f>CLIENT[[#This Row],[Anciennete_Mois]]/12</f>
        <v>6.666666666666667</v>
      </c>
      <c r="L4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07" s="18">
        <f>CLIENT[[#This Row],[Facture_Mensuelle]]*CLIENT[[#This Row],[Remise]]</f>
        <v>0</v>
      </c>
    </row>
    <row r="408" spans="1:13" x14ac:dyDescent="0.35">
      <c r="A408" s="1" t="s">
        <v>267</v>
      </c>
      <c r="B408" s="1" t="s">
        <v>292</v>
      </c>
      <c r="C408" s="1" t="s">
        <v>118</v>
      </c>
      <c r="D408">
        <v>66</v>
      </c>
      <c r="E408" s="1" t="s">
        <v>10</v>
      </c>
      <c r="F408" s="17">
        <v>193</v>
      </c>
      <c r="G408">
        <v>21.06</v>
      </c>
      <c r="H408">
        <v>3</v>
      </c>
      <c r="I408" t="str">
        <f t="shared" si="6"/>
        <v>B2C</v>
      </c>
      <c r="J408" s="19">
        <f>CLIENT[[#This Row],[Duree_Cumulee_Panne_Min]]/1440</f>
        <v>0.13402777777777777</v>
      </c>
      <c r="K408" s="17">
        <f>CLIENT[[#This Row],[Anciennete_Mois]]/12</f>
        <v>5.5</v>
      </c>
      <c r="L4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08" s="18">
        <f>CLIENT[[#This Row],[Facture_Mensuelle]]*CLIENT[[#This Row],[Remise]]</f>
        <v>0</v>
      </c>
    </row>
    <row r="409" spans="1:13" x14ac:dyDescent="0.35">
      <c r="A409" s="1" t="s">
        <v>640</v>
      </c>
      <c r="B409" s="1" t="s">
        <v>643</v>
      </c>
      <c r="C409" s="1" t="s">
        <v>9</v>
      </c>
      <c r="D409">
        <v>38</v>
      </c>
      <c r="E409" s="1" t="s">
        <v>21</v>
      </c>
      <c r="F409" s="17">
        <v>191</v>
      </c>
      <c r="G409">
        <v>22.97</v>
      </c>
      <c r="H409">
        <v>3</v>
      </c>
      <c r="I409" t="str">
        <f t="shared" si="6"/>
        <v>B2B</v>
      </c>
      <c r="J409" s="19">
        <f>CLIENT[[#This Row],[Duree_Cumulee_Panne_Min]]/1440</f>
        <v>0.13263888888888889</v>
      </c>
      <c r="K409" s="17">
        <f>CLIENT[[#This Row],[Anciennete_Mois]]/12</f>
        <v>3.1666666666666665</v>
      </c>
      <c r="L4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09" s="18">
        <f>CLIENT[[#This Row],[Facture_Mensuelle]]*CLIENT[[#This Row],[Remise]]</f>
        <v>2.2970000000000002</v>
      </c>
    </row>
    <row r="410" spans="1:13" x14ac:dyDescent="0.35">
      <c r="A410" s="1" t="s">
        <v>360</v>
      </c>
      <c r="B410" s="1" t="s">
        <v>376</v>
      </c>
      <c r="C410" s="1" t="s">
        <v>15</v>
      </c>
      <c r="D410">
        <v>119</v>
      </c>
      <c r="E410" s="1" t="s">
        <v>13</v>
      </c>
      <c r="F410" s="17">
        <v>451</v>
      </c>
      <c r="G410">
        <v>10.46</v>
      </c>
      <c r="H410">
        <v>5</v>
      </c>
      <c r="I410" t="str">
        <f t="shared" si="6"/>
        <v>B2C</v>
      </c>
      <c r="J410" s="19">
        <f>CLIENT[[#This Row],[Duree_Cumulee_Panne_Min]]/1440</f>
        <v>0.31319444444444444</v>
      </c>
      <c r="K410" s="17">
        <f>CLIENT[[#This Row],[Anciennete_Mois]]/12</f>
        <v>9.9166666666666661</v>
      </c>
      <c r="L4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0" s="18">
        <f>CLIENT[[#This Row],[Facture_Mensuelle]]*CLIENT[[#This Row],[Remise]]</f>
        <v>4.7070000000000007</v>
      </c>
    </row>
    <row r="411" spans="1:13" x14ac:dyDescent="0.35">
      <c r="A411" s="1" t="s">
        <v>453</v>
      </c>
      <c r="B411" s="1" t="s">
        <v>494</v>
      </c>
      <c r="C411" s="1" t="s">
        <v>9</v>
      </c>
      <c r="D411">
        <v>55</v>
      </c>
      <c r="E411" s="1" t="s">
        <v>18</v>
      </c>
      <c r="F411" s="17">
        <v>355</v>
      </c>
      <c r="G411">
        <v>59.65</v>
      </c>
      <c r="H411">
        <v>0</v>
      </c>
      <c r="I411" t="str">
        <f t="shared" si="6"/>
        <v>B2C</v>
      </c>
      <c r="J411" s="19">
        <f>CLIENT[[#This Row],[Duree_Cumulee_Panne_Min]]/1440</f>
        <v>0.24652777777777779</v>
      </c>
      <c r="K411" s="17">
        <f>CLIENT[[#This Row],[Anciennete_Mois]]/12</f>
        <v>4.583333333333333</v>
      </c>
      <c r="L4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1" s="18">
        <f>CLIENT[[#This Row],[Facture_Mensuelle]]*CLIENT[[#This Row],[Remise]]</f>
        <v>26.842500000000001</v>
      </c>
    </row>
    <row r="412" spans="1:13" x14ac:dyDescent="0.35">
      <c r="A412" s="1" t="s">
        <v>591</v>
      </c>
      <c r="B412" s="1" t="s">
        <v>617</v>
      </c>
      <c r="C412" s="1" t="s">
        <v>126</v>
      </c>
      <c r="D412">
        <v>6</v>
      </c>
      <c r="E412" s="1" t="s">
        <v>21</v>
      </c>
      <c r="F412" s="17">
        <v>77</v>
      </c>
      <c r="G412">
        <v>18.48</v>
      </c>
      <c r="H412">
        <v>2</v>
      </c>
      <c r="I412" t="str">
        <f t="shared" si="6"/>
        <v>B2C</v>
      </c>
      <c r="J412" s="19">
        <f>CLIENT[[#This Row],[Duree_Cumulee_Panne_Min]]/1440</f>
        <v>5.347222222222222E-2</v>
      </c>
      <c r="K412" s="17">
        <f>CLIENT[[#This Row],[Anciennete_Mois]]/12</f>
        <v>0.5</v>
      </c>
      <c r="L4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12" s="18">
        <f>CLIENT[[#This Row],[Facture_Mensuelle]]*CLIENT[[#This Row],[Remise]]</f>
        <v>0</v>
      </c>
    </row>
    <row r="413" spans="1:13" x14ac:dyDescent="0.35">
      <c r="A413" s="1" t="s">
        <v>640</v>
      </c>
      <c r="B413" s="1" t="s">
        <v>660</v>
      </c>
      <c r="C413" s="1" t="s">
        <v>122</v>
      </c>
      <c r="D413">
        <v>63</v>
      </c>
      <c r="E413" s="1" t="s">
        <v>21</v>
      </c>
      <c r="F413" s="17">
        <v>265</v>
      </c>
      <c r="G413">
        <v>49.94</v>
      </c>
      <c r="H413">
        <v>1</v>
      </c>
      <c r="I413" t="str">
        <f t="shared" si="6"/>
        <v>B2B</v>
      </c>
      <c r="J413" s="19">
        <f>CLIENT[[#This Row],[Duree_Cumulee_Panne_Min]]/1440</f>
        <v>0.18402777777777779</v>
      </c>
      <c r="K413" s="17">
        <f>CLIENT[[#This Row],[Anciennete_Mois]]/12</f>
        <v>5.25</v>
      </c>
      <c r="L4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3" s="18">
        <f>CLIENT[[#This Row],[Facture_Mensuelle]]*CLIENT[[#This Row],[Remise]]</f>
        <v>22.472999999999999</v>
      </c>
    </row>
    <row r="414" spans="1:13" x14ac:dyDescent="0.35">
      <c r="A414" s="1" t="s">
        <v>267</v>
      </c>
      <c r="B414" s="1" t="s">
        <v>282</v>
      </c>
      <c r="C414" s="1" t="s">
        <v>29</v>
      </c>
      <c r="D414">
        <v>21</v>
      </c>
      <c r="E414" s="1" t="s">
        <v>13</v>
      </c>
      <c r="F414" s="17">
        <v>320</v>
      </c>
      <c r="G414">
        <v>64.97</v>
      </c>
      <c r="H414">
        <v>1</v>
      </c>
      <c r="I414" t="str">
        <f t="shared" si="6"/>
        <v>B2C</v>
      </c>
      <c r="J414" s="19">
        <f>CLIENT[[#This Row],[Duree_Cumulee_Panne_Min]]/1440</f>
        <v>0.22222222222222221</v>
      </c>
      <c r="K414" s="17">
        <f>CLIENT[[#This Row],[Anciennete_Mois]]/12</f>
        <v>1.75</v>
      </c>
      <c r="L4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4" s="18">
        <f>CLIENT[[#This Row],[Facture_Mensuelle]]*CLIENT[[#This Row],[Remise]]</f>
        <v>29.236499999999999</v>
      </c>
    </row>
    <row r="415" spans="1:13" x14ac:dyDescent="0.35">
      <c r="A415" s="1" t="s">
        <v>220</v>
      </c>
      <c r="B415" s="1" t="s">
        <v>239</v>
      </c>
      <c r="C415" s="1" t="s">
        <v>122</v>
      </c>
      <c r="D415">
        <v>5</v>
      </c>
      <c r="E415" s="1" t="s">
        <v>10</v>
      </c>
      <c r="F415" s="17">
        <v>417</v>
      </c>
      <c r="G415">
        <v>90.71</v>
      </c>
      <c r="H415">
        <v>1</v>
      </c>
      <c r="I415" t="str">
        <f t="shared" si="6"/>
        <v>B2C</v>
      </c>
      <c r="J415" s="19">
        <f>CLIENT[[#This Row],[Duree_Cumulee_Panne_Min]]/1440</f>
        <v>0.28958333333333336</v>
      </c>
      <c r="K415" s="17">
        <f>CLIENT[[#This Row],[Anciennete_Mois]]/12</f>
        <v>0.41666666666666669</v>
      </c>
      <c r="L4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5" s="18">
        <f>CLIENT[[#This Row],[Facture_Mensuelle]]*CLIENT[[#This Row],[Remise]]</f>
        <v>40.819499999999998</v>
      </c>
    </row>
    <row r="416" spans="1:13" x14ac:dyDescent="0.35">
      <c r="A416" s="1" t="s">
        <v>540</v>
      </c>
      <c r="B416" s="1" t="s">
        <v>563</v>
      </c>
      <c r="C416" s="1" t="s">
        <v>68</v>
      </c>
      <c r="D416">
        <v>30</v>
      </c>
      <c r="E416" s="1" t="s">
        <v>18</v>
      </c>
      <c r="F416" s="17">
        <v>130</v>
      </c>
      <c r="G416">
        <v>50.15</v>
      </c>
      <c r="H416">
        <v>4</v>
      </c>
      <c r="I416" t="str">
        <f t="shared" si="6"/>
        <v>B2C</v>
      </c>
      <c r="J416" s="19">
        <f>CLIENT[[#This Row],[Duree_Cumulee_Panne_Min]]/1440</f>
        <v>9.0277777777777776E-2</v>
      </c>
      <c r="K416" s="17">
        <f>CLIENT[[#This Row],[Anciennete_Mois]]/12</f>
        <v>2.5</v>
      </c>
      <c r="L4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16" s="18">
        <f>CLIENT[[#This Row],[Facture_Mensuelle]]*CLIENT[[#This Row],[Remise]]</f>
        <v>0</v>
      </c>
    </row>
    <row r="417" spans="1:13" x14ac:dyDescent="0.35">
      <c r="A417" s="1" t="s">
        <v>220</v>
      </c>
      <c r="B417" s="1" t="s">
        <v>231</v>
      </c>
      <c r="C417" s="1" t="s">
        <v>9</v>
      </c>
      <c r="D417">
        <v>60</v>
      </c>
      <c r="E417" s="1" t="s">
        <v>21</v>
      </c>
      <c r="F417" s="17">
        <v>161</v>
      </c>
      <c r="G417">
        <v>62.65</v>
      </c>
      <c r="H417">
        <v>0</v>
      </c>
      <c r="I417" t="str">
        <f t="shared" si="6"/>
        <v>B2C</v>
      </c>
      <c r="J417" s="19">
        <f>CLIENT[[#This Row],[Duree_Cumulee_Panne_Min]]/1440</f>
        <v>0.11180555555555556</v>
      </c>
      <c r="K417" s="17">
        <f>CLIENT[[#This Row],[Anciennete_Mois]]/12</f>
        <v>5</v>
      </c>
      <c r="L4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17" s="18">
        <f>CLIENT[[#This Row],[Facture_Mensuelle]]*CLIENT[[#This Row],[Remise]]</f>
        <v>0</v>
      </c>
    </row>
    <row r="418" spans="1:13" x14ac:dyDescent="0.35">
      <c r="A418" s="1" t="s">
        <v>540</v>
      </c>
      <c r="B418" s="1" t="s">
        <v>549</v>
      </c>
      <c r="C418" s="1" t="s">
        <v>48</v>
      </c>
      <c r="D418">
        <v>120</v>
      </c>
      <c r="E418" s="1" t="s">
        <v>21</v>
      </c>
      <c r="F418" s="17">
        <v>437</v>
      </c>
      <c r="G418">
        <v>95.17</v>
      </c>
      <c r="H418">
        <v>1</v>
      </c>
      <c r="I418" t="str">
        <f t="shared" si="6"/>
        <v>B2C</v>
      </c>
      <c r="J418" s="19">
        <f>CLIENT[[#This Row],[Duree_Cumulee_Panne_Min]]/1440</f>
        <v>0.3034722222222222</v>
      </c>
      <c r="K418" s="17">
        <f>CLIENT[[#This Row],[Anciennete_Mois]]/12</f>
        <v>10</v>
      </c>
      <c r="L4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8" s="18">
        <f>CLIENT[[#This Row],[Facture_Mensuelle]]*CLIENT[[#This Row],[Remise]]</f>
        <v>42.826500000000003</v>
      </c>
    </row>
    <row r="419" spans="1:13" x14ac:dyDescent="0.35">
      <c r="A419" s="1" t="s">
        <v>174</v>
      </c>
      <c r="B419" s="1" t="s">
        <v>186</v>
      </c>
      <c r="C419" s="1" t="s">
        <v>20</v>
      </c>
      <c r="D419">
        <v>68</v>
      </c>
      <c r="E419" s="1" t="s">
        <v>10</v>
      </c>
      <c r="F419" s="17">
        <v>443</v>
      </c>
      <c r="G419">
        <v>12.09</v>
      </c>
      <c r="H419">
        <v>3</v>
      </c>
      <c r="I419" t="str">
        <f t="shared" si="6"/>
        <v>B2C</v>
      </c>
      <c r="J419" s="19">
        <f>CLIENT[[#This Row],[Duree_Cumulee_Panne_Min]]/1440</f>
        <v>0.30763888888888891</v>
      </c>
      <c r="K419" s="17">
        <f>CLIENT[[#This Row],[Anciennete_Mois]]/12</f>
        <v>5.666666666666667</v>
      </c>
      <c r="L4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19" s="18">
        <f>CLIENT[[#This Row],[Facture_Mensuelle]]*CLIENT[[#This Row],[Remise]]</f>
        <v>5.4405000000000001</v>
      </c>
    </row>
    <row r="420" spans="1:13" x14ac:dyDescent="0.35">
      <c r="A420" s="1" t="s">
        <v>406</v>
      </c>
      <c r="B420" s="1" t="s">
        <v>424</v>
      </c>
      <c r="C420" s="1" t="s">
        <v>83</v>
      </c>
      <c r="D420">
        <v>85</v>
      </c>
      <c r="E420" s="1" t="s">
        <v>21</v>
      </c>
      <c r="F420" s="17">
        <v>132</v>
      </c>
      <c r="G420">
        <v>11.41</v>
      </c>
      <c r="H420">
        <v>0</v>
      </c>
      <c r="I420" t="str">
        <f t="shared" si="6"/>
        <v>B2B</v>
      </c>
      <c r="J420" s="19">
        <f>CLIENT[[#This Row],[Duree_Cumulee_Panne_Min]]/1440</f>
        <v>9.166666666666666E-2</v>
      </c>
      <c r="K420" s="17">
        <f>CLIENT[[#This Row],[Anciennete_Mois]]/12</f>
        <v>7.083333333333333</v>
      </c>
      <c r="L4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20" s="18">
        <f>CLIENT[[#This Row],[Facture_Mensuelle]]*CLIENT[[#This Row],[Remise]]</f>
        <v>1.141</v>
      </c>
    </row>
    <row r="421" spans="1:13" x14ac:dyDescent="0.35">
      <c r="A421" s="1" t="s">
        <v>129</v>
      </c>
      <c r="B421" s="1" t="s">
        <v>161</v>
      </c>
      <c r="C421" s="1" t="s">
        <v>17</v>
      </c>
      <c r="D421">
        <v>69</v>
      </c>
      <c r="E421" s="1" t="s">
        <v>13</v>
      </c>
      <c r="F421" s="17">
        <v>463</v>
      </c>
      <c r="G421">
        <v>19.440000000000001</v>
      </c>
      <c r="H421">
        <v>0</v>
      </c>
      <c r="I421" t="str">
        <f t="shared" si="6"/>
        <v>B2C</v>
      </c>
      <c r="J421" s="19">
        <f>CLIENT[[#This Row],[Duree_Cumulee_Panne_Min]]/1440</f>
        <v>0.3215277777777778</v>
      </c>
      <c r="K421" s="17">
        <f>CLIENT[[#This Row],[Anciennete_Mois]]/12</f>
        <v>5.75</v>
      </c>
      <c r="L4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1" s="18">
        <f>CLIENT[[#This Row],[Facture_Mensuelle]]*CLIENT[[#This Row],[Remise]]</f>
        <v>8.7480000000000011</v>
      </c>
    </row>
    <row r="422" spans="1:13" x14ac:dyDescent="0.35">
      <c r="A422" s="1" t="s">
        <v>220</v>
      </c>
      <c r="B422" s="1" t="s">
        <v>234</v>
      </c>
      <c r="C422" s="1" t="s">
        <v>12</v>
      </c>
      <c r="D422">
        <v>96</v>
      </c>
      <c r="E422" s="1" t="s">
        <v>21</v>
      </c>
      <c r="F422" s="17">
        <v>108</v>
      </c>
      <c r="G422">
        <v>30.92</v>
      </c>
      <c r="H422">
        <v>1</v>
      </c>
      <c r="I422" t="str">
        <f t="shared" si="6"/>
        <v>B2C</v>
      </c>
      <c r="J422" s="19">
        <f>CLIENT[[#This Row],[Duree_Cumulee_Panne_Min]]/1440</f>
        <v>7.4999999999999997E-2</v>
      </c>
      <c r="K422" s="17">
        <f>CLIENT[[#This Row],[Anciennete_Mois]]/12</f>
        <v>8</v>
      </c>
      <c r="L4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22" s="18">
        <f>CLIENT[[#This Row],[Facture_Mensuelle]]*CLIENT[[#This Row],[Remise]]</f>
        <v>0</v>
      </c>
    </row>
    <row r="423" spans="1:13" x14ac:dyDescent="0.35">
      <c r="A423" s="1" t="s">
        <v>220</v>
      </c>
      <c r="B423" s="1" t="s">
        <v>228</v>
      </c>
      <c r="C423" s="1" t="s">
        <v>27</v>
      </c>
      <c r="D423">
        <v>89</v>
      </c>
      <c r="E423" s="1" t="s">
        <v>21</v>
      </c>
      <c r="F423" s="17">
        <v>7</v>
      </c>
      <c r="G423">
        <v>53.39</v>
      </c>
      <c r="H423">
        <v>3</v>
      </c>
      <c r="I423" t="str">
        <f t="shared" si="6"/>
        <v>B2C</v>
      </c>
      <c r="J423" s="19">
        <f>CLIENT[[#This Row],[Duree_Cumulee_Panne_Min]]/1440</f>
        <v>4.8611111111111112E-3</v>
      </c>
      <c r="K423" s="17">
        <f>CLIENT[[#This Row],[Anciennete_Mois]]/12</f>
        <v>7.416666666666667</v>
      </c>
      <c r="L4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23" s="18">
        <f>CLIENT[[#This Row],[Facture_Mensuelle]]*CLIENT[[#This Row],[Remise]]</f>
        <v>0</v>
      </c>
    </row>
    <row r="424" spans="1:13" x14ac:dyDescent="0.35">
      <c r="A424" s="1" t="s">
        <v>496</v>
      </c>
      <c r="B424" s="1" t="s">
        <v>502</v>
      </c>
      <c r="C424" s="1" t="s">
        <v>68</v>
      </c>
      <c r="D424">
        <v>47</v>
      </c>
      <c r="E424" s="1" t="s">
        <v>10</v>
      </c>
      <c r="F424" s="17">
        <v>350</v>
      </c>
      <c r="G424">
        <v>80.48</v>
      </c>
      <c r="H424">
        <v>3</v>
      </c>
      <c r="I424" t="str">
        <f t="shared" si="6"/>
        <v>B2C</v>
      </c>
      <c r="J424" s="19">
        <f>CLIENT[[#This Row],[Duree_Cumulee_Panne_Min]]/1440</f>
        <v>0.24305555555555555</v>
      </c>
      <c r="K424" s="17">
        <f>CLIENT[[#This Row],[Anciennete_Mois]]/12</f>
        <v>3.9166666666666665</v>
      </c>
      <c r="L4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4" s="18">
        <f>CLIENT[[#This Row],[Facture_Mensuelle]]*CLIENT[[#This Row],[Remise]]</f>
        <v>36.216000000000001</v>
      </c>
    </row>
    <row r="425" spans="1:13" x14ac:dyDescent="0.35">
      <c r="A425" s="1" t="s">
        <v>8</v>
      </c>
      <c r="B425" s="1" t="s">
        <v>42</v>
      </c>
      <c r="C425" s="1" t="s">
        <v>27</v>
      </c>
      <c r="D425">
        <v>78</v>
      </c>
      <c r="E425" s="1" t="s">
        <v>18</v>
      </c>
      <c r="F425" s="17">
        <v>312</v>
      </c>
      <c r="G425">
        <v>85.74</v>
      </c>
      <c r="H425">
        <v>2</v>
      </c>
      <c r="I425" t="str">
        <f t="shared" si="6"/>
        <v>B2C</v>
      </c>
      <c r="J425" s="19">
        <f>CLIENT[[#This Row],[Duree_Cumulee_Panne_Min]]/1440</f>
        <v>0.21666666666666667</v>
      </c>
      <c r="K425" s="17">
        <f>CLIENT[[#This Row],[Anciennete_Mois]]/12</f>
        <v>6.5</v>
      </c>
      <c r="L4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5" s="18">
        <f>CLIENT[[#This Row],[Facture_Mensuelle]]*CLIENT[[#This Row],[Remise]]</f>
        <v>38.582999999999998</v>
      </c>
    </row>
    <row r="426" spans="1:13" x14ac:dyDescent="0.35">
      <c r="A426" s="1" t="s">
        <v>129</v>
      </c>
      <c r="B426" s="1" t="s">
        <v>145</v>
      </c>
      <c r="C426" s="1" t="s">
        <v>83</v>
      </c>
      <c r="D426">
        <v>36</v>
      </c>
      <c r="E426" s="1" t="s">
        <v>10</v>
      </c>
      <c r="F426" s="17">
        <v>400</v>
      </c>
      <c r="G426">
        <v>60.35</v>
      </c>
      <c r="H426">
        <v>1</v>
      </c>
      <c r="I426" t="str">
        <f t="shared" si="6"/>
        <v>B2C</v>
      </c>
      <c r="J426" s="19">
        <f>CLIENT[[#This Row],[Duree_Cumulee_Panne_Min]]/1440</f>
        <v>0.27777777777777779</v>
      </c>
      <c r="K426" s="17">
        <f>CLIENT[[#This Row],[Anciennete_Mois]]/12</f>
        <v>3</v>
      </c>
      <c r="L4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6" s="18">
        <f>CLIENT[[#This Row],[Facture_Mensuelle]]*CLIENT[[#This Row],[Remise]]</f>
        <v>27.157500000000002</v>
      </c>
    </row>
    <row r="427" spans="1:13" x14ac:dyDescent="0.35">
      <c r="A427" s="1" t="s">
        <v>8</v>
      </c>
      <c r="B427" s="1" t="s">
        <v>16</v>
      </c>
      <c r="C427" s="1" t="s">
        <v>17</v>
      </c>
      <c r="D427">
        <v>44</v>
      </c>
      <c r="E427" s="1" t="s">
        <v>18</v>
      </c>
      <c r="F427" s="17">
        <v>348</v>
      </c>
      <c r="G427">
        <v>58.67</v>
      </c>
      <c r="H427">
        <v>0</v>
      </c>
      <c r="I427" t="str">
        <f t="shared" si="6"/>
        <v>B2B</v>
      </c>
      <c r="J427" s="19">
        <f>CLIENT[[#This Row],[Duree_Cumulee_Panne_Min]]/1440</f>
        <v>0.24166666666666667</v>
      </c>
      <c r="K427" s="17">
        <f>CLIENT[[#This Row],[Anciennete_Mois]]/12</f>
        <v>3.6666666666666665</v>
      </c>
      <c r="L4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7" s="18">
        <f>CLIENT[[#This Row],[Facture_Mensuelle]]*CLIENT[[#This Row],[Remise]]</f>
        <v>26.401500000000002</v>
      </c>
    </row>
    <row r="428" spans="1:13" x14ac:dyDescent="0.35">
      <c r="A428" s="1" t="s">
        <v>267</v>
      </c>
      <c r="B428" s="1" t="s">
        <v>280</v>
      </c>
      <c r="C428" s="1" t="s">
        <v>126</v>
      </c>
      <c r="D428">
        <v>120</v>
      </c>
      <c r="E428" s="1" t="s">
        <v>13</v>
      </c>
      <c r="F428" s="17">
        <v>209</v>
      </c>
      <c r="G428">
        <v>42.51</v>
      </c>
      <c r="H428">
        <v>4</v>
      </c>
      <c r="I428" t="str">
        <f t="shared" si="6"/>
        <v>B2C</v>
      </c>
      <c r="J428" s="19">
        <f>CLIENT[[#This Row],[Duree_Cumulee_Panne_Min]]/1440</f>
        <v>0.1451388888888889</v>
      </c>
      <c r="K428" s="17">
        <f>CLIENT[[#This Row],[Anciennete_Mois]]/12</f>
        <v>10</v>
      </c>
      <c r="L4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28" s="18">
        <f>CLIENT[[#This Row],[Facture_Mensuelle]]*CLIENT[[#This Row],[Remise]]</f>
        <v>0</v>
      </c>
    </row>
    <row r="429" spans="1:13" x14ac:dyDescent="0.35">
      <c r="A429" s="1" t="s">
        <v>540</v>
      </c>
      <c r="B429" s="1" t="s">
        <v>558</v>
      </c>
      <c r="C429" s="1" t="s">
        <v>122</v>
      </c>
      <c r="D429">
        <v>116</v>
      </c>
      <c r="E429" s="1" t="s">
        <v>10</v>
      </c>
      <c r="F429" s="17">
        <v>279</v>
      </c>
      <c r="G429">
        <v>62.88</v>
      </c>
      <c r="H429">
        <v>4</v>
      </c>
      <c r="I429" t="str">
        <f t="shared" si="6"/>
        <v>B2C</v>
      </c>
      <c r="J429" s="19">
        <f>CLIENT[[#This Row],[Duree_Cumulee_Panne_Min]]/1440</f>
        <v>0.19375000000000001</v>
      </c>
      <c r="K429" s="17">
        <f>CLIENT[[#This Row],[Anciennete_Mois]]/12</f>
        <v>9.6666666666666661</v>
      </c>
      <c r="L4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29" s="18">
        <f>CLIENT[[#This Row],[Facture_Mensuelle]]*CLIENT[[#This Row],[Remise]]</f>
        <v>28.296000000000003</v>
      </c>
    </row>
    <row r="430" spans="1:13" x14ac:dyDescent="0.35">
      <c r="A430" s="1" t="s">
        <v>640</v>
      </c>
      <c r="B430" s="1" t="s">
        <v>656</v>
      </c>
      <c r="C430" s="1" t="s">
        <v>62</v>
      </c>
      <c r="D430">
        <v>106</v>
      </c>
      <c r="E430" s="1" t="s">
        <v>21</v>
      </c>
      <c r="F430" s="17">
        <v>236</v>
      </c>
      <c r="G430">
        <v>18.72</v>
      </c>
      <c r="H430">
        <v>4</v>
      </c>
      <c r="I430" t="str">
        <f t="shared" si="6"/>
        <v>B2C</v>
      </c>
      <c r="J430" s="19">
        <f>CLIENT[[#This Row],[Duree_Cumulee_Panne_Min]]/1440</f>
        <v>0.16388888888888889</v>
      </c>
      <c r="K430" s="17">
        <f>CLIENT[[#This Row],[Anciennete_Mois]]/12</f>
        <v>8.8333333333333339</v>
      </c>
      <c r="L4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30" s="18">
        <f>CLIENT[[#This Row],[Facture_Mensuelle]]*CLIENT[[#This Row],[Remise]]</f>
        <v>0</v>
      </c>
    </row>
    <row r="431" spans="1:13" x14ac:dyDescent="0.35">
      <c r="A431" s="1" t="s">
        <v>220</v>
      </c>
      <c r="B431" s="1" t="s">
        <v>249</v>
      </c>
      <c r="C431" s="1" t="s">
        <v>17</v>
      </c>
      <c r="D431">
        <v>60</v>
      </c>
      <c r="E431" s="1" t="s">
        <v>18</v>
      </c>
      <c r="F431" s="17">
        <v>306</v>
      </c>
      <c r="G431">
        <v>63.83</v>
      </c>
      <c r="H431">
        <v>2</v>
      </c>
      <c r="I431" t="str">
        <f t="shared" si="6"/>
        <v>B2C</v>
      </c>
      <c r="J431" s="19">
        <f>CLIENT[[#This Row],[Duree_Cumulee_Panne_Min]]/1440</f>
        <v>0.21249999999999999</v>
      </c>
      <c r="K431" s="17">
        <f>CLIENT[[#This Row],[Anciennete_Mois]]/12</f>
        <v>5</v>
      </c>
      <c r="L4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1" s="18">
        <f>CLIENT[[#This Row],[Facture_Mensuelle]]*CLIENT[[#This Row],[Remise]]</f>
        <v>28.723500000000001</v>
      </c>
    </row>
    <row r="432" spans="1:13" x14ac:dyDescent="0.35">
      <c r="A432" s="1" t="s">
        <v>640</v>
      </c>
      <c r="B432" s="1" t="s">
        <v>662</v>
      </c>
      <c r="C432" s="1" t="s">
        <v>9</v>
      </c>
      <c r="D432">
        <v>1</v>
      </c>
      <c r="E432" s="1" t="s">
        <v>10</v>
      </c>
      <c r="F432" s="17">
        <v>429</v>
      </c>
      <c r="G432">
        <v>20.96</v>
      </c>
      <c r="H432">
        <v>5</v>
      </c>
      <c r="I432" t="str">
        <f t="shared" si="6"/>
        <v>B2C</v>
      </c>
      <c r="J432" s="19">
        <f>CLIENT[[#This Row],[Duree_Cumulee_Panne_Min]]/1440</f>
        <v>0.29791666666666666</v>
      </c>
      <c r="K432" s="17">
        <f>CLIENT[[#This Row],[Anciennete_Mois]]/12</f>
        <v>8.3333333333333329E-2</v>
      </c>
      <c r="L4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2" s="18">
        <f>CLIENT[[#This Row],[Facture_Mensuelle]]*CLIENT[[#This Row],[Remise]]</f>
        <v>9.4320000000000004</v>
      </c>
    </row>
    <row r="433" spans="1:13" x14ac:dyDescent="0.35">
      <c r="A433" s="1" t="s">
        <v>496</v>
      </c>
      <c r="B433" s="1" t="s">
        <v>521</v>
      </c>
      <c r="C433" s="1" t="s">
        <v>29</v>
      </c>
      <c r="D433">
        <v>110</v>
      </c>
      <c r="E433" s="1" t="s">
        <v>18</v>
      </c>
      <c r="F433" s="17">
        <v>132</v>
      </c>
      <c r="G433">
        <v>21.31</v>
      </c>
      <c r="H433">
        <v>5</v>
      </c>
      <c r="I433" t="str">
        <f t="shared" si="6"/>
        <v>B2C</v>
      </c>
      <c r="J433" s="19">
        <f>CLIENT[[#This Row],[Duree_Cumulee_Panne_Min]]/1440</f>
        <v>9.166666666666666E-2</v>
      </c>
      <c r="K433" s="17">
        <f>CLIENT[[#This Row],[Anciennete_Mois]]/12</f>
        <v>9.1666666666666661</v>
      </c>
      <c r="L4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33" s="18">
        <f>CLIENT[[#This Row],[Facture_Mensuelle]]*CLIENT[[#This Row],[Remise]]</f>
        <v>0</v>
      </c>
    </row>
    <row r="434" spans="1:13" x14ac:dyDescent="0.35">
      <c r="A434" s="1" t="s">
        <v>453</v>
      </c>
      <c r="B434" s="1" t="s">
        <v>493</v>
      </c>
      <c r="C434" s="1" t="s">
        <v>27</v>
      </c>
      <c r="D434">
        <v>74</v>
      </c>
      <c r="E434" s="1" t="s">
        <v>21</v>
      </c>
      <c r="F434" s="17">
        <v>330</v>
      </c>
      <c r="G434">
        <v>37.82</v>
      </c>
      <c r="H434">
        <v>5</v>
      </c>
      <c r="I434" t="str">
        <f t="shared" si="6"/>
        <v>B2B</v>
      </c>
      <c r="J434" s="19">
        <f>CLIENT[[#This Row],[Duree_Cumulee_Panne_Min]]/1440</f>
        <v>0.22916666666666666</v>
      </c>
      <c r="K434" s="17">
        <f>CLIENT[[#This Row],[Anciennete_Mois]]/12</f>
        <v>6.166666666666667</v>
      </c>
      <c r="L4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4" s="18">
        <f>CLIENT[[#This Row],[Facture_Mensuelle]]*CLIENT[[#This Row],[Remise]]</f>
        <v>17.019000000000002</v>
      </c>
    </row>
    <row r="435" spans="1:13" x14ac:dyDescent="0.35">
      <c r="A435" s="1" t="s">
        <v>8</v>
      </c>
      <c r="B435" s="1" t="s">
        <v>69</v>
      </c>
      <c r="C435" s="1" t="s">
        <v>23</v>
      </c>
      <c r="D435">
        <v>14</v>
      </c>
      <c r="E435" s="1" t="s">
        <v>13</v>
      </c>
      <c r="F435" s="17">
        <v>101</v>
      </c>
      <c r="G435">
        <v>43.99</v>
      </c>
      <c r="H435">
        <v>1</v>
      </c>
      <c r="I435" t="str">
        <f t="shared" si="6"/>
        <v>B2C</v>
      </c>
      <c r="J435" s="19">
        <f>CLIENT[[#This Row],[Duree_Cumulee_Panne_Min]]/1440</f>
        <v>7.013888888888889E-2</v>
      </c>
      <c r="K435" s="17">
        <f>CLIENT[[#This Row],[Anciennete_Mois]]/12</f>
        <v>1.1666666666666667</v>
      </c>
      <c r="L4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35" s="18">
        <f>CLIENT[[#This Row],[Facture_Mensuelle]]*CLIENT[[#This Row],[Remise]]</f>
        <v>0</v>
      </c>
    </row>
    <row r="436" spans="1:13" x14ac:dyDescent="0.35">
      <c r="A436" s="1" t="s">
        <v>453</v>
      </c>
      <c r="B436" s="1" t="s">
        <v>489</v>
      </c>
      <c r="C436" s="1" t="s">
        <v>37</v>
      </c>
      <c r="D436">
        <v>62</v>
      </c>
      <c r="E436" s="1" t="s">
        <v>21</v>
      </c>
      <c r="F436" s="17">
        <v>369</v>
      </c>
      <c r="G436">
        <v>58.74</v>
      </c>
      <c r="H436">
        <v>1</v>
      </c>
      <c r="I436" t="str">
        <f t="shared" si="6"/>
        <v>B2C</v>
      </c>
      <c r="J436" s="19">
        <f>CLIENT[[#This Row],[Duree_Cumulee_Panne_Min]]/1440</f>
        <v>0.25624999999999998</v>
      </c>
      <c r="K436" s="17">
        <f>CLIENT[[#This Row],[Anciennete_Mois]]/12</f>
        <v>5.166666666666667</v>
      </c>
      <c r="L4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6" s="18">
        <f>CLIENT[[#This Row],[Facture_Mensuelle]]*CLIENT[[#This Row],[Remise]]</f>
        <v>26.433</v>
      </c>
    </row>
    <row r="437" spans="1:13" x14ac:dyDescent="0.35">
      <c r="A437" s="1" t="s">
        <v>8</v>
      </c>
      <c r="B437" s="1" t="s">
        <v>38</v>
      </c>
      <c r="C437" s="1" t="s">
        <v>12</v>
      </c>
      <c r="D437">
        <v>89</v>
      </c>
      <c r="E437" s="1" t="s">
        <v>10</v>
      </c>
      <c r="F437" s="17">
        <v>143</v>
      </c>
      <c r="G437">
        <v>48.05</v>
      </c>
      <c r="H437">
        <v>4</v>
      </c>
      <c r="I437" t="str">
        <f t="shared" si="6"/>
        <v>B2C</v>
      </c>
      <c r="J437" s="19">
        <f>CLIENT[[#This Row],[Duree_Cumulee_Panne_Min]]/1440</f>
        <v>9.930555555555555E-2</v>
      </c>
      <c r="K437" s="17">
        <f>CLIENT[[#This Row],[Anciennete_Mois]]/12</f>
        <v>7.416666666666667</v>
      </c>
      <c r="L4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37" s="18">
        <f>CLIENT[[#This Row],[Facture_Mensuelle]]*CLIENT[[#This Row],[Remise]]</f>
        <v>0</v>
      </c>
    </row>
    <row r="438" spans="1:13" x14ac:dyDescent="0.35">
      <c r="A438" s="1" t="s">
        <v>453</v>
      </c>
      <c r="B438" s="1" t="s">
        <v>485</v>
      </c>
      <c r="C438" s="1" t="s">
        <v>20</v>
      </c>
      <c r="D438">
        <v>19</v>
      </c>
      <c r="E438" s="1" t="s">
        <v>10</v>
      </c>
      <c r="F438" s="17">
        <v>270</v>
      </c>
      <c r="G438">
        <v>19.760000000000002</v>
      </c>
      <c r="H438">
        <v>3</v>
      </c>
      <c r="I438" t="str">
        <f t="shared" si="6"/>
        <v>B2C</v>
      </c>
      <c r="J438" s="19">
        <f>CLIENT[[#This Row],[Duree_Cumulee_Panne_Min]]/1440</f>
        <v>0.1875</v>
      </c>
      <c r="K438" s="17">
        <f>CLIENT[[#This Row],[Anciennete_Mois]]/12</f>
        <v>1.5833333333333333</v>
      </c>
      <c r="L4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8" s="18">
        <f>CLIENT[[#This Row],[Facture_Mensuelle]]*CLIENT[[#This Row],[Remise]]</f>
        <v>8.8920000000000012</v>
      </c>
    </row>
    <row r="439" spans="1:13" x14ac:dyDescent="0.35">
      <c r="A439" s="1" t="s">
        <v>591</v>
      </c>
      <c r="B439" s="1" t="s">
        <v>594</v>
      </c>
      <c r="C439" s="1" t="s">
        <v>15</v>
      </c>
      <c r="D439">
        <v>42</v>
      </c>
      <c r="E439" s="1" t="s">
        <v>18</v>
      </c>
      <c r="F439" s="17">
        <v>448</v>
      </c>
      <c r="G439">
        <v>49.02</v>
      </c>
      <c r="H439">
        <v>0</v>
      </c>
      <c r="I439" t="str">
        <f t="shared" si="6"/>
        <v>B2C</v>
      </c>
      <c r="J439" s="19">
        <f>CLIENT[[#This Row],[Duree_Cumulee_Panne_Min]]/1440</f>
        <v>0.31111111111111112</v>
      </c>
      <c r="K439" s="17">
        <f>CLIENT[[#This Row],[Anciennete_Mois]]/12</f>
        <v>3.5</v>
      </c>
      <c r="L4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39" s="18">
        <f>CLIENT[[#This Row],[Facture_Mensuelle]]*CLIENT[[#This Row],[Remise]]</f>
        <v>22.059000000000001</v>
      </c>
    </row>
    <row r="440" spans="1:13" x14ac:dyDescent="0.35">
      <c r="A440" s="1" t="s">
        <v>591</v>
      </c>
      <c r="B440" s="1" t="s">
        <v>603</v>
      </c>
      <c r="C440" s="1" t="s">
        <v>68</v>
      </c>
      <c r="D440">
        <v>116</v>
      </c>
      <c r="E440" s="1" t="s">
        <v>10</v>
      </c>
      <c r="F440" s="17">
        <v>14</v>
      </c>
      <c r="G440">
        <v>30.38</v>
      </c>
      <c r="H440">
        <v>1</v>
      </c>
      <c r="I440" t="str">
        <f t="shared" si="6"/>
        <v>B2C</v>
      </c>
      <c r="J440" s="19">
        <f>CLIENT[[#This Row],[Duree_Cumulee_Panne_Min]]/1440</f>
        <v>9.7222222222222224E-3</v>
      </c>
      <c r="K440" s="17">
        <f>CLIENT[[#This Row],[Anciennete_Mois]]/12</f>
        <v>9.6666666666666661</v>
      </c>
      <c r="L4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40" s="18">
        <f>CLIENT[[#This Row],[Facture_Mensuelle]]*CLIENT[[#This Row],[Remise]]</f>
        <v>0</v>
      </c>
    </row>
    <row r="441" spans="1:13" x14ac:dyDescent="0.35">
      <c r="A441" s="1" t="s">
        <v>129</v>
      </c>
      <c r="B441" s="1" t="s">
        <v>151</v>
      </c>
      <c r="C441" s="1" t="s">
        <v>12</v>
      </c>
      <c r="D441">
        <v>47</v>
      </c>
      <c r="E441" s="1" t="s">
        <v>18</v>
      </c>
      <c r="F441" s="17">
        <v>98</v>
      </c>
      <c r="G441">
        <v>16.16</v>
      </c>
      <c r="H441">
        <v>5</v>
      </c>
      <c r="I441" t="str">
        <f t="shared" si="6"/>
        <v>B2C</v>
      </c>
      <c r="J441" s="19">
        <f>CLIENT[[#This Row],[Duree_Cumulee_Panne_Min]]/1440</f>
        <v>6.805555555555555E-2</v>
      </c>
      <c r="K441" s="17">
        <f>CLIENT[[#This Row],[Anciennete_Mois]]/12</f>
        <v>3.9166666666666665</v>
      </c>
      <c r="L4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41" s="18">
        <f>CLIENT[[#This Row],[Facture_Mensuelle]]*CLIENT[[#This Row],[Remise]]</f>
        <v>0</v>
      </c>
    </row>
    <row r="442" spans="1:13" x14ac:dyDescent="0.35">
      <c r="A442" s="1" t="s">
        <v>453</v>
      </c>
      <c r="B442" s="1" t="s">
        <v>458</v>
      </c>
      <c r="C442" s="1" t="s">
        <v>59</v>
      </c>
      <c r="D442">
        <v>86</v>
      </c>
      <c r="E442" s="1" t="s">
        <v>10</v>
      </c>
      <c r="F442" s="17">
        <v>27</v>
      </c>
      <c r="G442">
        <v>84.94</v>
      </c>
      <c r="H442">
        <v>4</v>
      </c>
      <c r="I442" t="str">
        <f t="shared" si="6"/>
        <v>B2C</v>
      </c>
      <c r="J442" s="19">
        <f>CLIENT[[#This Row],[Duree_Cumulee_Panne_Min]]/1440</f>
        <v>1.8749999999999999E-2</v>
      </c>
      <c r="K442" s="17">
        <f>CLIENT[[#This Row],[Anciennete_Mois]]/12</f>
        <v>7.166666666666667</v>
      </c>
      <c r="L4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42" s="18">
        <f>CLIENT[[#This Row],[Facture_Mensuelle]]*CLIENT[[#This Row],[Remise]]</f>
        <v>0</v>
      </c>
    </row>
    <row r="443" spans="1:13" x14ac:dyDescent="0.35">
      <c r="A443" s="1" t="s">
        <v>640</v>
      </c>
      <c r="B443" s="1" t="s">
        <v>646</v>
      </c>
      <c r="C443" s="1" t="s">
        <v>17</v>
      </c>
      <c r="D443">
        <v>86</v>
      </c>
      <c r="E443" s="1" t="s">
        <v>10</v>
      </c>
      <c r="F443" s="17">
        <v>278</v>
      </c>
      <c r="G443">
        <v>30.12</v>
      </c>
      <c r="H443">
        <v>0</v>
      </c>
      <c r="I443" t="str">
        <f t="shared" si="6"/>
        <v>B2C</v>
      </c>
      <c r="J443" s="19">
        <f>CLIENT[[#This Row],[Duree_Cumulee_Panne_Min]]/1440</f>
        <v>0.19305555555555556</v>
      </c>
      <c r="K443" s="17">
        <f>CLIENT[[#This Row],[Anciennete_Mois]]/12</f>
        <v>7.166666666666667</v>
      </c>
      <c r="L4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43" s="18">
        <f>CLIENT[[#This Row],[Facture_Mensuelle]]*CLIENT[[#This Row],[Remise]]</f>
        <v>13.554</v>
      </c>
    </row>
    <row r="444" spans="1:13" x14ac:dyDescent="0.35">
      <c r="A444" s="1" t="s">
        <v>79</v>
      </c>
      <c r="B444" s="1" t="s">
        <v>89</v>
      </c>
      <c r="C444" s="1" t="s">
        <v>20</v>
      </c>
      <c r="D444">
        <v>94</v>
      </c>
      <c r="E444" s="1" t="s">
        <v>21</v>
      </c>
      <c r="F444" s="17">
        <v>122</v>
      </c>
      <c r="G444">
        <v>95.74</v>
      </c>
      <c r="H444">
        <v>5</v>
      </c>
      <c r="I444" t="str">
        <f t="shared" si="6"/>
        <v>B2B</v>
      </c>
      <c r="J444" s="19">
        <f>CLIENT[[#This Row],[Duree_Cumulee_Panne_Min]]/1440</f>
        <v>8.4722222222222227E-2</v>
      </c>
      <c r="K444" s="17">
        <f>CLIENT[[#This Row],[Anciennete_Mois]]/12</f>
        <v>7.833333333333333</v>
      </c>
      <c r="L4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44" s="18">
        <f>CLIENT[[#This Row],[Facture_Mensuelle]]*CLIENT[[#This Row],[Remise]]</f>
        <v>9.5739999999999998</v>
      </c>
    </row>
    <row r="445" spans="1:13" x14ac:dyDescent="0.35">
      <c r="A445" s="1" t="s">
        <v>496</v>
      </c>
      <c r="B445" s="1" t="s">
        <v>532</v>
      </c>
      <c r="C445" s="1" t="s">
        <v>126</v>
      </c>
      <c r="D445">
        <v>66</v>
      </c>
      <c r="E445" s="1" t="s">
        <v>13</v>
      </c>
      <c r="F445" s="17">
        <v>152</v>
      </c>
      <c r="G445">
        <v>95.71</v>
      </c>
      <c r="H445">
        <v>3</v>
      </c>
      <c r="I445" t="str">
        <f t="shared" si="6"/>
        <v>B2B</v>
      </c>
      <c r="J445" s="19">
        <f>CLIENT[[#This Row],[Duree_Cumulee_Panne_Min]]/1440</f>
        <v>0.10555555555555556</v>
      </c>
      <c r="K445" s="17">
        <f>CLIENT[[#This Row],[Anciennete_Mois]]/12</f>
        <v>5.5</v>
      </c>
      <c r="L4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45" s="18">
        <f>CLIENT[[#This Row],[Facture_Mensuelle]]*CLIENT[[#This Row],[Remise]]</f>
        <v>9.5709999999999997</v>
      </c>
    </row>
    <row r="446" spans="1:13" x14ac:dyDescent="0.35">
      <c r="A446" s="1" t="s">
        <v>591</v>
      </c>
      <c r="B446" s="1" t="s">
        <v>615</v>
      </c>
      <c r="C446" s="1" t="s">
        <v>62</v>
      </c>
      <c r="D446">
        <v>114</v>
      </c>
      <c r="E446" s="1" t="s">
        <v>13</v>
      </c>
      <c r="F446" s="17">
        <v>220</v>
      </c>
      <c r="G446">
        <v>63.67</v>
      </c>
      <c r="H446">
        <v>5</v>
      </c>
      <c r="I446" t="str">
        <f t="shared" si="6"/>
        <v>B2C</v>
      </c>
      <c r="J446" s="19">
        <f>CLIENT[[#This Row],[Duree_Cumulee_Panne_Min]]/1440</f>
        <v>0.15277777777777779</v>
      </c>
      <c r="K446" s="17">
        <f>CLIENT[[#This Row],[Anciennete_Mois]]/12</f>
        <v>9.5</v>
      </c>
      <c r="L4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46" s="18">
        <f>CLIENT[[#This Row],[Facture_Mensuelle]]*CLIENT[[#This Row],[Remise]]</f>
        <v>0</v>
      </c>
    </row>
    <row r="447" spans="1:13" x14ac:dyDescent="0.35">
      <c r="A447" s="1" t="s">
        <v>360</v>
      </c>
      <c r="B447" s="1" t="s">
        <v>370</v>
      </c>
      <c r="C447" s="1" t="s">
        <v>35</v>
      </c>
      <c r="D447">
        <v>36</v>
      </c>
      <c r="E447" s="1" t="s">
        <v>18</v>
      </c>
      <c r="F447" s="17">
        <v>311</v>
      </c>
      <c r="G447">
        <v>13.19</v>
      </c>
      <c r="H447">
        <v>4</v>
      </c>
      <c r="I447" t="str">
        <f t="shared" si="6"/>
        <v>B2C</v>
      </c>
      <c r="J447" s="19">
        <f>CLIENT[[#This Row],[Duree_Cumulee_Panne_Min]]/1440</f>
        <v>0.21597222222222223</v>
      </c>
      <c r="K447" s="17">
        <f>CLIENT[[#This Row],[Anciennete_Mois]]/12</f>
        <v>3</v>
      </c>
      <c r="L4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47" s="18">
        <f>CLIENT[[#This Row],[Facture_Mensuelle]]*CLIENT[[#This Row],[Remise]]</f>
        <v>5.9355000000000002</v>
      </c>
    </row>
    <row r="448" spans="1:13" x14ac:dyDescent="0.35">
      <c r="A448" s="1" t="s">
        <v>360</v>
      </c>
      <c r="B448" s="1" t="s">
        <v>380</v>
      </c>
      <c r="C448" s="1" t="s">
        <v>35</v>
      </c>
      <c r="D448">
        <v>94</v>
      </c>
      <c r="E448" s="1" t="s">
        <v>21</v>
      </c>
      <c r="F448" s="17">
        <v>115</v>
      </c>
      <c r="G448">
        <v>19.12</v>
      </c>
      <c r="H448">
        <v>0</v>
      </c>
      <c r="I448" t="str">
        <f t="shared" si="6"/>
        <v>B2C</v>
      </c>
      <c r="J448" s="19">
        <f>CLIENT[[#This Row],[Duree_Cumulee_Panne_Min]]/1440</f>
        <v>7.9861111111111105E-2</v>
      </c>
      <c r="K448" s="17">
        <f>CLIENT[[#This Row],[Anciennete_Mois]]/12</f>
        <v>7.833333333333333</v>
      </c>
      <c r="L4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48" s="18">
        <f>CLIENT[[#This Row],[Facture_Mensuelle]]*CLIENT[[#This Row],[Remise]]</f>
        <v>0</v>
      </c>
    </row>
    <row r="449" spans="1:13" x14ac:dyDescent="0.35">
      <c r="A449" s="1" t="s">
        <v>267</v>
      </c>
      <c r="B449" s="1" t="s">
        <v>307</v>
      </c>
      <c r="C449" s="1" t="s">
        <v>17</v>
      </c>
      <c r="D449">
        <v>118</v>
      </c>
      <c r="E449" s="1" t="s">
        <v>21</v>
      </c>
      <c r="F449" s="17">
        <v>489</v>
      </c>
      <c r="G449">
        <v>76.22</v>
      </c>
      <c r="H449">
        <v>2</v>
      </c>
      <c r="I449" t="str">
        <f t="shared" si="6"/>
        <v>B2C</v>
      </c>
      <c r="J449" s="19">
        <f>CLIENT[[#This Row],[Duree_Cumulee_Panne_Min]]/1440</f>
        <v>0.33958333333333335</v>
      </c>
      <c r="K449" s="17">
        <f>CLIENT[[#This Row],[Anciennete_Mois]]/12</f>
        <v>9.8333333333333339</v>
      </c>
      <c r="L4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49" s="18">
        <f>CLIENT[[#This Row],[Facture_Mensuelle]]*CLIENT[[#This Row],[Remise]]</f>
        <v>34.298999999999999</v>
      </c>
    </row>
    <row r="450" spans="1:13" x14ac:dyDescent="0.35">
      <c r="A450" s="1" t="s">
        <v>540</v>
      </c>
      <c r="B450" s="1" t="s">
        <v>556</v>
      </c>
      <c r="C450" s="1" t="s">
        <v>23</v>
      </c>
      <c r="D450">
        <v>23</v>
      </c>
      <c r="E450" s="1" t="s">
        <v>10</v>
      </c>
      <c r="F450" s="17">
        <v>314</v>
      </c>
      <c r="G450">
        <v>19.260000000000002</v>
      </c>
      <c r="H450">
        <v>3</v>
      </c>
      <c r="I450" t="str">
        <f t="shared" ref="I450:I513" si="7">IF(E451="Pro Monde","B2B","B2C")</f>
        <v>B2C</v>
      </c>
      <c r="J450" s="19">
        <f>CLIENT[[#This Row],[Duree_Cumulee_Panne_Min]]/1440</f>
        <v>0.21805555555555556</v>
      </c>
      <c r="K450" s="17">
        <f>CLIENT[[#This Row],[Anciennete_Mois]]/12</f>
        <v>1.9166666666666667</v>
      </c>
      <c r="L4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50" s="18">
        <f>CLIENT[[#This Row],[Facture_Mensuelle]]*CLIENT[[#This Row],[Remise]]</f>
        <v>8.6670000000000016</v>
      </c>
    </row>
    <row r="451" spans="1:13" x14ac:dyDescent="0.35">
      <c r="A451" s="1" t="s">
        <v>453</v>
      </c>
      <c r="B451" s="1" t="s">
        <v>475</v>
      </c>
      <c r="C451" s="1" t="s">
        <v>54</v>
      </c>
      <c r="D451">
        <v>92</v>
      </c>
      <c r="E451" s="1" t="s">
        <v>18</v>
      </c>
      <c r="F451" s="17">
        <v>6</v>
      </c>
      <c r="G451">
        <v>77.14</v>
      </c>
      <c r="H451">
        <v>5</v>
      </c>
      <c r="I451" t="str">
        <f t="shared" si="7"/>
        <v>B2C</v>
      </c>
      <c r="J451" s="19">
        <f>CLIENT[[#This Row],[Duree_Cumulee_Panne_Min]]/1440</f>
        <v>4.1666666666666666E-3</v>
      </c>
      <c r="K451" s="17">
        <f>CLIENT[[#This Row],[Anciennete_Mois]]/12</f>
        <v>7.666666666666667</v>
      </c>
      <c r="L4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1" s="18">
        <f>CLIENT[[#This Row],[Facture_Mensuelle]]*CLIENT[[#This Row],[Remise]]</f>
        <v>0</v>
      </c>
    </row>
    <row r="452" spans="1:13" x14ac:dyDescent="0.35">
      <c r="A452" s="1" t="s">
        <v>453</v>
      </c>
      <c r="B452" s="1" t="s">
        <v>474</v>
      </c>
      <c r="C452" s="1" t="s">
        <v>33</v>
      </c>
      <c r="D452">
        <v>117</v>
      </c>
      <c r="E452" s="1" t="s">
        <v>21</v>
      </c>
      <c r="F452" s="17">
        <v>39</v>
      </c>
      <c r="G452">
        <v>26.53</v>
      </c>
      <c r="H452">
        <v>1</v>
      </c>
      <c r="I452" t="str">
        <f t="shared" si="7"/>
        <v>B2C</v>
      </c>
      <c r="J452" s="19">
        <f>CLIENT[[#This Row],[Duree_Cumulee_Panne_Min]]/1440</f>
        <v>2.7083333333333334E-2</v>
      </c>
      <c r="K452" s="17">
        <f>CLIENT[[#This Row],[Anciennete_Mois]]/12</f>
        <v>9.75</v>
      </c>
      <c r="L4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2" s="18">
        <f>CLIENT[[#This Row],[Facture_Mensuelle]]*CLIENT[[#This Row],[Remise]]</f>
        <v>0</v>
      </c>
    </row>
    <row r="453" spans="1:13" x14ac:dyDescent="0.35">
      <c r="A453" s="1" t="s">
        <v>496</v>
      </c>
      <c r="B453" s="1" t="s">
        <v>528</v>
      </c>
      <c r="C453" s="1" t="s">
        <v>48</v>
      </c>
      <c r="D453">
        <v>88</v>
      </c>
      <c r="E453" s="1" t="s">
        <v>10</v>
      </c>
      <c r="F453" s="17">
        <v>219</v>
      </c>
      <c r="G453">
        <v>59.15</v>
      </c>
      <c r="H453">
        <v>0</v>
      </c>
      <c r="I453" t="str">
        <f t="shared" si="7"/>
        <v>B2C</v>
      </c>
      <c r="J453" s="19">
        <f>CLIENT[[#This Row],[Duree_Cumulee_Panne_Min]]/1440</f>
        <v>0.15208333333333332</v>
      </c>
      <c r="K453" s="17">
        <f>CLIENT[[#This Row],[Anciennete_Mois]]/12</f>
        <v>7.333333333333333</v>
      </c>
      <c r="L4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3" s="18">
        <f>CLIENT[[#This Row],[Facture_Mensuelle]]*CLIENT[[#This Row],[Remise]]</f>
        <v>0</v>
      </c>
    </row>
    <row r="454" spans="1:13" x14ac:dyDescent="0.35">
      <c r="A454" s="1" t="s">
        <v>129</v>
      </c>
      <c r="B454" s="1" t="s">
        <v>165</v>
      </c>
      <c r="C454" s="1" t="s">
        <v>54</v>
      </c>
      <c r="D454">
        <v>25</v>
      </c>
      <c r="E454" s="1" t="s">
        <v>18</v>
      </c>
      <c r="F454" s="17">
        <v>131</v>
      </c>
      <c r="G454">
        <v>67.489999999999995</v>
      </c>
      <c r="H454">
        <v>0</v>
      </c>
      <c r="I454" t="str">
        <f t="shared" si="7"/>
        <v>B2C</v>
      </c>
      <c r="J454" s="19">
        <f>CLIENT[[#This Row],[Duree_Cumulee_Panne_Min]]/1440</f>
        <v>9.0972222222222218E-2</v>
      </c>
      <c r="K454" s="17">
        <f>CLIENT[[#This Row],[Anciennete_Mois]]/12</f>
        <v>2.0833333333333335</v>
      </c>
      <c r="L4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4" s="18">
        <f>CLIENT[[#This Row],[Facture_Mensuelle]]*CLIENT[[#This Row],[Remise]]</f>
        <v>0</v>
      </c>
    </row>
    <row r="455" spans="1:13" x14ac:dyDescent="0.35">
      <c r="A455" s="1" t="s">
        <v>220</v>
      </c>
      <c r="B455" s="1" t="s">
        <v>254</v>
      </c>
      <c r="C455" s="1" t="s">
        <v>126</v>
      </c>
      <c r="D455">
        <v>32</v>
      </c>
      <c r="E455" s="1" t="s">
        <v>21</v>
      </c>
      <c r="F455" s="17">
        <v>405</v>
      </c>
      <c r="G455">
        <v>67.92</v>
      </c>
      <c r="H455">
        <v>3</v>
      </c>
      <c r="I455" t="str">
        <f t="shared" si="7"/>
        <v>B2C</v>
      </c>
      <c r="J455" s="19">
        <f>CLIENT[[#This Row],[Duree_Cumulee_Panne_Min]]/1440</f>
        <v>0.28125</v>
      </c>
      <c r="K455" s="17">
        <f>CLIENT[[#This Row],[Anciennete_Mois]]/12</f>
        <v>2.6666666666666665</v>
      </c>
      <c r="L4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55" s="18">
        <f>CLIENT[[#This Row],[Facture_Mensuelle]]*CLIENT[[#This Row],[Remise]]</f>
        <v>30.564</v>
      </c>
    </row>
    <row r="456" spans="1:13" x14ac:dyDescent="0.35">
      <c r="A456" s="1" t="s">
        <v>540</v>
      </c>
      <c r="B456" s="1" t="s">
        <v>559</v>
      </c>
      <c r="C456" s="1" t="s">
        <v>61</v>
      </c>
      <c r="D456">
        <v>41</v>
      </c>
      <c r="E456" s="1" t="s">
        <v>18</v>
      </c>
      <c r="F456" s="17">
        <v>2</v>
      </c>
      <c r="G456">
        <v>24.91</v>
      </c>
      <c r="H456">
        <v>1</v>
      </c>
      <c r="I456" t="str">
        <f t="shared" si="7"/>
        <v>B2C</v>
      </c>
      <c r="J456" s="19">
        <f>CLIENT[[#This Row],[Duree_Cumulee_Panne_Min]]/1440</f>
        <v>1.3888888888888889E-3</v>
      </c>
      <c r="K456" s="17">
        <f>CLIENT[[#This Row],[Anciennete_Mois]]/12</f>
        <v>3.4166666666666665</v>
      </c>
      <c r="L4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56" s="18">
        <f>CLIENT[[#This Row],[Facture_Mensuelle]]*CLIENT[[#This Row],[Remise]]</f>
        <v>0</v>
      </c>
    </row>
    <row r="457" spans="1:13" x14ac:dyDescent="0.35">
      <c r="A457" s="1" t="s">
        <v>314</v>
      </c>
      <c r="B457" s="1" t="s">
        <v>351</v>
      </c>
      <c r="C457" s="1" t="s">
        <v>20</v>
      </c>
      <c r="D457">
        <v>103</v>
      </c>
      <c r="E457" s="1" t="s">
        <v>10</v>
      </c>
      <c r="F457" s="17">
        <v>354</v>
      </c>
      <c r="G457">
        <v>26.19</v>
      </c>
      <c r="H457">
        <v>4</v>
      </c>
      <c r="I457" t="str">
        <f t="shared" si="7"/>
        <v>B2C</v>
      </c>
      <c r="J457" s="19">
        <f>CLIENT[[#This Row],[Duree_Cumulee_Panne_Min]]/1440</f>
        <v>0.24583333333333332</v>
      </c>
      <c r="K457" s="17">
        <f>CLIENT[[#This Row],[Anciennete_Mois]]/12</f>
        <v>8.5833333333333339</v>
      </c>
      <c r="L4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57" s="18">
        <f>CLIENT[[#This Row],[Facture_Mensuelle]]*CLIENT[[#This Row],[Remise]]</f>
        <v>11.785500000000001</v>
      </c>
    </row>
    <row r="458" spans="1:13" x14ac:dyDescent="0.35">
      <c r="A458" s="1" t="s">
        <v>220</v>
      </c>
      <c r="B458" s="1" t="s">
        <v>263</v>
      </c>
      <c r="C458" s="1" t="s">
        <v>72</v>
      </c>
      <c r="D458">
        <v>108</v>
      </c>
      <c r="E458" s="1" t="s">
        <v>10</v>
      </c>
      <c r="F458" s="17">
        <v>323</v>
      </c>
      <c r="G458">
        <v>58.54</v>
      </c>
      <c r="H458">
        <v>2</v>
      </c>
      <c r="I458" t="str">
        <f t="shared" si="7"/>
        <v>B2C</v>
      </c>
      <c r="J458" s="19">
        <f>CLIENT[[#This Row],[Duree_Cumulee_Panne_Min]]/1440</f>
        <v>0.22430555555555556</v>
      </c>
      <c r="K458" s="17">
        <f>CLIENT[[#This Row],[Anciennete_Mois]]/12</f>
        <v>9</v>
      </c>
      <c r="L4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58" s="18">
        <f>CLIENT[[#This Row],[Facture_Mensuelle]]*CLIENT[[#This Row],[Remise]]</f>
        <v>26.343</v>
      </c>
    </row>
    <row r="459" spans="1:13" x14ac:dyDescent="0.35">
      <c r="A459" s="1" t="s">
        <v>129</v>
      </c>
      <c r="B459" s="1" t="s">
        <v>154</v>
      </c>
      <c r="C459" s="1" t="s">
        <v>12</v>
      </c>
      <c r="D459">
        <v>6</v>
      </c>
      <c r="E459" s="1" t="s">
        <v>18</v>
      </c>
      <c r="F459" s="17">
        <v>6</v>
      </c>
      <c r="G459">
        <v>72.27</v>
      </c>
      <c r="H459">
        <v>4</v>
      </c>
      <c r="I459" t="str">
        <f t="shared" si="7"/>
        <v>B2B</v>
      </c>
      <c r="J459" s="19">
        <f>CLIENT[[#This Row],[Duree_Cumulee_Panne_Min]]/1440</f>
        <v>4.1666666666666666E-3</v>
      </c>
      <c r="K459" s="17">
        <f>CLIENT[[#This Row],[Anciennete_Mois]]/12</f>
        <v>0.5</v>
      </c>
      <c r="L4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59" s="18">
        <f>CLIENT[[#This Row],[Facture_Mensuelle]]*CLIENT[[#This Row],[Remise]]</f>
        <v>7.2270000000000003</v>
      </c>
    </row>
    <row r="460" spans="1:13" x14ac:dyDescent="0.35">
      <c r="A460" s="1" t="s">
        <v>540</v>
      </c>
      <c r="B460" s="1" t="s">
        <v>576</v>
      </c>
      <c r="C460" s="1" t="s">
        <v>61</v>
      </c>
      <c r="D460">
        <v>81</v>
      </c>
      <c r="E460" s="1" t="s">
        <v>13</v>
      </c>
      <c r="F460" s="17">
        <v>443</v>
      </c>
      <c r="G460">
        <v>32.78</v>
      </c>
      <c r="H460">
        <v>1</v>
      </c>
      <c r="I460" t="str">
        <f t="shared" si="7"/>
        <v>B2B</v>
      </c>
      <c r="J460" s="19">
        <f>CLIENT[[#This Row],[Duree_Cumulee_Panne_Min]]/1440</f>
        <v>0.30763888888888891</v>
      </c>
      <c r="K460" s="17">
        <f>CLIENT[[#This Row],[Anciennete_Mois]]/12</f>
        <v>6.75</v>
      </c>
      <c r="L4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60" s="18">
        <f>CLIENT[[#This Row],[Facture_Mensuelle]]*CLIENT[[#This Row],[Remise]]</f>
        <v>14.751000000000001</v>
      </c>
    </row>
    <row r="461" spans="1:13" x14ac:dyDescent="0.35">
      <c r="A461" s="1" t="s">
        <v>314</v>
      </c>
      <c r="B461" s="1" t="s">
        <v>349</v>
      </c>
      <c r="C461" s="1" t="s">
        <v>48</v>
      </c>
      <c r="D461">
        <v>86</v>
      </c>
      <c r="E461" s="1" t="s">
        <v>13</v>
      </c>
      <c r="F461" s="17">
        <v>192</v>
      </c>
      <c r="G461">
        <v>26.26</v>
      </c>
      <c r="H461">
        <v>1</v>
      </c>
      <c r="I461" t="str">
        <f t="shared" si="7"/>
        <v>B2C</v>
      </c>
      <c r="J461" s="19">
        <f>CLIENT[[#This Row],[Duree_Cumulee_Panne_Min]]/1440</f>
        <v>0.13333333333333333</v>
      </c>
      <c r="K461" s="17">
        <f>CLIENT[[#This Row],[Anciennete_Mois]]/12</f>
        <v>7.166666666666667</v>
      </c>
      <c r="L4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61" s="18">
        <f>CLIENT[[#This Row],[Facture_Mensuelle]]*CLIENT[[#This Row],[Remise]]</f>
        <v>0</v>
      </c>
    </row>
    <row r="462" spans="1:13" x14ac:dyDescent="0.35">
      <c r="A462" s="1" t="s">
        <v>220</v>
      </c>
      <c r="B462" s="1" t="s">
        <v>224</v>
      </c>
      <c r="C462" s="1" t="s">
        <v>23</v>
      </c>
      <c r="D462">
        <v>60</v>
      </c>
      <c r="E462" s="1" t="s">
        <v>21</v>
      </c>
      <c r="F462" s="17">
        <v>54</v>
      </c>
      <c r="G462">
        <v>67.180000000000007</v>
      </c>
      <c r="H462">
        <v>3</v>
      </c>
      <c r="I462" t="str">
        <f t="shared" si="7"/>
        <v>B2C</v>
      </c>
      <c r="J462" s="19">
        <f>CLIENT[[#This Row],[Duree_Cumulee_Panne_Min]]/1440</f>
        <v>3.7499999999999999E-2</v>
      </c>
      <c r="K462" s="17">
        <f>CLIENT[[#This Row],[Anciennete_Mois]]/12</f>
        <v>5</v>
      </c>
      <c r="L4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62" s="18">
        <f>CLIENT[[#This Row],[Facture_Mensuelle]]*CLIENT[[#This Row],[Remise]]</f>
        <v>0</v>
      </c>
    </row>
    <row r="463" spans="1:13" x14ac:dyDescent="0.35">
      <c r="A463" s="1" t="s">
        <v>174</v>
      </c>
      <c r="B463" s="1" t="s">
        <v>211</v>
      </c>
      <c r="C463" s="1" t="s">
        <v>37</v>
      </c>
      <c r="D463">
        <v>49</v>
      </c>
      <c r="E463" s="1" t="s">
        <v>10</v>
      </c>
      <c r="F463" s="17">
        <v>357</v>
      </c>
      <c r="G463">
        <v>96.67</v>
      </c>
      <c r="H463">
        <v>3</v>
      </c>
      <c r="I463" t="str">
        <f t="shared" si="7"/>
        <v>B2C</v>
      </c>
      <c r="J463" s="19">
        <f>CLIENT[[#This Row],[Duree_Cumulee_Panne_Min]]/1440</f>
        <v>0.24791666666666667</v>
      </c>
      <c r="K463" s="17">
        <f>CLIENT[[#This Row],[Anciennete_Mois]]/12</f>
        <v>4.083333333333333</v>
      </c>
      <c r="L4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63" s="18">
        <f>CLIENT[[#This Row],[Facture_Mensuelle]]*CLIENT[[#This Row],[Remise]]</f>
        <v>43.5015</v>
      </c>
    </row>
    <row r="464" spans="1:13" x14ac:dyDescent="0.35">
      <c r="A464" s="1" t="s">
        <v>591</v>
      </c>
      <c r="B464" s="1" t="s">
        <v>608</v>
      </c>
      <c r="C464" s="1" t="s">
        <v>37</v>
      </c>
      <c r="D464">
        <v>69</v>
      </c>
      <c r="E464" s="1" t="s">
        <v>18</v>
      </c>
      <c r="F464" s="17">
        <v>180</v>
      </c>
      <c r="G464">
        <v>76.05</v>
      </c>
      <c r="H464">
        <v>2</v>
      </c>
      <c r="I464" t="str">
        <f t="shared" si="7"/>
        <v>B2B</v>
      </c>
      <c r="J464" s="19">
        <f>CLIENT[[#This Row],[Duree_Cumulee_Panne_Min]]/1440</f>
        <v>0.125</v>
      </c>
      <c r="K464" s="17">
        <f>CLIENT[[#This Row],[Anciennete_Mois]]/12</f>
        <v>5.75</v>
      </c>
      <c r="L4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64" s="18">
        <f>CLIENT[[#This Row],[Facture_Mensuelle]]*CLIENT[[#This Row],[Remise]]</f>
        <v>7.6050000000000004</v>
      </c>
    </row>
    <row r="465" spans="1:13" x14ac:dyDescent="0.35">
      <c r="A465" s="1" t="s">
        <v>129</v>
      </c>
      <c r="B465" s="1" t="s">
        <v>130</v>
      </c>
      <c r="C465" s="1" t="s">
        <v>23</v>
      </c>
      <c r="D465">
        <v>87</v>
      </c>
      <c r="E465" s="1" t="s">
        <v>13</v>
      </c>
      <c r="F465" s="17">
        <v>442</v>
      </c>
      <c r="G465">
        <v>22.39</v>
      </c>
      <c r="H465">
        <v>3</v>
      </c>
      <c r="I465" t="str">
        <f t="shared" si="7"/>
        <v>B2C</v>
      </c>
      <c r="J465" s="19">
        <f>CLIENT[[#This Row],[Duree_Cumulee_Panne_Min]]/1440</f>
        <v>0.30694444444444446</v>
      </c>
      <c r="K465" s="17">
        <f>CLIENT[[#This Row],[Anciennete_Mois]]/12</f>
        <v>7.25</v>
      </c>
      <c r="L4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65" s="18">
        <f>CLIENT[[#This Row],[Facture_Mensuelle]]*CLIENT[[#This Row],[Remise]]</f>
        <v>10.0755</v>
      </c>
    </row>
    <row r="466" spans="1:13" x14ac:dyDescent="0.35">
      <c r="A466" s="1" t="s">
        <v>129</v>
      </c>
      <c r="B466" s="1" t="s">
        <v>162</v>
      </c>
      <c r="C466" s="1" t="s">
        <v>37</v>
      </c>
      <c r="D466">
        <v>58</v>
      </c>
      <c r="E466" s="1" t="s">
        <v>18</v>
      </c>
      <c r="F466" s="17">
        <v>293</v>
      </c>
      <c r="G466">
        <v>88.85</v>
      </c>
      <c r="H466">
        <v>5</v>
      </c>
      <c r="I466" t="str">
        <f t="shared" si="7"/>
        <v>B2B</v>
      </c>
      <c r="J466" s="19">
        <f>CLIENT[[#This Row],[Duree_Cumulee_Panne_Min]]/1440</f>
        <v>0.20347222222222222</v>
      </c>
      <c r="K466" s="17">
        <f>CLIENT[[#This Row],[Anciennete_Mois]]/12</f>
        <v>4.833333333333333</v>
      </c>
      <c r="L4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66" s="18">
        <f>CLIENT[[#This Row],[Facture_Mensuelle]]*CLIENT[[#This Row],[Remise]]</f>
        <v>39.982500000000002</v>
      </c>
    </row>
    <row r="467" spans="1:13" x14ac:dyDescent="0.35">
      <c r="A467" s="1" t="s">
        <v>640</v>
      </c>
      <c r="B467" s="1" t="s">
        <v>665</v>
      </c>
      <c r="C467" s="1" t="s">
        <v>31</v>
      </c>
      <c r="D467">
        <v>85</v>
      </c>
      <c r="E467" s="1" t="s">
        <v>13</v>
      </c>
      <c r="F467" s="17">
        <v>28</v>
      </c>
      <c r="G467">
        <v>83.82</v>
      </c>
      <c r="H467">
        <v>0</v>
      </c>
      <c r="I467" t="str">
        <f t="shared" si="7"/>
        <v>B2C</v>
      </c>
      <c r="J467" s="19">
        <f>CLIENT[[#This Row],[Duree_Cumulee_Panne_Min]]/1440</f>
        <v>1.9444444444444445E-2</v>
      </c>
      <c r="K467" s="17">
        <f>CLIENT[[#This Row],[Anciennete_Mois]]/12</f>
        <v>7.083333333333333</v>
      </c>
      <c r="L4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67" s="18">
        <f>CLIENT[[#This Row],[Facture_Mensuelle]]*CLIENT[[#This Row],[Remise]]</f>
        <v>0</v>
      </c>
    </row>
    <row r="468" spans="1:13" x14ac:dyDescent="0.35">
      <c r="A468" s="1" t="s">
        <v>267</v>
      </c>
      <c r="B468" s="1" t="s">
        <v>288</v>
      </c>
      <c r="C468" s="1" t="s">
        <v>62</v>
      </c>
      <c r="D468">
        <v>117</v>
      </c>
      <c r="E468" s="1" t="s">
        <v>18</v>
      </c>
      <c r="F468" s="17">
        <v>85</v>
      </c>
      <c r="G468">
        <v>46.16</v>
      </c>
      <c r="H468">
        <v>3</v>
      </c>
      <c r="I468" t="str">
        <f t="shared" si="7"/>
        <v>B2B</v>
      </c>
      <c r="J468" s="19">
        <f>CLIENT[[#This Row],[Duree_Cumulee_Panne_Min]]/1440</f>
        <v>5.9027777777777776E-2</v>
      </c>
      <c r="K468" s="17">
        <f>CLIENT[[#This Row],[Anciennete_Mois]]/12</f>
        <v>9.75</v>
      </c>
      <c r="L4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68" s="18">
        <f>CLIENT[[#This Row],[Facture_Mensuelle]]*CLIENT[[#This Row],[Remise]]</f>
        <v>4.6159999999999997</v>
      </c>
    </row>
    <row r="469" spans="1:13" x14ac:dyDescent="0.35">
      <c r="A469" s="1" t="s">
        <v>540</v>
      </c>
      <c r="B469" s="1" t="s">
        <v>586</v>
      </c>
      <c r="C469" s="1" t="s">
        <v>27</v>
      </c>
      <c r="D469">
        <v>4</v>
      </c>
      <c r="E469" s="1" t="s">
        <v>13</v>
      </c>
      <c r="F469" s="17">
        <v>372</v>
      </c>
      <c r="G469">
        <v>26.73</v>
      </c>
      <c r="H469">
        <v>3</v>
      </c>
      <c r="I469" t="str">
        <f t="shared" si="7"/>
        <v>B2C</v>
      </c>
      <c r="J469" s="19">
        <f>CLIENT[[#This Row],[Duree_Cumulee_Panne_Min]]/1440</f>
        <v>0.25833333333333336</v>
      </c>
      <c r="K469" s="17">
        <f>CLIENT[[#This Row],[Anciennete_Mois]]/12</f>
        <v>0.33333333333333331</v>
      </c>
      <c r="L4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69" s="18">
        <f>CLIENT[[#This Row],[Facture_Mensuelle]]*CLIENT[[#This Row],[Remise]]</f>
        <v>12.028500000000001</v>
      </c>
    </row>
    <row r="470" spans="1:13" x14ac:dyDescent="0.35">
      <c r="A470" s="1" t="s">
        <v>685</v>
      </c>
      <c r="B470" s="1" t="s">
        <v>686</v>
      </c>
      <c r="C470" s="1" t="s">
        <v>33</v>
      </c>
      <c r="D470">
        <v>97</v>
      </c>
      <c r="E470" s="1" t="s">
        <v>18</v>
      </c>
      <c r="F470" s="17">
        <v>173</v>
      </c>
      <c r="G470">
        <v>19.37</v>
      </c>
      <c r="H470">
        <v>5</v>
      </c>
      <c r="I470" t="str">
        <f t="shared" si="7"/>
        <v>B2C</v>
      </c>
      <c r="J470" s="19">
        <f>CLIENT[[#This Row],[Duree_Cumulee_Panne_Min]]/1440</f>
        <v>0.12013888888888889</v>
      </c>
      <c r="K470" s="17">
        <f>CLIENT[[#This Row],[Anciennete_Mois]]/12</f>
        <v>8.0833333333333339</v>
      </c>
      <c r="L4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0" s="18">
        <f>CLIENT[[#This Row],[Facture_Mensuelle]]*CLIENT[[#This Row],[Remise]]</f>
        <v>0</v>
      </c>
    </row>
    <row r="471" spans="1:13" x14ac:dyDescent="0.35">
      <c r="A471" s="1" t="s">
        <v>453</v>
      </c>
      <c r="B471" s="1" t="s">
        <v>484</v>
      </c>
      <c r="C471" s="1" t="s">
        <v>33</v>
      </c>
      <c r="D471">
        <v>41</v>
      </c>
      <c r="E471" s="1" t="s">
        <v>10</v>
      </c>
      <c r="F471" s="17">
        <v>383</v>
      </c>
      <c r="G471">
        <v>27.53</v>
      </c>
      <c r="H471">
        <v>4</v>
      </c>
      <c r="I471" t="str">
        <f t="shared" si="7"/>
        <v>B2C</v>
      </c>
      <c r="J471" s="19">
        <f>CLIENT[[#This Row],[Duree_Cumulee_Panne_Min]]/1440</f>
        <v>0.26597222222222222</v>
      </c>
      <c r="K471" s="17">
        <f>CLIENT[[#This Row],[Anciennete_Mois]]/12</f>
        <v>3.4166666666666665</v>
      </c>
      <c r="L4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71" s="18">
        <f>CLIENT[[#This Row],[Facture_Mensuelle]]*CLIENT[[#This Row],[Remise]]</f>
        <v>12.388500000000001</v>
      </c>
    </row>
    <row r="472" spans="1:13" x14ac:dyDescent="0.35">
      <c r="A472" s="1" t="s">
        <v>314</v>
      </c>
      <c r="B472" s="1" t="s">
        <v>355</v>
      </c>
      <c r="C472" s="1" t="s">
        <v>83</v>
      </c>
      <c r="D472">
        <v>77</v>
      </c>
      <c r="E472" s="1" t="s">
        <v>21</v>
      </c>
      <c r="F472" s="17">
        <v>45</v>
      </c>
      <c r="G472">
        <v>21.59</v>
      </c>
      <c r="H472">
        <v>2</v>
      </c>
      <c r="I472" t="str">
        <f t="shared" si="7"/>
        <v>B2C</v>
      </c>
      <c r="J472" s="19">
        <f>CLIENT[[#This Row],[Duree_Cumulee_Panne_Min]]/1440</f>
        <v>3.125E-2</v>
      </c>
      <c r="K472" s="17">
        <f>CLIENT[[#This Row],[Anciennete_Mois]]/12</f>
        <v>6.416666666666667</v>
      </c>
      <c r="L4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2" s="18">
        <f>CLIENT[[#This Row],[Facture_Mensuelle]]*CLIENT[[#This Row],[Remise]]</f>
        <v>0</v>
      </c>
    </row>
    <row r="473" spans="1:13" x14ac:dyDescent="0.35">
      <c r="A473" s="1" t="s">
        <v>406</v>
      </c>
      <c r="B473" s="1" t="s">
        <v>443</v>
      </c>
      <c r="C473" s="1" t="s">
        <v>68</v>
      </c>
      <c r="D473">
        <v>2</v>
      </c>
      <c r="E473" s="1" t="s">
        <v>18</v>
      </c>
      <c r="F473" s="17">
        <v>142</v>
      </c>
      <c r="G473">
        <v>49.05</v>
      </c>
      <c r="H473">
        <v>4</v>
      </c>
      <c r="I473" t="str">
        <f t="shared" si="7"/>
        <v>B2C</v>
      </c>
      <c r="J473" s="19">
        <f>CLIENT[[#This Row],[Duree_Cumulee_Panne_Min]]/1440</f>
        <v>9.8611111111111108E-2</v>
      </c>
      <c r="K473" s="17">
        <f>CLIENT[[#This Row],[Anciennete_Mois]]/12</f>
        <v>0.16666666666666666</v>
      </c>
      <c r="L4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3" s="18">
        <f>CLIENT[[#This Row],[Facture_Mensuelle]]*CLIENT[[#This Row],[Remise]]</f>
        <v>0</v>
      </c>
    </row>
    <row r="474" spans="1:13" x14ac:dyDescent="0.35">
      <c r="A474" s="1" t="s">
        <v>360</v>
      </c>
      <c r="B474" s="1" t="s">
        <v>394</v>
      </c>
      <c r="C474" s="1" t="s">
        <v>54</v>
      </c>
      <c r="D474">
        <v>78</v>
      </c>
      <c r="E474" s="1" t="s">
        <v>18</v>
      </c>
      <c r="F474" s="17">
        <v>57</v>
      </c>
      <c r="G474">
        <v>49.47</v>
      </c>
      <c r="H474">
        <v>0</v>
      </c>
      <c r="I474" t="str">
        <f t="shared" si="7"/>
        <v>B2C</v>
      </c>
      <c r="J474" s="19">
        <f>CLIENT[[#This Row],[Duree_Cumulee_Panne_Min]]/1440</f>
        <v>3.9583333333333331E-2</v>
      </c>
      <c r="K474" s="17">
        <f>CLIENT[[#This Row],[Anciennete_Mois]]/12</f>
        <v>6.5</v>
      </c>
      <c r="L4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4" s="18">
        <f>CLIENT[[#This Row],[Facture_Mensuelle]]*CLIENT[[#This Row],[Remise]]</f>
        <v>0</v>
      </c>
    </row>
    <row r="475" spans="1:13" x14ac:dyDescent="0.35">
      <c r="A475" s="1" t="s">
        <v>314</v>
      </c>
      <c r="B475" s="1" t="s">
        <v>353</v>
      </c>
      <c r="C475" s="1" t="s">
        <v>72</v>
      </c>
      <c r="D475">
        <v>90</v>
      </c>
      <c r="E475" s="1" t="s">
        <v>21</v>
      </c>
      <c r="F475" s="17">
        <v>343</v>
      </c>
      <c r="G475">
        <v>82.05</v>
      </c>
      <c r="H475">
        <v>1</v>
      </c>
      <c r="I475" t="str">
        <f t="shared" si="7"/>
        <v>B2C</v>
      </c>
      <c r="J475" s="19">
        <f>CLIENT[[#This Row],[Duree_Cumulee_Panne_Min]]/1440</f>
        <v>0.23819444444444443</v>
      </c>
      <c r="K475" s="17">
        <f>CLIENT[[#This Row],[Anciennete_Mois]]/12</f>
        <v>7.5</v>
      </c>
      <c r="L4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75" s="18">
        <f>CLIENT[[#This Row],[Facture_Mensuelle]]*CLIENT[[#This Row],[Remise]]</f>
        <v>36.922499999999999</v>
      </c>
    </row>
    <row r="476" spans="1:13" x14ac:dyDescent="0.35">
      <c r="A476" s="1" t="s">
        <v>220</v>
      </c>
      <c r="B476" s="1" t="s">
        <v>246</v>
      </c>
      <c r="C476" s="1" t="s">
        <v>12</v>
      </c>
      <c r="D476">
        <v>96</v>
      </c>
      <c r="E476" s="1" t="s">
        <v>21</v>
      </c>
      <c r="F476" s="17">
        <v>210</v>
      </c>
      <c r="G476">
        <v>28.39</v>
      </c>
      <c r="H476">
        <v>3</v>
      </c>
      <c r="I476" t="str">
        <f t="shared" si="7"/>
        <v>B2C</v>
      </c>
      <c r="J476" s="19">
        <f>CLIENT[[#This Row],[Duree_Cumulee_Panne_Min]]/1440</f>
        <v>0.14583333333333334</v>
      </c>
      <c r="K476" s="17">
        <f>CLIENT[[#This Row],[Anciennete_Mois]]/12</f>
        <v>8</v>
      </c>
      <c r="L4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6" s="18">
        <f>CLIENT[[#This Row],[Facture_Mensuelle]]*CLIENT[[#This Row],[Remise]]</f>
        <v>0</v>
      </c>
    </row>
    <row r="477" spans="1:13" x14ac:dyDescent="0.35">
      <c r="A477" s="1" t="s">
        <v>685</v>
      </c>
      <c r="B477" s="1" t="s">
        <v>727</v>
      </c>
      <c r="C477" s="1" t="s">
        <v>27</v>
      </c>
      <c r="D477">
        <v>12</v>
      </c>
      <c r="E477" s="1" t="s">
        <v>10</v>
      </c>
      <c r="F477" s="17">
        <v>138</v>
      </c>
      <c r="G477">
        <v>99.83</v>
      </c>
      <c r="H477">
        <v>1</v>
      </c>
      <c r="I477" t="str">
        <f t="shared" si="7"/>
        <v>B2C</v>
      </c>
      <c r="J477" s="19">
        <f>CLIENT[[#This Row],[Duree_Cumulee_Panne_Min]]/1440</f>
        <v>9.583333333333334E-2</v>
      </c>
      <c r="K477" s="17">
        <f>CLIENT[[#This Row],[Anciennete_Mois]]/12</f>
        <v>1</v>
      </c>
      <c r="L4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77" s="18">
        <f>CLIENT[[#This Row],[Facture_Mensuelle]]*CLIENT[[#This Row],[Remise]]</f>
        <v>44.923499999999997</v>
      </c>
    </row>
    <row r="478" spans="1:13" x14ac:dyDescent="0.35">
      <c r="A478" s="1" t="s">
        <v>129</v>
      </c>
      <c r="B478" s="1" t="s">
        <v>140</v>
      </c>
      <c r="C478" s="1" t="s">
        <v>31</v>
      </c>
      <c r="D478">
        <v>110</v>
      </c>
      <c r="E478" s="1" t="s">
        <v>10</v>
      </c>
      <c r="F478" s="17">
        <v>51</v>
      </c>
      <c r="G478">
        <v>56.59</v>
      </c>
      <c r="H478">
        <v>5</v>
      </c>
      <c r="I478" t="str">
        <f t="shared" si="7"/>
        <v>B2C</v>
      </c>
      <c r="J478" s="19">
        <f>CLIENT[[#This Row],[Duree_Cumulee_Panne_Min]]/1440</f>
        <v>3.5416666666666666E-2</v>
      </c>
      <c r="K478" s="17">
        <f>CLIENT[[#This Row],[Anciennete_Mois]]/12</f>
        <v>9.1666666666666661</v>
      </c>
      <c r="L4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78" s="18">
        <f>CLIENT[[#This Row],[Facture_Mensuelle]]*CLIENT[[#This Row],[Remise]]</f>
        <v>0</v>
      </c>
    </row>
    <row r="479" spans="1:13" x14ac:dyDescent="0.35">
      <c r="A479" s="1" t="s">
        <v>174</v>
      </c>
      <c r="B479" s="1" t="s">
        <v>205</v>
      </c>
      <c r="C479" s="1" t="s">
        <v>62</v>
      </c>
      <c r="D479">
        <v>111</v>
      </c>
      <c r="E479" s="1" t="s">
        <v>10</v>
      </c>
      <c r="F479" s="17">
        <v>43</v>
      </c>
      <c r="G479">
        <v>19.39</v>
      </c>
      <c r="H479">
        <v>3</v>
      </c>
      <c r="I479" t="str">
        <f t="shared" si="7"/>
        <v>B2B</v>
      </c>
      <c r="J479" s="19">
        <f>CLIENT[[#This Row],[Duree_Cumulee_Panne_Min]]/1440</f>
        <v>2.9861111111111113E-2</v>
      </c>
      <c r="K479" s="17">
        <f>CLIENT[[#This Row],[Anciennete_Mois]]/12</f>
        <v>9.25</v>
      </c>
      <c r="L4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479" s="18">
        <f>CLIENT[[#This Row],[Facture_Mensuelle]]*CLIENT[[#This Row],[Remise]]</f>
        <v>1.9390000000000001</v>
      </c>
    </row>
    <row r="480" spans="1:13" x14ac:dyDescent="0.35">
      <c r="A480" s="1" t="s">
        <v>267</v>
      </c>
      <c r="B480" s="1" t="s">
        <v>302</v>
      </c>
      <c r="C480" s="1" t="s">
        <v>31</v>
      </c>
      <c r="D480">
        <v>55</v>
      </c>
      <c r="E480" s="1" t="s">
        <v>13</v>
      </c>
      <c r="F480" s="17">
        <v>389</v>
      </c>
      <c r="G480">
        <v>67.430000000000007</v>
      </c>
      <c r="H480">
        <v>3</v>
      </c>
      <c r="I480" t="str">
        <f t="shared" si="7"/>
        <v>B2B</v>
      </c>
      <c r="J480" s="19">
        <f>CLIENT[[#This Row],[Duree_Cumulee_Panne_Min]]/1440</f>
        <v>0.27013888888888887</v>
      </c>
      <c r="K480" s="17">
        <f>CLIENT[[#This Row],[Anciennete_Mois]]/12</f>
        <v>4.583333333333333</v>
      </c>
      <c r="L4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0" s="18">
        <f>CLIENT[[#This Row],[Facture_Mensuelle]]*CLIENT[[#This Row],[Remise]]</f>
        <v>30.343500000000002</v>
      </c>
    </row>
    <row r="481" spans="1:13" x14ac:dyDescent="0.35">
      <c r="A481" s="1" t="s">
        <v>540</v>
      </c>
      <c r="B481" s="1" t="s">
        <v>564</v>
      </c>
      <c r="C481" s="1" t="s">
        <v>33</v>
      </c>
      <c r="D481">
        <v>13</v>
      </c>
      <c r="E481" s="1" t="s">
        <v>13</v>
      </c>
      <c r="F481" s="17">
        <v>474</v>
      </c>
      <c r="G481">
        <v>63.67</v>
      </c>
      <c r="H481">
        <v>2</v>
      </c>
      <c r="I481" t="str">
        <f t="shared" si="7"/>
        <v>B2C</v>
      </c>
      <c r="J481" s="19">
        <f>CLIENT[[#This Row],[Duree_Cumulee_Panne_Min]]/1440</f>
        <v>0.32916666666666666</v>
      </c>
      <c r="K481" s="17">
        <f>CLIENT[[#This Row],[Anciennete_Mois]]/12</f>
        <v>1.0833333333333333</v>
      </c>
      <c r="L4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1" s="18">
        <f>CLIENT[[#This Row],[Facture_Mensuelle]]*CLIENT[[#This Row],[Remise]]</f>
        <v>28.651500000000002</v>
      </c>
    </row>
    <row r="482" spans="1:13" x14ac:dyDescent="0.35">
      <c r="A482" s="1" t="s">
        <v>406</v>
      </c>
      <c r="B482" s="1" t="s">
        <v>448</v>
      </c>
      <c r="C482" s="1" t="s">
        <v>72</v>
      </c>
      <c r="D482">
        <v>43</v>
      </c>
      <c r="E482" s="1" t="s">
        <v>21</v>
      </c>
      <c r="F482" s="17">
        <v>26</v>
      </c>
      <c r="G482">
        <v>25.85</v>
      </c>
      <c r="H482">
        <v>1</v>
      </c>
      <c r="I482" t="str">
        <f t="shared" si="7"/>
        <v>B2C</v>
      </c>
      <c r="J482" s="19">
        <f>CLIENT[[#This Row],[Duree_Cumulee_Panne_Min]]/1440</f>
        <v>1.8055555555555554E-2</v>
      </c>
      <c r="K482" s="17">
        <f>CLIENT[[#This Row],[Anciennete_Mois]]/12</f>
        <v>3.5833333333333335</v>
      </c>
      <c r="L4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82" s="18">
        <f>CLIENT[[#This Row],[Facture_Mensuelle]]*CLIENT[[#This Row],[Remise]]</f>
        <v>0</v>
      </c>
    </row>
    <row r="483" spans="1:13" x14ac:dyDescent="0.35">
      <c r="A483" s="1" t="s">
        <v>685</v>
      </c>
      <c r="B483" s="1" t="s">
        <v>715</v>
      </c>
      <c r="C483" s="1" t="s">
        <v>12</v>
      </c>
      <c r="D483">
        <v>63</v>
      </c>
      <c r="E483" s="1" t="s">
        <v>10</v>
      </c>
      <c r="F483" s="17">
        <v>177</v>
      </c>
      <c r="G483">
        <v>77.73</v>
      </c>
      <c r="H483">
        <v>3</v>
      </c>
      <c r="I483" t="str">
        <f t="shared" si="7"/>
        <v>B2C</v>
      </c>
      <c r="J483" s="19">
        <f>CLIENT[[#This Row],[Duree_Cumulee_Panne_Min]]/1440</f>
        <v>0.12291666666666666</v>
      </c>
      <c r="K483" s="17">
        <f>CLIENT[[#This Row],[Anciennete_Mois]]/12</f>
        <v>5.25</v>
      </c>
      <c r="L4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83" s="18">
        <f>CLIENT[[#This Row],[Facture_Mensuelle]]*CLIENT[[#This Row],[Remise]]</f>
        <v>0</v>
      </c>
    </row>
    <row r="484" spans="1:13" x14ac:dyDescent="0.35">
      <c r="A484" s="1" t="s">
        <v>8</v>
      </c>
      <c r="B484" s="1" t="s">
        <v>46</v>
      </c>
      <c r="C484" s="1" t="s">
        <v>24</v>
      </c>
      <c r="D484">
        <v>7</v>
      </c>
      <c r="E484" s="1" t="s">
        <v>10</v>
      </c>
      <c r="F484" s="17">
        <v>206</v>
      </c>
      <c r="G484">
        <v>78.09</v>
      </c>
      <c r="H484">
        <v>3</v>
      </c>
      <c r="I484" t="str">
        <f t="shared" si="7"/>
        <v>B2C</v>
      </c>
      <c r="J484" s="19">
        <f>CLIENT[[#This Row],[Duree_Cumulee_Panne_Min]]/1440</f>
        <v>0.14305555555555555</v>
      </c>
      <c r="K484" s="17">
        <f>CLIENT[[#This Row],[Anciennete_Mois]]/12</f>
        <v>0.58333333333333337</v>
      </c>
      <c r="L4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4" s="18">
        <f>CLIENT[[#This Row],[Facture_Mensuelle]]*CLIENT[[#This Row],[Remise]]</f>
        <v>35.140500000000003</v>
      </c>
    </row>
    <row r="485" spans="1:13" x14ac:dyDescent="0.35">
      <c r="A485" s="1" t="s">
        <v>8</v>
      </c>
      <c r="B485" s="1" t="s">
        <v>76</v>
      </c>
      <c r="C485" s="1" t="s">
        <v>54</v>
      </c>
      <c r="D485">
        <v>117</v>
      </c>
      <c r="E485" s="1" t="s">
        <v>21</v>
      </c>
      <c r="F485" s="17">
        <v>171</v>
      </c>
      <c r="G485">
        <v>50.89</v>
      </c>
      <c r="H485">
        <v>4</v>
      </c>
      <c r="I485" t="str">
        <f t="shared" si="7"/>
        <v>B2C</v>
      </c>
      <c r="J485" s="19">
        <f>CLIENT[[#This Row],[Duree_Cumulee_Panne_Min]]/1440</f>
        <v>0.11874999999999999</v>
      </c>
      <c r="K485" s="17">
        <f>CLIENT[[#This Row],[Anciennete_Mois]]/12</f>
        <v>9.75</v>
      </c>
      <c r="L4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85" s="18">
        <f>CLIENT[[#This Row],[Facture_Mensuelle]]*CLIENT[[#This Row],[Remise]]</f>
        <v>0</v>
      </c>
    </row>
    <row r="486" spans="1:13" x14ac:dyDescent="0.35">
      <c r="A486" s="1" t="s">
        <v>496</v>
      </c>
      <c r="B486" s="1" t="s">
        <v>513</v>
      </c>
      <c r="C486" s="1" t="s">
        <v>29</v>
      </c>
      <c r="D486">
        <v>57</v>
      </c>
      <c r="E486" s="1" t="s">
        <v>18</v>
      </c>
      <c r="F486" s="17">
        <v>447</v>
      </c>
      <c r="G486">
        <v>23.27</v>
      </c>
      <c r="H486">
        <v>3</v>
      </c>
      <c r="I486" t="str">
        <f t="shared" si="7"/>
        <v>B2C</v>
      </c>
      <c r="J486" s="19">
        <f>CLIENT[[#This Row],[Duree_Cumulee_Panne_Min]]/1440</f>
        <v>0.31041666666666667</v>
      </c>
      <c r="K486" s="17">
        <f>CLIENT[[#This Row],[Anciennete_Mois]]/12</f>
        <v>4.75</v>
      </c>
      <c r="L4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6" s="18">
        <f>CLIENT[[#This Row],[Facture_Mensuelle]]*CLIENT[[#This Row],[Remise]]</f>
        <v>10.471500000000001</v>
      </c>
    </row>
    <row r="487" spans="1:13" x14ac:dyDescent="0.35">
      <c r="A487" s="1" t="s">
        <v>685</v>
      </c>
      <c r="B487" s="1" t="s">
        <v>725</v>
      </c>
      <c r="C487" s="1" t="s">
        <v>54</v>
      </c>
      <c r="D487">
        <v>102</v>
      </c>
      <c r="E487" s="1" t="s">
        <v>18</v>
      </c>
      <c r="F487" s="17">
        <v>484</v>
      </c>
      <c r="G487">
        <v>64.22</v>
      </c>
      <c r="H487">
        <v>2</v>
      </c>
      <c r="I487" t="str">
        <f t="shared" si="7"/>
        <v>B2B</v>
      </c>
      <c r="J487" s="19">
        <f>CLIENT[[#This Row],[Duree_Cumulee_Panne_Min]]/1440</f>
        <v>0.33611111111111114</v>
      </c>
      <c r="K487" s="17">
        <f>CLIENT[[#This Row],[Anciennete_Mois]]/12</f>
        <v>8.5</v>
      </c>
      <c r="L4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87" s="18">
        <f>CLIENT[[#This Row],[Facture_Mensuelle]]*CLIENT[[#This Row],[Remise]]</f>
        <v>28.899000000000001</v>
      </c>
    </row>
    <row r="488" spans="1:13" x14ac:dyDescent="0.35">
      <c r="A488" s="1" t="s">
        <v>314</v>
      </c>
      <c r="B488" s="1" t="s">
        <v>328</v>
      </c>
      <c r="C488" s="1" t="s">
        <v>122</v>
      </c>
      <c r="D488">
        <v>67</v>
      </c>
      <c r="E488" s="1" t="s">
        <v>13</v>
      </c>
      <c r="F488" s="17">
        <v>26</v>
      </c>
      <c r="G488">
        <v>81.489999999999995</v>
      </c>
      <c r="H488">
        <v>4</v>
      </c>
      <c r="I488" t="str">
        <f t="shared" si="7"/>
        <v>B2C</v>
      </c>
      <c r="J488" s="19">
        <f>CLIENT[[#This Row],[Duree_Cumulee_Panne_Min]]/1440</f>
        <v>1.8055555555555554E-2</v>
      </c>
      <c r="K488" s="17">
        <f>CLIENT[[#This Row],[Anciennete_Mois]]/12</f>
        <v>5.583333333333333</v>
      </c>
      <c r="L4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88" s="18">
        <f>CLIENT[[#This Row],[Facture_Mensuelle]]*CLIENT[[#This Row],[Remise]]</f>
        <v>0</v>
      </c>
    </row>
    <row r="489" spans="1:13" x14ac:dyDescent="0.35">
      <c r="A489" s="1" t="s">
        <v>174</v>
      </c>
      <c r="B489" s="1" t="s">
        <v>217</v>
      </c>
      <c r="C489" s="1" t="s">
        <v>27</v>
      </c>
      <c r="D489">
        <v>71</v>
      </c>
      <c r="E489" s="1" t="s">
        <v>10</v>
      </c>
      <c r="F489" s="17">
        <v>15</v>
      </c>
      <c r="G489">
        <v>25.46</v>
      </c>
      <c r="H489">
        <v>5</v>
      </c>
      <c r="I489" t="str">
        <f t="shared" si="7"/>
        <v>B2C</v>
      </c>
      <c r="J489" s="19">
        <f>CLIENT[[#This Row],[Duree_Cumulee_Panne_Min]]/1440</f>
        <v>1.0416666666666666E-2</v>
      </c>
      <c r="K489" s="17">
        <f>CLIENT[[#This Row],[Anciennete_Mois]]/12</f>
        <v>5.916666666666667</v>
      </c>
      <c r="L4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89" s="18">
        <f>CLIENT[[#This Row],[Facture_Mensuelle]]*CLIENT[[#This Row],[Remise]]</f>
        <v>0</v>
      </c>
    </row>
    <row r="490" spans="1:13" x14ac:dyDescent="0.35">
      <c r="A490" s="1" t="s">
        <v>591</v>
      </c>
      <c r="B490" s="1" t="s">
        <v>621</v>
      </c>
      <c r="C490" s="1" t="s">
        <v>57</v>
      </c>
      <c r="D490">
        <v>10</v>
      </c>
      <c r="E490" s="1" t="s">
        <v>21</v>
      </c>
      <c r="F490" s="17">
        <v>260</v>
      </c>
      <c r="G490">
        <v>37.479999999999997</v>
      </c>
      <c r="H490">
        <v>2</v>
      </c>
      <c r="I490" t="str">
        <f t="shared" si="7"/>
        <v>B2C</v>
      </c>
      <c r="J490" s="19">
        <f>CLIENT[[#This Row],[Duree_Cumulee_Panne_Min]]/1440</f>
        <v>0.18055555555555555</v>
      </c>
      <c r="K490" s="17">
        <f>CLIENT[[#This Row],[Anciennete_Mois]]/12</f>
        <v>0.83333333333333337</v>
      </c>
      <c r="L4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0" s="18">
        <f>CLIENT[[#This Row],[Facture_Mensuelle]]*CLIENT[[#This Row],[Remise]]</f>
        <v>16.866</v>
      </c>
    </row>
    <row r="491" spans="1:13" x14ac:dyDescent="0.35">
      <c r="A491" s="1" t="s">
        <v>591</v>
      </c>
      <c r="B491" s="1" t="s">
        <v>634</v>
      </c>
      <c r="C491" s="1" t="s">
        <v>29</v>
      </c>
      <c r="D491">
        <v>59</v>
      </c>
      <c r="E491" s="1" t="s">
        <v>18</v>
      </c>
      <c r="F491" s="17">
        <v>150</v>
      </c>
      <c r="G491">
        <v>71.13</v>
      </c>
      <c r="H491">
        <v>0</v>
      </c>
      <c r="I491" t="str">
        <f t="shared" si="7"/>
        <v>B2C</v>
      </c>
      <c r="J491" s="19">
        <f>CLIENT[[#This Row],[Duree_Cumulee_Panne_Min]]/1440</f>
        <v>0.10416666666666667</v>
      </c>
      <c r="K491" s="17">
        <f>CLIENT[[#This Row],[Anciennete_Mois]]/12</f>
        <v>4.916666666666667</v>
      </c>
      <c r="L4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91" s="18">
        <f>CLIENT[[#This Row],[Facture_Mensuelle]]*CLIENT[[#This Row],[Remise]]</f>
        <v>0</v>
      </c>
    </row>
    <row r="492" spans="1:13" x14ac:dyDescent="0.35">
      <c r="A492" s="1" t="s">
        <v>79</v>
      </c>
      <c r="B492" s="1" t="s">
        <v>84</v>
      </c>
      <c r="C492" s="1" t="s">
        <v>33</v>
      </c>
      <c r="D492">
        <v>58</v>
      </c>
      <c r="E492" s="1" t="s">
        <v>18</v>
      </c>
      <c r="F492" s="17">
        <v>423</v>
      </c>
      <c r="G492">
        <v>80.459999999999994</v>
      </c>
      <c r="H492">
        <v>0</v>
      </c>
      <c r="I492" t="str">
        <f t="shared" si="7"/>
        <v>B2C</v>
      </c>
      <c r="J492" s="19">
        <f>CLIENT[[#This Row],[Duree_Cumulee_Panne_Min]]/1440</f>
        <v>0.29375000000000001</v>
      </c>
      <c r="K492" s="17">
        <f>CLIENT[[#This Row],[Anciennete_Mois]]/12</f>
        <v>4.833333333333333</v>
      </c>
      <c r="L4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2" s="18">
        <f>CLIENT[[#This Row],[Facture_Mensuelle]]*CLIENT[[#This Row],[Remise]]</f>
        <v>36.207000000000001</v>
      </c>
    </row>
    <row r="493" spans="1:13" x14ac:dyDescent="0.35">
      <c r="A493" s="1" t="s">
        <v>220</v>
      </c>
      <c r="B493" s="1" t="s">
        <v>260</v>
      </c>
      <c r="C493" s="1" t="s">
        <v>48</v>
      </c>
      <c r="D493">
        <v>36</v>
      </c>
      <c r="E493" s="1" t="s">
        <v>18</v>
      </c>
      <c r="F493" s="17">
        <v>491</v>
      </c>
      <c r="G493">
        <v>12.13</v>
      </c>
      <c r="H493">
        <v>4</v>
      </c>
      <c r="I493" t="str">
        <f t="shared" si="7"/>
        <v>B2C</v>
      </c>
      <c r="J493" s="19">
        <f>CLIENT[[#This Row],[Duree_Cumulee_Panne_Min]]/1440</f>
        <v>0.34097222222222223</v>
      </c>
      <c r="K493" s="17">
        <f>CLIENT[[#This Row],[Anciennete_Mois]]/12</f>
        <v>3</v>
      </c>
      <c r="L4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3" s="18">
        <f>CLIENT[[#This Row],[Facture_Mensuelle]]*CLIENT[[#This Row],[Remise]]</f>
        <v>5.4585000000000008</v>
      </c>
    </row>
    <row r="494" spans="1:13" x14ac:dyDescent="0.35">
      <c r="A494" s="1" t="s">
        <v>591</v>
      </c>
      <c r="B494" s="1" t="s">
        <v>638</v>
      </c>
      <c r="C494" s="1" t="s">
        <v>59</v>
      </c>
      <c r="D494">
        <v>111</v>
      </c>
      <c r="E494" s="1" t="s">
        <v>10</v>
      </c>
      <c r="F494" s="17">
        <v>304</v>
      </c>
      <c r="G494">
        <v>62.48</v>
      </c>
      <c r="H494">
        <v>5</v>
      </c>
      <c r="I494" t="str">
        <f t="shared" si="7"/>
        <v>B2C</v>
      </c>
      <c r="J494" s="19">
        <f>CLIENT[[#This Row],[Duree_Cumulee_Panne_Min]]/1440</f>
        <v>0.21111111111111111</v>
      </c>
      <c r="K494" s="17">
        <f>CLIENT[[#This Row],[Anciennete_Mois]]/12</f>
        <v>9.25</v>
      </c>
      <c r="L4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4" s="18">
        <f>CLIENT[[#This Row],[Facture_Mensuelle]]*CLIENT[[#This Row],[Remise]]</f>
        <v>28.116</v>
      </c>
    </row>
    <row r="495" spans="1:13" x14ac:dyDescent="0.35">
      <c r="A495" s="1" t="s">
        <v>314</v>
      </c>
      <c r="B495" s="1" t="s">
        <v>357</v>
      </c>
      <c r="C495" s="1" t="s">
        <v>61</v>
      </c>
      <c r="D495">
        <v>40</v>
      </c>
      <c r="E495" s="1" t="s">
        <v>10</v>
      </c>
      <c r="F495" s="17">
        <v>237</v>
      </c>
      <c r="G495">
        <v>24.51</v>
      </c>
      <c r="H495">
        <v>1</v>
      </c>
      <c r="I495" t="str">
        <f t="shared" si="7"/>
        <v>B2C</v>
      </c>
      <c r="J495" s="19">
        <f>CLIENT[[#This Row],[Duree_Cumulee_Panne_Min]]/1440</f>
        <v>0.16458333333333333</v>
      </c>
      <c r="K495" s="17">
        <f>CLIENT[[#This Row],[Anciennete_Mois]]/12</f>
        <v>3.3333333333333335</v>
      </c>
      <c r="L4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5" s="18">
        <f>CLIENT[[#This Row],[Facture_Mensuelle]]*CLIENT[[#This Row],[Remise]]</f>
        <v>11.029500000000001</v>
      </c>
    </row>
    <row r="496" spans="1:13" x14ac:dyDescent="0.35">
      <c r="A496" s="1" t="s">
        <v>79</v>
      </c>
      <c r="B496" s="1" t="s">
        <v>105</v>
      </c>
      <c r="C496" s="1" t="s">
        <v>24</v>
      </c>
      <c r="D496">
        <v>36</v>
      </c>
      <c r="E496" s="1" t="s">
        <v>18</v>
      </c>
      <c r="F496" s="17">
        <v>247</v>
      </c>
      <c r="G496">
        <v>24.53</v>
      </c>
      <c r="H496">
        <v>2</v>
      </c>
      <c r="I496" t="str">
        <f t="shared" si="7"/>
        <v>B2C</v>
      </c>
      <c r="J496" s="19">
        <f>CLIENT[[#This Row],[Duree_Cumulee_Panne_Min]]/1440</f>
        <v>0.17152777777777778</v>
      </c>
      <c r="K496" s="17">
        <f>CLIENT[[#This Row],[Anciennete_Mois]]/12</f>
        <v>3</v>
      </c>
      <c r="L4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6" s="18">
        <f>CLIENT[[#This Row],[Facture_Mensuelle]]*CLIENT[[#This Row],[Remise]]</f>
        <v>11.038500000000001</v>
      </c>
    </row>
    <row r="497" spans="1:13" x14ac:dyDescent="0.35">
      <c r="A497" s="1" t="s">
        <v>220</v>
      </c>
      <c r="B497" s="1" t="s">
        <v>221</v>
      </c>
      <c r="C497" s="1" t="s">
        <v>33</v>
      </c>
      <c r="D497">
        <v>27</v>
      </c>
      <c r="E497" s="1" t="s">
        <v>10</v>
      </c>
      <c r="F497" s="17">
        <v>61</v>
      </c>
      <c r="G497">
        <v>97.51</v>
      </c>
      <c r="H497">
        <v>5</v>
      </c>
      <c r="I497" t="str">
        <f t="shared" si="7"/>
        <v>B2B</v>
      </c>
      <c r="J497" s="19">
        <f>CLIENT[[#This Row],[Duree_Cumulee_Panne_Min]]/1440</f>
        <v>4.2361111111111113E-2</v>
      </c>
      <c r="K497" s="17">
        <f>CLIENT[[#This Row],[Anciennete_Mois]]/12</f>
        <v>2.25</v>
      </c>
      <c r="L4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7" s="18">
        <f>CLIENT[[#This Row],[Facture_Mensuelle]]*CLIENT[[#This Row],[Remise]]</f>
        <v>43.8795</v>
      </c>
    </row>
    <row r="498" spans="1:13" x14ac:dyDescent="0.35">
      <c r="A498" s="1" t="s">
        <v>129</v>
      </c>
      <c r="B498" s="1" t="s">
        <v>150</v>
      </c>
      <c r="C498" s="1" t="s">
        <v>31</v>
      </c>
      <c r="D498">
        <v>64</v>
      </c>
      <c r="E498" s="1" t="s">
        <v>13</v>
      </c>
      <c r="F498" s="17">
        <v>300</v>
      </c>
      <c r="G498">
        <v>28.11</v>
      </c>
      <c r="H498">
        <v>2</v>
      </c>
      <c r="I498" t="str">
        <f t="shared" si="7"/>
        <v>B2C</v>
      </c>
      <c r="J498" s="19">
        <f>CLIENT[[#This Row],[Duree_Cumulee_Panne_Min]]/1440</f>
        <v>0.20833333333333334</v>
      </c>
      <c r="K498" s="17">
        <f>CLIENT[[#This Row],[Anciennete_Mois]]/12</f>
        <v>5.333333333333333</v>
      </c>
      <c r="L4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498" s="18">
        <f>CLIENT[[#This Row],[Facture_Mensuelle]]*CLIENT[[#This Row],[Remise]]</f>
        <v>12.6495</v>
      </c>
    </row>
    <row r="499" spans="1:13" x14ac:dyDescent="0.35">
      <c r="A499" s="1" t="s">
        <v>591</v>
      </c>
      <c r="B499" s="1" t="s">
        <v>625</v>
      </c>
      <c r="C499" s="1" t="s">
        <v>59</v>
      </c>
      <c r="D499">
        <v>102</v>
      </c>
      <c r="E499" s="1" t="s">
        <v>18</v>
      </c>
      <c r="F499" s="17">
        <v>189</v>
      </c>
      <c r="G499">
        <v>26.86</v>
      </c>
      <c r="H499">
        <v>5</v>
      </c>
      <c r="I499" t="str">
        <f t="shared" si="7"/>
        <v>B2C</v>
      </c>
      <c r="J499" s="19">
        <f>CLIENT[[#This Row],[Duree_Cumulee_Panne_Min]]/1440</f>
        <v>0.13125000000000001</v>
      </c>
      <c r="K499" s="17">
        <f>CLIENT[[#This Row],[Anciennete_Mois]]/12</f>
        <v>8.5</v>
      </c>
      <c r="L4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499" s="18">
        <f>CLIENT[[#This Row],[Facture_Mensuelle]]*CLIENT[[#This Row],[Remise]]</f>
        <v>0</v>
      </c>
    </row>
    <row r="500" spans="1:13" x14ac:dyDescent="0.35">
      <c r="A500" s="1" t="s">
        <v>79</v>
      </c>
      <c r="B500" s="1" t="s">
        <v>109</v>
      </c>
      <c r="C500" s="1" t="s">
        <v>20</v>
      </c>
      <c r="D500">
        <v>22</v>
      </c>
      <c r="E500" s="1" t="s">
        <v>21</v>
      </c>
      <c r="F500" s="17">
        <v>119</v>
      </c>
      <c r="G500">
        <v>72.86</v>
      </c>
      <c r="H500">
        <v>3</v>
      </c>
      <c r="I500" t="str">
        <f t="shared" si="7"/>
        <v>B2B</v>
      </c>
      <c r="J500" s="19">
        <f>CLIENT[[#This Row],[Duree_Cumulee_Panne_Min]]/1440</f>
        <v>8.2638888888888887E-2</v>
      </c>
      <c r="K500" s="17">
        <f>CLIENT[[#This Row],[Anciennete_Mois]]/12</f>
        <v>1.8333333333333333</v>
      </c>
      <c r="L5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00" s="18">
        <f>CLIENT[[#This Row],[Facture_Mensuelle]]*CLIENT[[#This Row],[Remise]]</f>
        <v>7.2860000000000005</v>
      </c>
    </row>
    <row r="501" spans="1:13" x14ac:dyDescent="0.35">
      <c r="A501" s="1" t="s">
        <v>591</v>
      </c>
      <c r="B501" s="1" t="s">
        <v>592</v>
      </c>
      <c r="C501" s="1" t="s">
        <v>33</v>
      </c>
      <c r="D501">
        <v>18</v>
      </c>
      <c r="E501" s="1" t="s">
        <v>13</v>
      </c>
      <c r="F501" s="17">
        <v>75</v>
      </c>
      <c r="G501">
        <v>57.66</v>
      </c>
      <c r="H501">
        <v>1</v>
      </c>
      <c r="I501" t="str">
        <f t="shared" si="7"/>
        <v>B2C</v>
      </c>
      <c r="J501" s="19">
        <f>CLIENT[[#This Row],[Duree_Cumulee_Panne_Min]]/1440</f>
        <v>5.2083333333333336E-2</v>
      </c>
      <c r="K501" s="17">
        <f>CLIENT[[#This Row],[Anciennete_Mois]]/12</f>
        <v>1.5</v>
      </c>
      <c r="L5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01" s="18">
        <f>CLIENT[[#This Row],[Facture_Mensuelle]]*CLIENT[[#This Row],[Remise]]</f>
        <v>0</v>
      </c>
    </row>
    <row r="502" spans="1:13" x14ac:dyDescent="0.35">
      <c r="A502" s="1" t="s">
        <v>360</v>
      </c>
      <c r="B502" s="1" t="s">
        <v>405</v>
      </c>
      <c r="C502" s="1" t="s">
        <v>15</v>
      </c>
      <c r="D502">
        <v>95</v>
      </c>
      <c r="E502" s="1" t="s">
        <v>10</v>
      </c>
      <c r="F502" s="17">
        <v>148</v>
      </c>
      <c r="G502">
        <v>76.95</v>
      </c>
      <c r="H502">
        <v>5</v>
      </c>
      <c r="I502" t="str">
        <f t="shared" si="7"/>
        <v>B2C</v>
      </c>
      <c r="J502" s="19">
        <f>CLIENT[[#This Row],[Duree_Cumulee_Panne_Min]]/1440</f>
        <v>0.10277777777777777</v>
      </c>
      <c r="K502" s="17">
        <f>CLIENT[[#This Row],[Anciennete_Mois]]/12</f>
        <v>7.916666666666667</v>
      </c>
      <c r="L5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02" s="18">
        <f>CLIENT[[#This Row],[Facture_Mensuelle]]*CLIENT[[#This Row],[Remise]]</f>
        <v>0</v>
      </c>
    </row>
    <row r="503" spans="1:13" x14ac:dyDescent="0.35">
      <c r="A503" s="1" t="s">
        <v>79</v>
      </c>
      <c r="B503" s="1" t="s">
        <v>108</v>
      </c>
      <c r="C503" s="1" t="s">
        <v>57</v>
      </c>
      <c r="D503">
        <v>111</v>
      </c>
      <c r="E503" s="1" t="s">
        <v>21</v>
      </c>
      <c r="F503" s="17">
        <v>324</v>
      </c>
      <c r="G503">
        <v>18.07</v>
      </c>
      <c r="H503">
        <v>2</v>
      </c>
      <c r="I503" t="str">
        <f t="shared" si="7"/>
        <v>B2B</v>
      </c>
      <c r="J503" s="19">
        <f>CLIENT[[#This Row],[Duree_Cumulee_Panne_Min]]/1440</f>
        <v>0.22500000000000001</v>
      </c>
      <c r="K503" s="17">
        <f>CLIENT[[#This Row],[Anciennete_Mois]]/12</f>
        <v>9.25</v>
      </c>
      <c r="L5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3" s="18">
        <f>CLIENT[[#This Row],[Facture_Mensuelle]]*CLIENT[[#This Row],[Remise]]</f>
        <v>8.1315000000000008</v>
      </c>
    </row>
    <row r="504" spans="1:13" x14ac:dyDescent="0.35">
      <c r="A504" s="1" t="s">
        <v>591</v>
      </c>
      <c r="B504" s="1" t="s">
        <v>610</v>
      </c>
      <c r="C504" s="1" t="s">
        <v>48</v>
      </c>
      <c r="D504">
        <v>120</v>
      </c>
      <c r="E504" s="1" t="s">
        <v>13</v>
      </c>
      <c r="F504" s="17">
        <v>60</v>
      </c>
      <c r="G504">
        <v>34.14</v>
      </c>
      <c r="H504">
        <v>3</v>
      </c>
      <c r="I504" t="str">
        <f t="shared" si="7"/>
        <v>B2C</v>
      </c>
      <c r="J504" s="19">
        <f>CLIENT[[#This Row],[Duree_Cumulee_Panne_Min]]/1440</f>
        <v>4.1666666666666664E-2</v>
      </c>
      <c r="K504" s="17">
        <f>CLIENT[[#This Row],[Anciennete_Mois]]/12</f>
        <v>10</v>
      </c>
      <c r="L5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04" s="18">
        <f>CLIENT[[#This Row],[Facture_Mensuelle]]*CLIENT[[#This Row],[Remise]]</f>
        <v>0</v>
      </c>
    </row>
    <row r="505" spans="1:13" x14ac:dyDescent="0.35">
      <c r="A505" s="1" t="s">
        <v>453</v>
      </c>
      <c r="B505" s="1" t="s">
        <v>456</v>
      </c>
      <c r="C505" s="1" t="s">
        <v>15</v>
      </c>
      <c r="D505">
        <v>87</v>
      </c>
      <c r="E505" s="1" t="s">
        <v>10</v>
      </c>
      <c r="F505" s="17">
        <v>356</v>
      </c>
      <c r="G505">
        <v>12.89</v>
      </c>
      <c r="H505">
        <v>0</v>
      </c>
      <c r="I505" t="str">
        <f t="shared" si="7"/>
        <v>B2C</v>
      </c>
      <c r="J505" s="19">
        <f>CLIENT[[#This Row],[Duree_Cumulee_Panne_Min]]/1440</f>
        <v>0.24722222222222223</v>
      </c>
      <c r="K505" s="17">
        <f>CLIENT[[#This Row],[Anciennete_Mois]]/12</f>
        <v>7.25</v>
      </c>
      <c r="L5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5" s="18">
        <f>CLIENT[[#This Row],[Facture_Mensuelle]]*CLIENT[[#This Row],[Remise]]</f>
        <v>5.8005000000000004</v>
      </c>
    </row>
    <row r="506" spans="1:13" x14ac:dyDescent="0.35">
      <c r="A506" s="1" t="s">
        <v>591</v>
      </c>
      <c r="B506" s="1" t="s">
        <v>598</v>
      </c>
      <c r="C506" s="1" t="s">
        <v>33</v>
      </c>
      <c r="D506">
        <v>29</v>
      </c>
      <c r="E506" s="1" t="s">
        <v>10</v>
      </c>
      <c r="F506" s="17">
        <v>8</v>
      </c>
      <c r="G506">
        <v>14.78</v>
      </c>
      <c r="H506">
        <v>2</v>
      </c>
      <c r="I506" t="str">
        <f t="shared" si="7"/>
        <v>B2C</v>
      </c>
      <c r="J506" s="19">
        <f>CLIENT[[#This Row],[Duree_Cumulee_Panne_Min]]/1440</f>
        <v>5.5555555555555558E-3</v>
      </c>
      <c r="K506" s="17">
        <f>CLIENT[[#This Row],[Anciennete_Mois]]/12</f>
        <v>2.4166666666666665</v>
      </c>
      <c r="L5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6" s="18">
        <f>CLIENT[[#This Row],[Facture_Mensuelle]]*CLIENT[[#This Row],[Remise]]</f>
        <v>6.6509999999999998</v>
      </c>
    </row>
    <row r="507" spans="1:13" x14ac:dyDescent="0.35">
      <c r="A507" s="1" t="s">
        <v>640</v>
      </c>
      <c r="B507" s="1" t="s">
        <v>669</v>
      </c>
      <c r="C507" s="1" t="s">
        <v>72</v>
      </c>
      <c r="D507">
        <v>18</v>
      </c>
      <c r="E507" s="1" t="s">
        <v>21</v>
      </c>
      <c r="F507" s="17">
        <v>170</v>
      </c>
      <c r="G507">
        <v>87.34</v>
      </c>
      <c r="H507">
        <v>1</v>
      </c>
      <c r="I507" t="str">
        <f t="shared" si="7"/>
        <v>B2C</v>
      </c>
      <c r="J507" s="19">
        <f>CLIENT[[#This Row],[Duree_Cumulee_Panne_Min]]/1440</f>
        <v>0.11805555555555555</v>
      </c>
      <c r="K507" s="17">
        <f>CLIENT[[#This Row],[Anciennete_Mois]]/12</f>
        <v>1.5</v>
      </c>
      <c r="L5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07" s="18">
        <f>CLIENT[[#This Row],[Facture_Mensuelle]]*CLIENT[[#This Row],[Remise]]</f>
        <v>0</v>
      </c>
    </row>
    <row r="508" spans="1:13" x14ac:dyDescent="0.35">
      <c r="A508" s="1" t="s">
        <v>453</v>
      </c>
      <c r="B508" s="1" t="s">
        <v>465</v>
      </c>
      <c r="C508" s="1" t="s">
        <v>41</v>
      </c>
      <c r="D508">
        <v>113</v>
      </c>
      <c r="E508" s="1" t="s">
        <v>21</v>
      </c>
      <c r="F508" s="17">
        <v>428</v>
      </c>
      <c r="G508">
        <v>73.84</v>
      </c>
      <c r="H508">
        <v>0</v>
      </c>
      <c r="I508" t="str">
        <f t="shared" si="7"/>
        <v>B2C</v>
      </c>
      <c r="J508" s="19">
        <f>CLIENT[[#This Row],[Duree_Cumulee_Panne_Min]]/1440</f>
        <v>0.29722222222222222</v>
      </c>
      <c r="K508" s="17">
        <f>CLIENT[[#This Row],[Anciennete_Mois]]/12</f>
        <v>9.4166666666666661</v>
      </c>
      <c r="L5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8" s="18">
        <f>CLIENT[[#This Row],[Facture_Mensuelle]]*CLIENT[[#This Row],[Remise]]</f>
        <v>33.228000000000002</v>
      </c>
    </row>
    <row r="509" spans="1:13" x14ac:dyDescent="0.35">
      <c r="A509" s="1" t="s">
        <v>174</v>
      </c>
      <c r="B509" s="1" t="s">
        <v>179</v>
      </c>
      <c r="C509" s="1" t="s">
        <v>41</v>
      </c>
      <c r="D509">
        <v>48</v>
      </c>
      <c r="E509" s="1" t="s">
        <v>18</v>
      </c>
      <c r="F509" s="17">
        <v>335</v>
      </c>
      <c r="G509">
        <v>85.09</v>
      </c>
      <c r="H509">
        <v>3</v>
      </c>
      <c r="I509" t="str">
        <f t="shared" si="7"/>
        <v>B2C</v>
      </c>
      <c r="J509" s="19">
        <f>CLIENT[[#This Row],[Duree_Cumulee_Panne_Min]]/1440</f>
        <v>0.2326388888888889</v>
      </c>
      <c r="K509" s="17">
        <f>CLIENT[[#This Row],[Anciennete_Mois]]/12</f>
        <v>4</v>
      </c>
      <c r="L5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09" s="18">
        <f>CLIENT[[#This Row],[Facture_Mensuelle]]*CLIENT[[#This Row],[Remise]]</f>
        <v>38.290500000000002</v>
      </c>
    </row>
    <row r="510" spans="1:13" x14ac:dyDescent="0.35">
      <c r="A510" s="1" t="s">
        <v>640</v>
      </c>
      <c r="B510" s="1" t="s">
        <v>666</v>
      </c>
      <c r="C510" s="1" t="s">
        <v>59</v>
      </c>
      <c r="D510">
        <v>107</v>
      </c>
      <c r="E510" s="1" t="s">
        <v>21</v>
      </c>
      <c r="F510" s="17">
        <v>138</v>
      </c>
      <c r="G510">
        <v>85.75</v>
      </c>
      <c r="H510">
        <v>1</v>
      </c>
      <c r="I510" t="str">
        <f t="shared" si="7"/>
        <v>B2C</v>
      </c>
      <c r="J510" s="19">
        <f>CLIENT[[#This Row],[Duree_Cumulee_Panne_Min]]/1440</f>
        <v>9.583333333333334E-2</v>
      </c>
      <c r="K510" s="17">
        <f>CLIENT[[#This Row],[Anciennete_Mois]]/12</f>
        <v>8.9166666666666661</v>
      </c>
      <c r="L5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10" s="18">
        <f>CLIENT[[#This Row],[Facture_Mensuelle]]*CLIENT[[#This Row],[Remise]]</f>
        <v>0</v>
      </c>
    </row>
    <row r="511" spans="1:13" x14ac:dyDescent="0.35">
      <c r="A511" s="1" t="s">
        <v>406</v>
      </c>
      <c r="B511" s="1" t="s">
        <v>411</v>
      </c>
      <c r="C511" s="1" t="s">
        <v>9</v>
      </c>
      <c r="D511">
        <v>47</v>
      </c>
      <c r="E511" s="1" t="s">
        <v>18</v>
      </c>
      <c r="F511" s="17">
        <v>111</v>
      </c>
      <c r="G511">
        <v>95.18</v>
      </c>
      <c r="H511">
        <v>0</v>
      </c>
      <c r="I511" t="str">
        <f t="shared" si="7"/>
        <v>B2C</v>
      </c>
      <c r="J511" s="19">
        <f>CLIENT[[#This Row],[Duree_Cumulee_Panne_Min]]/1440</f>
        <v>7.7083333333333337E-2</v>
      </c>
      <c r="K511" s="17">
        <f>CLIENT[[#This Row],[Anciennete_Mois]]/12</f>
        <v>3.9166666666666665</v>
      </c>
      <c r="L5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11" s="18">
        <f>CLIENT[[#This Row],[Facture_Mensuelle]]*CLIENT[[#This Row],[Remise]]</f>
        <v>0</v>
      </c>
    </row>
    <row r="512" spans="1:13" x14ac:dyDescent="0.35">
      <c r="A512" s="1" t="s">
        <v>220</v>
      </c>
      <c r="B512" s="1" t="s">
        <v>226</v>
      </c>
      <c r="C512" s="1" t="s">
        <v>9</v>
      </c>
      <c r="D512">
        <v>10</v>
      </c>
      <c r="E512" s="1" t="s">
        <v>18</v>
      </c>
      <c r="F512" s="17">
        <v>165</v>
      </c>
      <c r="G512">
        <v>38.619999999999997</v>
      </c>
      <c r="H512">
        <v>2</v>
      </c>
      <c r="I512" t="str">
        <f t="shared" si="7"/>
        <v>B2B</v>
      </c>
      <c r="J512" s="19">
        <f>CLIENT[[#This Row],[Duree_Cumulee_Panne_Min]]/1440</f>
        <v>0.11458333333333333</v>
      </c>
      <c r="K512" s="17">
        <f>CLIENT[[#This Row],[Anciennete_Mois]]/12</f>
        <v>0.83333333333333337</v>
      </c>
      <c r="L5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12" s="18">
        <f>CLIENT[[#This Row],[Facture_Mensuelle]]*CLIENT[[#This Row],[Remise]]</f>
        <v>3.8620000000000001</v>
      </c>
    </row>
    <row r="513" spans="1:13" x14ac:dyDescent="0.35">
      <c r="A513" s="1" t="s">
        <v>220</v>
      </c>
      <c r="B513" s="1" t="s">
        <v>250</v>
      </c>
      <c r="C513" s="1" t="s">
        <v>17</v>
      </c>
      <c r="D513">
        <v>9</v>
      </c>
      <c r="E513" s="1" t="s">
        <v>13</v>
      </c>
      <c r="F513" s="17">
        <v>255</v>
      </c>
      <c r="G513">
        <v>95.13</v>
      </c>
      <c r="H513">
        <v>1</v>
      </c>
      <c r="I513" t="str">
        <f t="shared" si="7"/>
        <v>B2C</v>
      </c>
      <c r="J513" s="19">
        <f>CLIENT[[#This Row],[Duree_Cumulee_Panne_Min]]/1440</f>
        <v>0.17708333333333334</v>
      </c>
      <c r="K513" s="17">
        <f>CLIENT[[#This Row],[Anciennete_Mois]]/12</f>
        <v>0.75</v>
      </c>
      <c r="L5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3" s="18">
        <f>CLIENT[[#This Row],[Facture_Mensuelle]]*CLIENT[[#This Row],[Remise]]</f>
        <v>42.808500000000002</v>
      </c>
    </row>
    <row r="514" spans="1:13" x14ac:dyDescent="0.35">
      <c r="A514" s="1" t="s">
        <v>406</v>
      </c>
      <c r="B514" s="1" t="s">
        <v>420</v>
      </c>
      <c r="C514" s="1" t="s">
        <v>68</v>
      </c>
      <c r="D514">
        <v>24</v>
      </c>
      <c r="E514" s="1" t="s">
        <v>18</v>
      </c>
      <c r="F514" s="17">
        <v>257</v>
      </c>
      <c r="G514">
        <v>41.99</v>
      </c>
      <c r="H514">
        <v>5</v>
      </c>
      <c r="I514" t="str">
        <f t="shared" ref="I514:I577" si="8">IF(E515="Pro Monde","B2B","B2C")</f>
        <v>B2C</v>
      </c>
      <c r="J514" s="19">
        <f>CLIENT[[#This Row],[Duree_Cumulee_Panne_Min]]/1440</f>
        <v>0.17847222222222223</v>
      </c>
      <c r="K514" s="17">
        <f>CLIENT[[#This Row],[Anciennete_Mois]]/12</f>
        <v>2</v>
      </c>
      <c r="L5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4" s="18">
        <f>CLIENT[[#This Row],[Facture_Mensuelle]]*CLIENT[[#This Row],[Remise]]</f>
        <v>18.895500000000002</v>
      </c>
    </row>
    <row r="515" spans="1:13" x14ac:dyDescent="0.35">
      <c r="A515" s="1" t="s">
        <v>685</v>
      </c>
      <c r="B515" s="1" t="s">
        <v>712</v>
      </c>
      <c r="C515" s="1" t="s">
        <v>17</v>
      </c>
      <c r="D515">
        <v>72</v>
      </c>
      <c r="E515" s="1" t="s">
        <v>18</v>
      </c>
      <c r="F515" s="17">
        <v>427</v>
      </c>
      <c r="G515">
        <v>31.44</v>
      </c>
      <c r="H515">
        <v>2</v>
      </c>
      <c r="I515" t="str">
        <f t="shared" si="8"/>
        <v>B2C</v>
      </c>
      <c r="J515" s="19">
        <f>CLIENT[[#This Row],[Duree_Cumulee_Panne_Min]]/1440</f>
        <v>0.29652777777777778</v>
      </c>
      <c r="K515" s="17">
        <f>CLIENT[[#This Row],[Anciennete_Mois]]/12</f>
        <v>6</v>
      </c>
      <c r="L5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5" s="18">
        <f>CLIENT[[#This Row],[Facture_Mensuelle]]*CLIENT[[#This Row],[Remise]]</f>
        <v>14.148000000000001</v>
      </c>
    </row>
    <row r="516" spans="1:13" x14ac:dyDescent="0.35">
      <c r="A516" s="1" t="s">
        <v>685</v>
      </c>
      <c r="B516" s="1" t="s">
        <v>714</v>
      </c>
      <c r="C516" s="1" t="s">
        <v>48</v>
      </c>
      <c r="D516">
        <v>33</v>
      </c>
      <c r="E516" s="1" t="s">
        <v>21</v>
      </c>
      <c r="F516" s="17">
        <v>18</v>
      </c>
      <c r="G516">
        <v>47.18</v>
      </c>
      <c r="H516">
        <v>4</v>
      </c>
      <c r="I516" t="str">
        <f t="shared" si="8"/>
        <v>B2B</v>
      </c>
      <c r="J516" s="19">
        <f>CLIENT[[#This Row],[Duree_Cumulee_Panne_Min]]/1440</f>
        <v>1.2500000000000001E-2</v>
      </c>
      <c r="K516" s="17">
        <f>CLIENT[[#This Row],[Anciennete_Mois]]/12</f>
        <v>2.75</v>
      </c>
      <c r="L5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16" s="18">
        <f>CLIENT[[#This Row],[Facture_Mensuelle]]*CLIENT[[#This Row],[Remise]]</f>
        <v>4.718</v>
      </c>
    </row>
    <row r="517" spans="1:13" x14ac:dyDescent="0.35">
      <c r="A517" s="1" t="s">
        <v>174</v>
      </c>
      <c r="B517" s="1" t="s">
        <v>190</v>
      </c>
      <c r="C517" s="1" t="s">
        <v>15</v>
      </c>
      <c r="D517">
        <v>64</v>
      </c>
      <c r="E517" s="1" t="s">
        <v>13</v>
      </c>
      <c r="F517" s="17">
        <v>370</v>
      </c>
      <c r="G517">
        <v>95.74</v>
      </c>
      <c r="H517">
        <v>1</v>
      </c>
      <c r="I517" t="str">
        <f t="shared" si="8"/>
        <v>B2C</v>
      </c>
      <c r="J517" s="19">
        <f>CLIENT[[#This Row],[Duree_Cumulee_Panne_Min]]/1440</f>
        <v>0.25694444444444442</v>
      </c>
      <c r="K517" s="17">
        <f>CLIENT[[#This Row],[Anciennete_Mois]]/12</f>
        <v>5.333333333333333</v>
      </c>
      <c r="L5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7" s="18">
        <f>CLIENT[[#This Row],[Facture_Mensuelle]]*CLIENT[[#This Row],[Remise]]</f>
        <v>43.082999999999998</v>
      </c>
    </row>
    <row r="518" spans="1:13" x14ac:dyDescent="0.35">
      <c r="A518" s="1" t="s">
        <v>220</v>
      </c>
      <c r="B518" s="1" t="s">
        <v>247</v>
      </c>
      <c r="C518" s="1" t="s">
        <v>37</v>
      </c>
      <c r="D518">
        <v>60</v>
      </c>
      <c r="E518" s="1" t="s">
        <v>21</v>
      </c>
      <c r="F518" s="17">
        <v>154</v>
      </c>
      <c r="G518">
        <v>13.41</v>
      </c>
      <c r="H518">
        <v>5</v>
      </c>
      <c r="I518" t="str">
        <f t="shared" si="8"/>
        <v>B2B</v>
      </c>
      <c r="J518" s="19">
        <f>CLIENT[[#This Row],[Duree_Cumulee_Panne_Min]]/1440</f>
        <v>0.10694444444444444</v>
      </c>
      <c r="K518" s="17">
        <f>CLIENT[[#This Row],[Anciennete_Mois]]/12</f>
        <v>5</v>
      </c>
      <c r="L5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18" s="18">
        <f>CLIENT[[#This Row],[Facture_Mensuelle]]*CLIENT[[#This Row],[Remise]]</f>
        <v>1.3410000000000002</v>
      </c>
    </row>
    <row r="519" spans="1:13" x14ac:dyDescent="0.35">
      <c r="A519" s="1" t="s">
        <v>540</v>
      </c>
      <c r="B519" s="1" t="s">
        <v>573</v>
      </c>
      <c r="C519" s="1" t="s">
        <v>61</v>
      </c>
      <c r="D519">
        <v>51</v>
      </c>
      <c r="E519" s="1" t="s">
        <v>13</v>
      </c>
      <c r="F519" s="17">
        <v>389</v>
      </c>
      <c r="G519">
        <v>50.45</v>
      </c>
      <c r="H519">
        <v>3</v>
      </c>
      <c r="I519" t="str">
        <f t="shared" si="8"/>
        <v>B2C</v>
      </c>
      <c r="J519" s="19">
        <f>CLIENT[[#This Row],[Duree_Cumulee_Panne_Min]]/1440</f>
        <v>0.27013888888888887</v>
      </c>
      <c r="K519" s="17">
        <f>CLIENT[[#This Row],[Anciennete_Mois]]/12</f>
        <v>4.25</v>
      </c>
      <c r="L5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19" s="18">
        <f>CLIENT[[#This Row],[Facture_Mensuelle]]*CLIENT[[#This Row],[Remise]]</f>
        <v>22.702500000000001</v>
      </c>
    </row>
    <row r="520" spans="1:13" x14ac:dyDescent="0.35">
      <c r="A520" s="1" t="s">
        <v>79</v>
      </c>
      <c r="B520" s="1" t="s">
        <v>92</v>
      </c>
      <c r="C520" s="1" t="s">
        <v>33</v>
      </c>
      <c r="D520">
        <v>103</v>
      </c>
      <c r="E520" s="1" t="s">
        <v>18</v>
      </c>
      <c r="F520" s="17">
        <v>300</v>
      </c>
      <c r="G520">
        <v>13.76</v>
      </c>
      <c r="H520">
        <v>4</v>
      </c>
      <c r="I520" t="str">
        <f t="shared" si="8"/>
        <v>B2B</v>
      </c>
      <c r="J520" s="19">
        <f>CLIENT[[#This Row],[Duree_Cumulee_Panne_Min]]/1440</f>
        <v>0.20833333333333334</v>
      </c>
      <c r="K520" s="17">
        <f>CLIENT[[#This Row],[Anciennete_Mois]]/12</f>
        <v>8.5833333333333339</v>
      </c>
      <c r="L5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20" s="18">
        <f>CLIENT[[#This Row],[Facture_Mensuelle]]*CLIENT[[#This Row],[Remise]]</f>
        <v>6.1920000000000002</v>
      </c>
    </row>
    <row r="521" spans="1:13" x14ac:dyDescent="0.35">
      <c r="A521" s="1" t="s">
        <v>640</v>
      </c>
      <c r="B521" s="1" t="s">
        <v>659</v>
      </c>
      <c r="C521" s="1" t="s">
        <v>72</v>
      </c>
      <c r="D521">
        <v>7</v>
      </c>
      <c r="E521" s="1" t="s">
        <v>13</v>
      </c>
      <c r="F521" s="17">
        <v>447</v>
      </c>
      <c r="G521">
        <v>84.95</v>
      </c>
      <c r="H521">
        <v>2</v>
      </c>
      <c r="I521" t="str">
        <f t="shared" si="8"/>
        <v>B2B</v>
      </c>
      <c r="J521" s="19">
        <f>CLIENT[[#This Row],[Duree_Cumulee_Panne_Min]]/1440</f>
        <v>0.31041666666666667</v>
      </c>
      <c r="K521" s="17">
        <f>CLIENT[[#This Row],[Anciennete_Mois]]/12</f>
        <v>0.58333333333333337</v>
      </c>
      <c r="L5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21" s="18">
        <f>CLIENT[[#This Row],[Facture_Mensuelle]]*CLIENT[[#This Row],[Remise]]</f>
        <v>38.227499999999999</v>
      </c>
    </row>
    <row r="522" spans="1:13" x14ac:dyDescent="0.35">
      <c r="A522" s="1" t="s">
        <v>640</v>
      </c>
      <c r="B522" s="1" t="s">
        <v>673</v>
      </c>
      <c r="C522" s="1" t="s">
        <v>23</v>
      </c>
      <c r="D522">
        <v>101</v>
      </c>
      <c r="E522" s="1" t="s">
        <v>13</v>
      </c>
      <c r="F522" s="17">
        <v>148</v>
      </c>
      <c r="G522">
        <v>26.63</v>
      </c>
      <c r="H522">
        <v>3</v>
      </c>
      <c r="I522" t="str">
        <f t="shared" si="8"/>
        <v>B2B</v>
      </c>
      <c r="J522" s="19">
        <f>CLIENT[[#This Row],[Duree_Cumulee_Panne_Min]]/1440</f>
        <v>0.10277777777777777</v>
      </c>
      <c r="K522" s="17">
        <f>CLIENT[[#This Row],[Anciennete_Mois]]/12</f>
        <v>8.4166666666666661</v>
      </c>
      <c r="L5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22" s="18">
        <f>CLIENT[[#This Row],[Facture_Mensuelle]]*CLIENT[[#This Row],[Remise]]</f>
        <v>2.6630000000000003</v>
      </c>
    </row>
    <row r="523" spans="1:13" x14ac:dyDescent="0.35">
      <c r="A523" s="1" t="s">
        <v>496</v>
      </c>
      <c r="B523" s="1" t="s">
        <v>503</v>
      </c>
      <c r="C523" s="1" t="s">
        <v>17</v>
      </c>
      <c r="D523">
        <v>46</v>
      </c>
      <c r="E523" s="1" t="s">
        <v>13</v>
      </c>
      <c r="F523" s="17">
        <v>216</v>
      </c>
      <c r="G523">
        <v>63.74</v>
      </c>
      <c r="H523">
        <v>4</v>
      </c>
      <c r="I523" t="str">
        <f t="shared" si="8"/>
        <v>B2B</v>
      </c>
      <c r="J523" s="19">
        <f>CLIENT[[#This Row],[Duree_Cumulee_Panne_Min]]/1440</f>
        <v>0.15</v>
      </c>
      <c r="K523" s="17">
        <f>CLIENT[[#This Row],[Anciennete_Mois]]/12</f>
        <v>3.8333333333333335</v>
      </c>
      <c r="L5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23" s="18">
        <f>CLIENT[[#This Row],[Facture_Mensuelle]]*CLIENT[[#This Row],[Remise]]</f>
        <v>6.3740000000000006</v>
      </c>
    </row>
    <row r="524" spans="1:13" x14ac:dyDescent="0.35">
      <c r="A524" s="1" t="s">
        <v>640</v>
      </c>
      <c r="B524" s="1" t="s">
        <v>645</v>
      </c>
      <c r="C524" s="1" t="s">
        <v>31</v>
      </c>
      <c r="D524">
        <v>72</v>
      </c>
      <c r="E524" s="1" t="s">
        <v>13</v>
      </c>
      <c r="F524" s="17">
        <v>317</v>
      </c>
      <c r="G524">
        <v>54.58</v>
      </c>
      <c r="H524">
        <v>1</v>
      </c>
      <c r="I524" t="str">
        <f t="shared" si="8"/>
        <v>B2C</v>
      </c>
      <c r="J524" s="19">
        <f>CLIENT[[#This Row],[Duree_Cumulee_Panne_Min]]/1440</f>
        <v>0.22013888888888888</v>
      </c>
      <c r="K524" s="17">
        <f>CLIENT[[#This Row],[Anciennete_Mois]]/12</f>
        <v>6</v>
      </c>
      <c r="L5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24" s="18">
        <f>CLIENT[[#This Row],[Facture_Mensuelle]]*CLIENT[[#This Row],[Remise]]</f>
        <v>24.561</v>
      </c>
    </row>
    <row r="525" spans="1:13" x14ac:dyDescent="0.35">
      <c r="A525" s="1" t="s">
        <v>314</v>
      </c>
      <c r="B525" s="1" t="s">
        <v>316</v>
      </c>
      <c r="C525" s="1" t="s">
        <v>17</v>
      </c>
      <c r="D525">
        <v>69</v>
      </c>
      <c r="E525" s="1" t="s">
        <v>10</v>
      </c>
      <c r="F525" s="17">
        <v>486</v>
      </c>
      <c r="G525">
        <v>34.770000000000003</v>
      </c>
      <c r="H525">
        <v>0</v>
      </c>
      <c r="I525" t="str">
        <f t="shared" si="8"/>
        <v>B2C</v>
      </c>
      <c r="J525" s="19">
        <f>CLIENT[[#This Row],[Duree_Cumulee_Panne_Min]]/1440</f>
        <v>0.33750000000000002</v>
      </c>
      <c r="K525" s="17">
        <f>CLIENT[[#This Row],[Anciennete_Mois]]/12</f>
        <v>5.75</v>
      </c>
      <c r="L5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25" s="18">
        <f>CLIENT[[#This Row],[Facture_Mensuelle]]*CLIENT[[#This Row],[Remise]]</f>
        <v>15.646500000000001</v>
      </c>
    </row>
    <row r="526" spans="1:13" x14ac:dyDescent="0.35">
      <c r="A526" s="1" t="s">
        <v>8</v>
      </c>
      <c r="B526" s="1" t="s">
        <v>49</v>
      </c>
      <c r="C526" s="1" t="s">
        <v>23</v>
      </c>
      <c r="D526">
        <v>57</v>
      </c>
      <c r="E526" s="1" t="s">
        <v>21</v>
      </c>
      <c r="F526" s="17">
        <v>329</v>
      </c>
      <c r="G526">
        <v>50.39</v>
      </c>
      <c r="H526">
        <v>5</v>
      </c>
      <c r="I526" t="str">
        <f t="shared" si="8"/>
        <v>B2C</v>
      </c>
      <c r="J526" s="19">
        <f>CLIENT[[#This Row],[Duree_Cumulee_Panne_Min]]/1440</f>
        <v>0.22847222222222222</v>
      </c>
      <c r="K526" s="17">
        <f>CLIENT[[#This Row],[Anciennete_Mois]]/12</f>
        <v>4.75</v>
      </c>
      <c r="L5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26" s="18">
        <f>CLIENT[[#This Row],[Facture_Mensuelle]]*CLIENT[[#This Row],[Remise]]</f>
        <v>22.6755</v>
      </c>
    </row>
    <row r="527" spans="1:13" x14ac:dyDescent="0.35">
      <c r="A527" s="1" t="s">
        <v>540</v>
      </c>
      <c r="B527" s="1" t="s">
        <v>574</v>
      </c>
      <c r="C527" s="1" t="s">
        <v>9</v>
      </c>
      <c r="D527">
        <v>108</v>
      </c>
      <c r="E527" s="1" t="s">
        <v>10</v>
      </c>
      <c r="F527" s="17">
        <v>78</v>
      </c>
      <c r="G527">
        <v>90.05</v>
      </c>
      <c r="H527">
        <v>2</v>
      </c>
      <c r="I527" t="str">
        <f t="shared" si="8"/>
        <v>B2C</v>
      </c>
      <c r="J527" s="19">
        <f>CLIENT[[#This Row],[Duree_Cumulee_Panne_Min]]/1440</f>
        <v>5.4166666666666669E-2</v>
      </c>
      <c r="K527" s="17">
        <f>CLIENT[[#This Row],[Anciennete_Mois]]/12</f>
        <v>9</v>
      </c>
      <c r="L5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27" s="18">
        <f>CLIENT[[#This Row],[Facture_Mensuelle]]*CLIENT[[#This Row],[Remise]]</f>
        <v>0</v>
      </c>
    </row>
    <row r="528" spans="1:13" x14ac:dyDescent="0.35">
      <c r="A528" s="1" t="s">
        <v>406</v>
      </c>
      <c r="B528" s="1" t="s">
        <v>414</v>
      </c>
      <c r="C528" s="1" t="s">
        <v>35</v>
      </c>
      <c r="D528">
        <v>92</v>
      </c>
      <c r="E528" s="1" t="s">
        <v>18</v>
      </c>
      <c r="F528" s="17">
        <v>4</v>
      </c>
      <c r="G528">
        <v>22.03</v>
      </c>
      <c r="H528">
        <v>3</v>
      </c>
      <c r="I528" t="str">
        <f t="shared" si="8"/>
        <v>B2B</v>
      </c>
      <c r="J528" s="19">
        <f>CLIENT[[#This Row],[Duree_Cumulee_Panne_Min]]/1440</f>
        <v>2.7777777777777779E-3</v>
      </c>
      <c r="K528" s="17">
        <f>CLIENT[[#This Row],[Anciennete_Mois]]/12</f>
        <v>7.666666666666667</v>
      </c>
      <c r="L5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28" s="18">
        <f>CLIENT[[#This Row],[Facture_Mensuelle]]*CLIENT[[#This Row],[Remise]]</f>
        <v>2.2030000000000003</v>
      </c>
    </row>
    <row r="529" spans="1:13" x14ac:dyDescent="0.35">
      <c r="A529" s="1" t="s">
        <v>129</v>
      </c>
      <c r="B529" s="1" t="s">
        <v>138</v>
      </c>
      <c r="C529" s="1" t="s">
        <v>35</v>
      </c>
      <c r="D529">
        <v>83</v>
      </c>
      <c r="E529" s="1" t="s">
        <v>13</v>
      </c>
      <c r="F529" s="17">
        <v>219</v>
      </c>
      <c r="G529">
        <v>52.26</v>
      </c>
      <c r="H529">
        <v>1</v>
      </c>
      <c r="I529" t="str">
        <f t="shared" si="8"/>
        <v>B2C</v>
      </c>
      <c r="J529" s="19">
        <f>CLIENT[[#This Row],[Duree_Cumulee_Panne_Min]]/1440</f>
        <v>0.15208333333333332</v>
      </c>
      <c r="K529" s="17">
        <f>CLIENT[[#This Row],[Anciennete_Mois]]/12</f>
        <v>6.916666666666667</v>
      </c>
      <c r="L5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29" s="18">
        <f>CLIENT[[#This Row],[Facture_Mensuelle]]*CLIENT[[#This Row],[Remise]]</f>
        <v>0</v>
      </c>
    </row>
    <row r="530" spans="1:13" x14ac:dyDescent="0.35">
      <c r="A530" s="1" t="s">
        <v>129</v>
      </c>
      <c r="B530" s="1" t="s">
        <v>155</v>
      </c>
      <c r="C530" s="1" t="s">
        <v>12</v>
      </c>
      <c r="D530">
        <v>114</v>
      </c>
      <c r="E530" s="1" t="s">
        <v>18</v>
      </c>
      <c r="F530" s="17">
        <v>304</v>
      </c>
      <c r="G530">
        <v>52.07</v>
      </c>
      <c r="H530">
        <v>1</v>
      </c>
      <c r="I530" t="str">
        <f t="shared" si="8"/>
        <v>B2B</v>
      </c>
      <c r="J530" s="19">
        <f>CLIENT[[#This Row],[Duree_Cumulee_Panne_Min]]/1440</f>
        <v>0.21111111111111111</v>
      </c>
      <c r="K530" s="17">
        <f>CLIENT[[#This Row],[Anciennete_Mois]]/12</f>
        <v>9.5</v>
      </c>
      <c r="L5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0" s="18">
        <f>CLIENT[[#This Row],[Facture_Mensuelle]]*CLIENT[[#This Row],[Remise]]</f>
        <v>23.4315</v>
      </c>
    </row>
    <row r="531" spans="1:13" x14ac:dyDescent="0.35">
      <c r="A531" s="1" t="s">
        <v>174</v>
      </c>
      <c r="B531" s="1" t="s">
        <v>193</v>
      </c>
      <c r="C531" s="1" t="s">
        <v>126</v>
      </c>
      <c r="D531">
        <v>75</v>
      </c>
      <c r="E531" s="1" t="s">
        <v>13</v>
      </c>
      <c r="F531" s="17">
        <v>242</v>
      </c>
      <c r="G531">
        <v>64.27</v>
      </c>
      <c r="H531">
        <v>2</v>
      </c>
      <c r="I531" t="str">
        <f t="shared" si="8"/>
        <v>B2C</v>
      </c>
      <c r="J531" s="19">
        <f>CLIENT[[#This Row],[Duree_Cumulee_Panne_Min]]/1440</f>
        <v>0.16805555555555557</v>
      </c>
      <c r="K531" s="17">
        <f>CLIENT[[#This Row],[Anciennete_Mois]]/12</f>
        <v>6.25</v>
      </c>
      <c r="L5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1" s="18">
        <f>CLIENT[[#This Row],[Facture_Mensuelle]]*CLIENT[[#This Row],[Remise]]</f>
        <v>28.921499999999998</v>
      </c>
    </row>
    <row r="532" spans="1:13" x14ac:dyDescent="0.35">
      <c r="A532" s="1" t="s">
        <v>8</v>
      </c>
      <c r="B532" s="1" t="s">
        <v>34</v>
      </c>
      <c r="C532" s="1" t="s">
        <v>35</v>
      </c>
      <c r="D532">
        <v>115</v>
      </c>
      <c r="E532" s="1" t="s">
        <v>18</v>
      </c>
      <c r="F532" s="17">
        <v>176</v>
      </c>
      <c r="G532">
        <v>33.28</v>
      </c>
      <c r="H532">
        <v>4</v>
      </c>
      <c r="I532" t="str">
        <f t="shared" si="8"/>
        <v>B2C</v>
      </c>
      <c r="J532" s="19">
        <f>CLIENT[[#This Row],[Duree_Cumulee_Panne_Min]]/1440</f>
        <v>0.12222222222222222</v>
      </c>
      <c r="K532" s="17">
        <f>CLIENT[[#This Row],[Anciennete_Mois]]/12</f>
        <v>9.5833333333333339</v>
      </c>
      <c r="L5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32" s="18">
        <f>CLIENT[[#This Row],[Facture_Mensuelle]]*CLIENT[[#This Row],[Remise]]</f>
        <v>0</v>
      </c>
    </row>
    <row r="533" spans="1:13" x14ac:dyDescent="0.35">
      <c r="A533" s="1" t="s">
        <v>591</v>
      </c>
      <c r="B533" s="1" t="s">
        <v>600</v>
      </c>
      <c r="C533" s="1" t="s">
        <v>122</v>
      </c>
      <c r="D533">
        <v>12</v>
      </c>
      <c r="E533" s="1" t="s">
        <v>21</v>
      </c>
      <c r="F533" s="17">
        <v>235</v>
      </c>
      <c r="G533">
        <v>33.96</v>
      </c>
      <c r="H533">
        <v>4</v>
      </c>
      <c r="I533" t="str">
        <f t="shared" si="8"/>
        <v>B2C</v>
      </c>
      <c r="J533" s="19">
        <f>CLIENT[[#This Row],[Duree_Cumulee_Panne_Min]]/1440</f>
        <v>0.16319444444444445</v>
      </c>
      <c r="K533" s="17">
        <f>CLIENT[[#This Row],[Anciennete_Mois]]/12</f>
        <v>1</v>
      </c>
      <c r="L5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33" s="18">
        <f>CLIENT[[#This Row],[Facture_Mensuelle]]*CLIENT[[#This Row],[Remise]]</f>
        <v>0</v>
      </c>
    </row>
    <row r="534" spans="1:13" x14ac:dyDescent="0.35">
      <c r="A534" s="1" t="s">
        <v>220</v>
      </c>
      <c r="B534" s="1" t="s">
        <v>233</v>
      </c>
      <c r="C534" s="1" t="s">
        <v>122</v>
      </c>
      <c r="D534">
        <v>44</v>
      </c>
      <c r="E534" s="1" t="s">
        <v>18</v>
      </c>
      <c r="F534" s="17">
        <v>199</v>
      </c>
      <c r="G534">
        <v>67.650000000000006</v>
      </c>
      <c r="H534">
        <v>0</v>
      </c>
      <c r="I534" t="str">
        <f t="shared" si="8"/>
        <v>B2C</v>
      </c>
      <c r="J534" s="19">
        <f>CLIENT[[#This Row],[Duree_Cumulee_Panne_Min]]/1440</f>
        <v>0.13819444444444445</v>
      </c>
      <c r="K534" s="17">
        <f>CLIENT[[#This Row],[Anciennete_Mois]]/12</f>
        <v>3.6666666666666665</v>
      </c>
      <c r="L5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34" s="18">
        <f>CLIENT[[#This Row],[Facture_Mensuelle]]*CLIENT[[#This Row],[Remise]]</f>
        <v>0</v>
      </c>
    </row>
    <row r="535" spans="1:13" x14ac:dyDescent="0.35">
      <c r="A535" s="1" t="s">
        <v>591</v>
      </c>
      <c r="B535" s="1" t="s">
        <v>605</v>
      </c>
      <c r="C535" s="1" t="s">
        <v>72</v>
      </c>
      <c r="D535">
        <v>48</v>
      </c>
      <c r="E535" s="1" t="s">
        <v>10</v>
      </c>
      <c r="F535" s="17">
        <v>338</v>
      </c>
      <c r="G535">
        <v>74.42</v>
      </c>
      <c r="H535">
        <v>0</v>
      </c>
      <c r="I535" t="str">
        <f t="shared" si="8"/>
        <v>B2C</v>
      </c>
      <c r="J535" s="19">
        <f>CLIENT[[#This Row],[Duree_Cumulee_Panne_Min]]/1440</f>
        <v>0.23472222222222222</v>
      </c>
      <c r="K535" s="17">
        <f>CLIENT[[#This Row],[Anciennete_Mois]]/12</f>
        <v>4</v>
      </c>
      <c r="L5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5" s="18">
        <f>CLIENT[[#This Row],[Facture_Mensuelle]]*CLIENT[[#This Row],[Remise]]</f>
        <v>33.489000000000004</v>
      </c>
    </row>
    <row r="536" spans="1:13" x14ac:dyDescent="0.35">
      <c r="A536" s="1" t="s">
        <v>314</v>
      </c>
      <c r="B536" s="1" t="s">
        <v>333</v>
      </c>
      <c r="C536" s="1" t="s">
        <v>15</v>
      </c>
      <c r="D536">
        <v>51</v>
      </c>
      <c r="E536" s="1" t="s">
        <v>10</v>
      </c>
      <c r="F536" s="17">
        <v>222</v>
      </c>
      <c r="G536">
        <v>18.95</v>
      </c>
      <c r="H536">
        <v>4</v>
      </c>
      <c r="I536" t="str">
        <f t="shared" si="8"/>
        <v>B2C</v>
      </c>
      <c r="J536" s="19">
        <f>CLIENT[[#This Row],[Duree_Cumulee_Panne_Min]]/1440</f>
        <v>0.15416666666666667</v>
      </c>
      <c r="K536" s="17">
        <f>CLIENT[[#This Row],[Anciennete_Mois]]/12</f>
        <v>4.25</v>
      </c>
      <c r="L5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6" s="18">
        <f>CLIENT[[#This Row],[Facture_Mensuelle]]*CLIENT[[#This Row],[Remise]]</f>
        <v>8.5274999999999999</v>
      </c>
    </row>
    <row r="537" spans="1:13" x14ac:dyDescent="0.35">
      <c r="A537" s="1" t="s">
        <v>220</v>
      </c>
      <c r="B537" s="1" t="s">
        <v>256</v>
      </c>
      <c r="C537" s="1" t="s">
        <v>48</v>
      </c>
      <c r="D537">
        <v>57</v>
      </c>
      <c r="E537" s="1" t="s">
        <v>21</v>
      </c>
      <c r="F537" s="17">
        <v>435</v>
      </c>
      <c r="G537">
        <v>56.88</v>
      </c>
      <c r="H537">
        <v>4</v>
      </c>
      <c r="I537" t="str">
        <f t="shared" si="8"/>
        <v>B2B</v>
      </c>
      <c r="J537" s="19">
        <f>CLIENT[[#This Row],[Duree_Cumulee_Panne_Min]]/1440</f>
        <v>0.30208333333333331</v>
      </c>
      <c r="K537" s="17">
        <f>CLIENT[[#This Row],[Anciennete_Mois]]/12</f>
        <v>4.75</v>
      </c>
      <c r="L5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7" s="18">
        <f>CLIENT[[#This Row],[Facture_Mensuelle]]*CLIENT[[#This Row],[Remise]]</f>
        <v>25.596</v>
      </c>
    </row>
    <row r="538" spans="1:13" x14ac:dyDescent="0.35">
      <c r="A538" s="1" t="s">
        <v>591</v>
      </c>
      <c r="B538" s="1" t="s">
        <v>630</v>
      </c>
      <c r="C538" s="1" t="s">
        <v>24</v>
      </c>
      <c r="D538">
        <v>22</v>
      </c>
      <c r="E538" s="1" t="s">
        <v>13</v>
      </c>
      <c r="F538" s="17">
        <v>374</v>
      </c>
      <c r="G538">
        <v>40.06</v>
      </c>
      <c r="H538">
        <v>5</v>
      </c>
      <c r="I538" t="str">
        <f t="shared" si="8"/>
        <v>B2C</v>
      </c>
      <c r="J538" s="19">
        <f>CLIENT[[#This Row],[Duree_Cumulee_Panne_Min]]/1440</f>
        <v>0.25972222222222224</v>
      </c>
      <c r="K538" s="17">
        <f>CLIENT[[#This Row],[Anciennete_Mois]]/12</f>
        <v>1.8333333333333333</v>
      </c>
      <c r="L5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8" s="18">
        <f>CLIENT[[#This Row],[Facture_Mensuelle]]*CLIENT[[#This Row],[Remise]]</f>
        <v>18.027000000000001</v>
      </c>
    </row>
    <row r="539" spans="1:13" x14ac:dyDescent="0.35">
      <c r="A539" s="1" t="s">
        <v>640</v>
      </c>
      <c r="B539" s="1" t="s">
        <v>647</v>
      </c>
      <c r="C539" s="1" t="s">
        <v>37</v>
      </c>
      <c r="D539">
        <v>21</v>
      </c>
      <c r="E539" s="1" t="s">
        <v>21</v>
      </c>
      <c r="F539" s="17">
        <v>460</v>
      </c>
      <c r="G539">
        <v>70.81</v>
      </c>
      <c r="H539">
        <v>2</v>
      </c>
      <c r="I539" t="str">
        <f t="shared" si="8"/>
        <v>B2B</v>
      </c>
      <c r="J539" s="19">
        <f>CLIENT[[#This Row],[Duree_Cumulee_Panne_Min]]/1440</f>
        <v>0.31944444444444442</v>
      </c>
      <c r="K539" s="17">
        <f>CLIENT[[#This Row],[Anciennete_Mois]]/12</f>
        <v>1.75</v>
      </c>
      <c r="L5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39" s="18">
        <f>CLIENT[[#This Row],[Facture_Mensuelle]]*CLIENT[[#This Row],[Remise]]</f>
        <v>31.864500000000003</v>
      </c>
    </row>
    <row r="540" spans="1:13" x14ac:dyDescent="0.35">
      <c r="A540" s="1" t="s">
        <v>129</v>
      </c>
      <c r="B540" s="1" t="s">
        <v>152</v>
      </c>
      <c r="C540" s="1" t="s">
        <v>17</v>
      </c>
      <c r="D540">
        <v>67</v>
      </c>
      <c r="E540" s="1" t="s">
        <v>13</v>
      </c>
      <c r="F540" s="17">
        <v>55</v>
      </c>
      <c r="G540">
        <v>27.04</v>
      </c>
      <c r="H540">
        <v>1</v>
      </c>
      <c r="I540" t="str">
        <f t="shared" si="8"/>
        <v>B2B</v>
      </c>
      <c r="J540" s="19">
        <f>CLIENT[[#This Row],[Duree_Cumulee_Panne_Min]]/1440</f>
        <v>3.8194444444444448E-2</v>
      </c>
      <c r="K540" s="17">
        <f>CLIENT[[#This Row],[Anciennete_Mois]]/12</f>
        <v>5.583333333333333</v>
      </c>
      <c r="L5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40" s="18">
        <f>CLIENT[[#This Row],[Facture_Mensuelle]]*CLIENT[[#This Row],[Remise]]</f>
        <v>2.7040000000000002</v>
      </c>
    </row>
    <row r="541" spans="1:13" x14ac:dyDescent="0.35">
      <c r="A541" s="1" t="s">
        <v>220</v>
      </c>
      <c r="B541" s="1" t="s">
        <v>266</v>
      </c>
      <c r="C541" s="1" t="s">
        <v>62</v>
      </c>
      <c r="D541">
        <v>23</v>
      </c>
      <c r="E541" s="1" t="s">
        <v>13</v>
      </c>
      <c r="F541" s="17">
        <v>473</v>
      </c>
      <c r="G541">
        <v>71.86</v>
      </c>
      <c r="H541">
        <v>3</v>
      </c>
      <c r="I541" t="str">
        <f t="shared" si="8"/>
        <v>B2C</v>
      </c>
      <c r="J541" s="19">
        <f>CLIENT[[#This Row],[Duree_Cumulee_Panne_Min]]/1440</f>
        <v>0.32847222222222222</v>
      </c>
      <c r="K541" s="17">
        <f>CLIENT[[#This Row],[Anciennete_Mois]]/12</f>
        <v>1.9166666666666667</v>
      </c>
      <c r="L5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1" s="18">
        <f>CLIENT[[#This Row],[Facture_Mensuelle]]*CLIENT[[#This Row],[Remise]]</f>
        <v>32.337000000000003</v>
      </c>
    </row>
    <row r="542" spans="1:13" x14ac:dyDescent="0.35">
      <c r="A542" s="1" t="s">
        <v>79</v>
      </c>
      <c r="B542" s="1" t="s">
        <v>107</v>
      </c>
      <c r="C542" s="1" t="s">
        <v>48</v>
      </c>
      <c r="D542">
        <v>12</v>
      </c>
      <c r="E542" s="1" t="s">
        <v>10</v>
      </c>
      <c r="F542" s="17">
        <v>208</v>
      </c>
      <c r="G542">
        <v>16.29</v>
      </c>
      <c r="H542">
        <v>4</v>
      </c>
      <c r="I542" t="str">
        <f t="shared" si="8"/>
        <v>B2C</v>
      </c>
      <c r="J542" s="19">
        <f>CLIENT[[#This Row],[Duree_Cumulee_Panne_Min]]/1440</f>
        <v>0.14444444444444443</v>
      </c>
      <c r="K542" s="17">
        <f>CLIENT[[#This Row],[Anciennete_Mois]]/12</f>
        <v>1</v>
      </c>
      <c r="L5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2" s="18">
        <f>CLIENT[[#This Row],[Facture_Mensuelle]]*CLIENT[[#This Row],[Remise]]</f>
        <v>7.3304999999999998</v>
      </c>
    </row>
    <row r="543" spans="1:13" x14ac:dyDescent="0.35">
      <c r="A543" s="1" t="s">
        <v>79</v>
      </c>
      <c r="B543" s="1" t="s">
        <v>100</v>
      </c>
      <c r="C543" s="1" t="s">
        <v>33</v>
      </c>
      <c r="D543">
        <v>6</v>
      </c>
      <c r="E543" s="1" t="s">
        <v>10</v>
      </c>
      <c r="F543" s="17">
        <v>162</v>
      </c>
      <c r="G543">
        <v>99.93</v>
      </c>
      <c r="H543">
        <v>0</v>
      </c>
      <c r="I543" t="str">
        <f t="shared" si="8"/>
        <v>B2C</v>
      </c>
      <c r="J543" s="19">
        <f>CLIENT[[#This Row],[Duree_Cumulee_Panne_Min]]/1440</f>
        <v>0.1125</v>
      </c>
      <c r="K543" s="17">
        <f>CLIENT[[#This Row],[Anciennete_Mois]]/12</f>
        <v>0.5</v>
      </c>
      <c r="L5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3" s="18">
        <f>CLIENT[[#This Row],[Facture_Mensuelle]]*CLIENT[[#This Row],[Remise]]</f>
        <v>44.968500000000006</v>
      </c>
    </row>
    <row r="544" spans="1:13" x14ac:dyDescent="0.35">
      <c r="A544" s="1" t="s">
        <v>540</v>
      </c>
      <c r="B544" s="1" t="s">
        <v>542</v>
      </c>
      <c r="C544" s="1" t="s">
        <v>126</v>
      </c>
      <c r="D544">
        <v>25</v>
      </c>
      <c r="E544" s="1" t="s">
        <v>18</v>
      </c>
      <c r="F544" s="17">
        <v>5</v>
      </c>
      <c r="G544">
        <v>27.93</v>
      </c>
      <c r="H544">
        <v>0</v>
      </c>
      <c r="I544" t="str">
        <f t="shared" si="8"/>
        <v>B2B</v>
      </c>
      <c r="J544" s="19">
        <f>CLIENT[[#This Row],[Duree_Cumulee_Panne_Min]]/1440</f>
        <v>3.472222222222222E-3</v>
      </c>
      <c r="K544" s="17">
        <f>CLIENT[[#This Row],[Anciennete_Mois]]/12</f>
        <v>2.0833333333333335</v>
      </c>
      <c r="L5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44" s="18">
        <f>CLIENT[[#This Row],[Facture_Mensuelle]]*CLIENT[[#This Row],[Remise]]</f>
        <v>2.7930000000000001</v>
      </c>
    </row>
    <row r="545" spans="1:13" x14ac:dyDescent="0.35">
      <c r="A545" s="1" t="s">
        <v>453</v>
      </c>
      <c r="B545" s="1" t="s">
        <v>460</v>
      </c>
      <c r="C545" s="1" t="s">
        <v>57</v>
      </c>
      <c r="D545">
        <v>39</v>
      </c>
      <c r="E545" s="1" t="s">
        <v>13</v>
      </c>
      <c r="F545" s="17">
        <v>54</v>
      </c>
      <c r="G545">
        <v>88.84</v>
      </c>
      <c r="H545">
        <v>0</v>
      </c>
      <c r="I545" t="str">
        <f t="shared" si="8"/>
        <v>B2C</v>
      </c>
      <c r="J545" s="19">
        <f>CLIENT[[#This Row],[Duree_Cumulee_Panne_Min]]/1440</f>
        <v>3.7499999999999999E-2</v>
      </c>
      <c r="K545" s="17">
        <f>CLIENT[[#This Row],[Anciennete_Mois]]/12</f>
        <v>3.25</v>
      </c>
      <c r="L5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45" s="18">
        <f>CLIENT[[#This Row],[Facture_Mensuelle]]*CLIENT[[#This Row],[Remise]]</f>
        <v>0</v>
      </c>
    </row>
    <row r="546" spans="1:13" x14ac:dyDescent="0.35">
      <c r="A546" s="1" t="s">
        <v>453</v>
      </c>
      <c r="B546" s="1" t="s">
        <v>481</v>
      </c>
      <c r="C546" s="1" t="s">
        <v>24</v>
      </c>
      <c r="D546">
        <v>120</v>
      </c>
      <c r="E546" s="1" t="s">
        <v>10</v>
      </c>
      <c r="F546" s="17">
        <v>391</v>
      </c>
      <c r="G546">
        <v>67.77</v>
      </c>
      <c r="H546">
        <v>4</v>
      </c>
      <c r="I546" t="str">
        <f t="shared" si="8"/>
        <v>B2C</v>
      </c>
      <c r="J546" s="19">
        <f>CLIENT[[#This Row],[Duree_Cumulee_Panne_Min]]/1440</f>
        <v>0.27152777777777776</v>
      </c>
      <c r="K546" s="17">
        <f>CLIENT[[#This Row],[Anciennete_Mois]]/12</f>
        <v>10</v>
      </c>
      <c r="L5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6" s="18">
        <f>CLIENT[[#This Row],[Facture_Mensuelle]]*CLIENT[[#This Row],[Remise]]</f>
        <v>30.496499999999997</v>
      </c>
    </row>
    <row r="547" spans="1:13" x14ac:dyDescent="0.35">
      <c r="A547" s="1" t="s">
        <v>174</v>
      </c>
      <c r="B547" s="1" t="s">
        <v>218</v>
      </c>
      <c r="C547" s="1" t="s">
        <v>68</v>
      </c>
      <c r="D547">
        <v>11</v>
      </c>
      <c r="E547" s="1" t="s">
        <v>10</v>
      </c>
      <c r="F547" s="17">
        <v>191</v>
      </c>
      <c r="G547">
        <v>87.37</v>
      </c>
      <c r="H547">
        <v>3</v>
      </c>
      <c r="I547" t="str">
        <f t="shared" si="8"/>
        <v>B2C</v>
      </c>
      <c r="J547" s="19">
        <f>CLIENT[[#This Row],[Duree_Cumulee_Panne_Min]]/1440</f>
        <v>0.13263888888888889</v>
      </c>
      <c r="K547" s="17">
        <f>CLIENT[[#This Row],[Anciennete_Mois]]/12</f>
        <v>0.91666666666666663</v>
      </c>
      <c r="L5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7" s="18">
        <f>CLIENT[[#This Row],[Facture_Mensuelle]]*CLIENT[[#This Row],[Remise]]</f>
        <v>39.316500000000005</v>
      </c>
    </row>
    <row r="548" spans="1:13" x14ac:dyDescent="0.35">
      <c r="A548" s="1" t="s">
        <v>496</v>
      </c>
      <c r="B548" s="1" t="s">
        <v>520</v>
      </c>
      <c r="C548" s="1" t="s">
        <v>31</v>
      </c>
      <c r="D548">
        <v>47</v>
      </c>
      <c r="E548" s="1" t="s">
        <v>10</v>
      </c>
      <c r="F548" s="17">
        <v>457</v>
      </c>
      <c r="G548">
        <v>84.93</v>
      </c>
      <c r="H548">
        <v>2</v>
      </c>
      <c r="I548" t="str">
        <f t="shared" si="8"/>
        <v>B2C</v>
      </c>
      <c r="J548" s="19">
        <f>CLIENT[[#This Row],[Duree_Cumulee_Panne_Min]]/1440</f>
        <v>0.31736111111111109</v>
      </c>
      <c r="K548" s="17">
        <f>CLIENT[[#This Row],[Anciennete_Mois]]/12</f>
        <v>3.9166666666666665</v>
      </c>
      <c r="L5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48" s="18">
        <f>CLIENT[[#This Row],[Facture_Mensuelle]]*CLIENT[[#This Row],[Remise]]</f>
        <v>38.218500000000006</v>
      </c>
    </row>
    <row r="549" spans="1:13" x14ac:dyDescent="0.35">
      <c r="A549" s="1" t="s">
        <v>540</v>
      </c>
      <c r="B549" s="1" t="s">
        <v>575</v>
      </c>
      <c r="C549" s="1" t="s">
        <v>59</v>
      </c>
      <c r="D549">
        <v>98</v>
      </c>
      <c r="E549" s="1" t="s">
        <v>21</v>
      </c>
      <c r="F549" s="17">
        <v>110</v>
      </c>
      <c r="G549">
        <v>96.23</v>
      </c>
      <c r="H549">
        <v>2</v>
      </c>
      <c r="I549" t="str">
        <f t="shared" si="8"/>
        <v>B2C</v>
      </c>
      <c r="J549" s="19">
        <f>CLIENT[[#This Row],[Duree_Cumulee_Panne_Min]]/1440</f>
        <v>7.6388888888888895E-2</v>
      </c>
      <c r="K549" s="17">
        <f>CLIENT[[#This Row],[Anciennete_Mois]]/12</f>
        <v>8.1666666666666661</v>
      </c>
      <c r="L5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49" s="18">
        <f>CLIENT[[#This Row],[Facture_Mensuelle]]*CLIENT[[#This Row],[Remise]]</f>
        <v>0</v>
      </c>
    </row>
    <row r="550" spans="1:13" x14ac:dyDescent="0.35">
      <c r="A550" s="1" t="s">
        <v>174</v>
      </c>
      <c r="B550" s="1" t="s">
        <v>208</v>
      </c>
      <c r="C550" s="1" t="s">
        <v>83</v>
      </c>
      <c r="D550">
        <v>28</v>
      </c>
      <c r="E550" s="1" t="s">
        <v>10</v>
      </c>
      <c r="F550" s="17">
        <v>96</v>
      </c>
      <c r="G550">
        <v>72.010000000000005</v>
      </c>
      <c r="H550">
        <v>4</v>
      </c>
      <c r="I550" t="str">
        <f t="shared" si="8"/>
        <v>B2C</v>
      </c>
      <c r="J550" s="19">
        <f>CLIENT[[#This Row],[Duree_Cumulee_Panne_Min]]/1440</f>
        <v>6.6666666666666666E-2</v>
      </c>
      <c r="K550" s="17">
        <f>CLIENT[[#This Row],[Anciennete_Mois]]/12</f>
        <v>2.3333333333333335</v>
      </c>
      <c r="L5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0" s="18">
        <f>CLIENT[[#This Row],[Facture_Mensuelle]]*CLIENT[[#This Row],[Remise]]</f>
        <v>32.404500000000006</v>
      </c>
    </row>
    <row r="551" spans="1:13" x14ac:dyDescent="0.35">
      <c r="A551" s="1" t="s">
        <v>453</v>
      </c>
      <c r="B551" s="1" t="s">
        <v>455</v>
      </c>
      <c r="C551" s="1" t="s">
        <v>35</v>
      </c>
      <c r="D551">
        <v>77</v>
      </c>
      <c r="E551" s="1" t="s">
        <v>21</v>
      </c>
      <c r="F551" s="17">
        <v>375</v>
      </c>
      <c r="G551">
        <v>24.03</v>
      </c>
      <c r="H551">
        <v>1</v>
      </c>
      <c r="I551" t="str">
        <f t="shared" si="8"/>
        <v>B2C</v>
      </c>
      <c r="J551" s="19">
        <f>CLIENT[[#This Row],[Duree_Cumulee_Panne_Min]]/1440</f>
        <v>0.26041666666666669</v>
      </c>
      <c r="K551" s="17">
        <f>CLIENT[[#This Row],[Anciennete_Mois]]/12</f>
        <v>6.416666666666667</v>
      </c>
      <c r="L5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1" s="18">
        <f>CLIENT[[#This Row],[Facture_Mensuelle]]*CLIENT[[#This Row],[Remise]]</f>
        <v>10.813500000000001</v>
      </c>
    </row>
    <row r="552" spans="1:13" x14ac:dyDescent="0.35">
      <c r="A552" s="1" t="s">
        <v>129</v>
      </c>
      <c r="B552" s="1" t="s">
        <v>142</v>
      </c>
      <c r="C552" s="1" t="s">
        <v>122</v>
      </c>
      <c r="D552">
        <v>56</v>
      </c>
      <c r="E552" s="1" t="s">
        <v>18</v>
      </c>
      <c r="F552" s="17">
        <v>333</v>
      </c>
      <c r="G552">
        <v>23.01</v>
      </c>
      <c r="H552">
        <v>2</v>
      </c>
      <c r="I552" t="str">
        <f t="shared" si="8"/>
        <v>B2C</v>
      </c>
      <c r="J552" s="19">
        <f>CLIENT[[#This Row],[Duree_Cumulee_Panne_Min]]/1440</f>
        <v>0.23125000000000001</v>
      </c>
      <c r="K552" s="17">
        <f>CLIENT[[#This Row],[Anciennete_Mois]]/12</f>
        <v>4.666666666666667</v>
      </c>
      <c r="L5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2" s="18">
        <f>CLIENT[[#This Row],[Facture_Mensuelle]]*CLIENT[[#This Row],[Remise]]</f>
        <v>10.354500000000002</v>
      </c>
    </row>
    <row r="553" spans="1:13" x14ac:dyDescent="0.35">
      <c r="A553" s="1" t="s">
        <v>174</v>
      </c>
      <c r="B553" s="1" t="s">
        <v>178</v>
      </c>
      <c r="C553" s="1" t="s">
        <v>48</v>
      </c>
      <c r="D553">
        <v>66</v>
      </c>
      <c r="E553" s="1" t="s">
        <v>21</v>
      </c>
      <c r="F553" s="17">
        <v>387</v>
      </c>
      <c r="G553">
        <v>82.94</v>
      </c>
      <c r="H553">
        <v>3</v>
      </c>
      <c r="I553" t="str">
        <f t="shared" si="8"/>
        <v>B2C</v>
      </c>
      <c r="J553" s="19">
        <f>CLIENT[[#This Row],[Duree_Cumulee_Panne_Min]]/1440</f>
        <v>0.26874999999999999</v>
      </c>
      <c r="K553" s="17">
        <f>CLIENT[[#This Row],[Anciennete_Mois]]/12</f>
        <v>5.5</v>
      </c>
      <c r="L5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3" s="18">
        <f>CLIENT[[#This Row],[Facture_Mensuelle]]*CLIENT[[#This Row],[Remise]]</f>
        <v>37.323</v>
      </c>
    </row>
    <row r="554" spans="1:13" x14ac:dyDescent="0.35">
      <c r="A554" s="1" t="s">
        <v>174</v>
      </c>
      <c r="B554" s="1" t="s">
        <v>198</v>
      </c>
      <c r="C554" s="1" t="s">
        <v>33</v>
      </c>
      <c r="D554">
        <v>75</v>
      </c>
      <c r="E554" s="1" t="s">
        <v>18</v>
      </c>
      <c r="F554" s="17">
        <v>282</v>
      </c>
      <c r="G554">
        <v>45.16</v>
      </c>
      <c r="H554">
        <v>5</v>
      </c>
      <c r="I554" t="str">
        <f t="shared" si="8"/>
        <v>B2C</v>
      </c>
      <c r="J554" s="19">
        <f>CLIENT[[#This Row],[Duree_Cumulee_Panne_Min]]/1440</f>
        <v>0.19583333333333333</v>
      </c>
      <c r="K554" s="17">
        <f>CLIENT[[#This Row],[Anciennete_Mois]]/12</f>
        <v>6.25</v>
      </c>
      <c r="L5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4" s="18">
        <f>CLIENT[[#This Row],[Facture_Mensuelle]]*CLIENT[[#This Row],[Remise]]</f>
        <v>20.321999999999999</v>
      </c>
    </row>
    <row r="555" spans="1:13" x14ac:dyDescent="0.35">
      <c r="A555" s="1" t="s">
        <v>406</v>
      </c>
      <c r="B555" s="1" t="s">
        <v>409</v>
      </c>
      <c r="C555" s="1" t="s">
        <v>35</v>
      </c>
      <c r="D555">
        <v>39</v>
      </c>
      <c r="E555" s="1" t="s">
        <v>10</v>
      </c>
      <c r="F555" s="17">
        <v>1</v>
      </c>
      <c r="G555">
        <v>66.94</v>
      </c>
      <c r="H555">
        <v>5</v>
      </c>
      <c r="I555" t="str">
        <f t="shared" si="8"/>
        <v>B2C</v>
      </c>
      <c r="J555" s="19">
        <f>CLIENT[[#This Row],[Duree_Cumulee_Panne_Min]]/1440</f>
        <v>6.9444444444444447E-4</v>
      </c>
      <c r="K555" s="17">
        <f>CLIENT[[#This Row],[Anciennete_Mois]]/12</f>
        <v>3.25</v>
      </c>
      <c r="L5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5" s="18">
        <f>CLIENT[[#This Row],[Facture_Mensuelle]]*CLIENT[[#This Row],[Remise]]</f>
        <v>30.123000000000001</v>
      </c>
    </row>
    <row r="556" spans="1:13" x14ac:dyDescent="0.35">
      <c r="A556" s="1" t="s">
        <v>314</v>
      </c>
      <c r="B556" s="1" t="s">
        <v>326</v>
      </c>
      <c r="C556" s="1" t="s">
        <v>15</v>
      </c>
      <c r="D556">
        <v>102</v>
      </c>
      <c r="E556" s="1" t="s">
        <v>18</v>
      </c>
      <c r="F556" s="17">
        <v>91</v>
      </c>
      <c r="G556">
        <v>34.64</v>
      </c>
      <c r="H556">
        <v>2</v>
      </c>
      <c r="I556" t="str">
        <f t="shared" si="8"/>
        <v>B2C</v>
      </c>
      <c r="J556" s="19">
        <f>CLIENT[[#This Row],[Duree_Cumulee_Panne_Min]]/1440</f>
        <v>6.3194444444444442E-2</v>
      </c>
      <c r="K556" s="17">
        <f>CLIENT[[#This Row],[Anciennete_Mois]]/12</f>
        <v>8.5</v>
      </c>
      <c r="L5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56" s="18">
        <f>CLIENT[[#This Row],[Facture_Mensuelle]]*CLIENT[[#This Row],[Remise]]</f>
        <v>0</v>
      </c>
    </row>
    <row r="557" spans="1:13" x14ac:dyDescent="0.35">
      <c r="A557" s="1" t="s">
        <v>220</v>
      </c>
      <c r="B557" s="1" t="s">
        <v>264</v>
      </c>
      <c r="C557" s="1" t="s">
        <v>118</v>
      </c>
      <c r="D557">
        <v>78</v>
      </c>
      <c r="E557" s="1" t="s">
        <v>21</v>
      </c>
      <c r="F557" s="17">
        <v>198</v>
      </c>
      <c r="G557">
        <v>69.849999999999994</v>
      </c>
      <c r="H557">
        <v>0</v>
      </c>
      <c r="I557" t="str">
        <f t="shared" si="8"/>
        <v>B2C</v>
      </c>
      <c r="J557" s="19">
        <f>CLIENT[[#This Row],[Duree_Cumulee_Panne_Min]]/1440</f>
        <v>0.13750000000000001</v>
      </c>
      <c r="K557" s="17">
        <f>CLIENT[[#This Row],[Anciennete_Mois]]/12</f>
        <v>6.5</v>
      </c>
      <c r="L5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57" s="18">
        <f>CLIENT[[#This Row],[Facture_Mensuelle]]*CLIENT[[#This Row],[Remise]]</f>
        <v>0</v>
      </c>
    </row>
    <row r="558" spans="1:13" x14ac:dyDescent="0.35">
      <c r="A558" s="1" t="s">
        <v>267</v>
      </c>
      <c r="B558" s="1" t="s">
        <v>306</v>
      </c>
      <c r="C558" s="1" t="s">
        <v>68</v>
      </c>
      <c r="D558">
        <v>5</v>
      </c>
      <c r="E558" s="1" t="s">
        <v>10</v>
      </c>
      <c r="F558" s="17">
        <v>384</v>
      </c>
      <c r="G558">
        <v>97.26</v>
      </c>
      <c r="H558">
        <v>3</v>
      </c>
      <c r="I558" t="str">
        <f t="shared" si="8"/>
        <v>B2B</v>
      </c>
      <c r="J558" s="19">
        <f>CLIENT[[#This Row],[Duree_Cumulee_Panne_Min]]/1440</f>
        <v>0.26666666666666666</v>
      </c>
      <c r="K558" s="17">
        <f>CLIENT[[#This Row],[Anciennete_Mois]]/12</f>
        <v>0.41666666666666669</v>
      </c>
      <c r="L5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8" s="18">
        <f>CLIENT[[#This Row],[Facture_Mensuelle]]*CLIENT[[#This Row],[Remise]]</f>
        <v>43.767000000000003</v>
      </c>
    </row>
    <row r="559" spans="1:13" x14ac:dyDescent="0.35">
      <c r="A559" s="1" t="s">
        <v>685</v>
      </c>
      <c r="B559" s="1" t="s">
        <v>716</v>
      </c>
      <c r="C559" s="1" t="s">
        <v>24</v>
      </c>
      <c r="D559">
        <v>87</v>
      </c>
      <c r="E559" s="1" t="s">
        <v>13</v>
      </c>
      <c r="F559" s="17">
        <v>486</v>
      </c>
      <c r="G559">
        <v>58.26</v>
      </c>
      <c r="H559">
        <v>0</v>
      </c>
      <c r="I559" t="str">
        <f t="shared" si="8"/>
        <v>B2C</v>
      </c>
      <c r="J559" s="19">
        <f>CLIENT[[#This Row],[Duree_Cumulee_Panne_Min]]/1440</f>
        <v>0.33750000000000002</v>
      </c>
      <c r="K559" s="17">
        <f>CLIENT[[#This Row],[Anciennete_Mois]]/12</f>
        <v>7.25</v>
      </c>
      <c r="L5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59" s="18">
        <f>CLIENT[[#This Row],[Facture_Mensuelle]]*CLIENT[[#This Row],[Remise]]</f>
        <v>26.216999999999999</v>
      </c>
    </row>
    <row r="560" spans="1:13" x14ac:dyDescent="0.35">
      <c r="A560" s="1" t="s">
        <v>79</v>
      </c>
      <c r="B560" s="1" t="s">
        <v>90</v>
      </c>
      <c r="C560" s="1" t="s">
        <v>33</v>
      </c>
      <c r="D560">
        <v>42</v>
      </c>
      <c r="E560" s="1" t="s">
        <v>21</v>
      </c>
      <c r="F560" s="17">
        <v>385</v>
      </c>
      <c r="G560">
        <v>96.52</v>
      </c>
      <c r="H560">
        <v>1</v>
      </c>
      <c r="I560" t="str">
        <f t="shared" si="8"/>
        <v>B2C</v>
      </c>
      <c r="J560" s="19">
        <f>CLIENT[[#This Row],[Duree_Cumulee_Panne_Min]]/1440</f>
        <v>0.2673611111111111</v>
      </c>
      <c r="K560" s="17">
        <f>CLIENT[[#This Row],[Anciennete_Mois]]/12</f>
        <v>3.5</v>
      </c>
      <c r="L5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0" s="18">
        <f>CLIENT[[#This Row],[Facture_Mensuelle]]*CLIENT[[#This Row],[Remise]]</f>
        <v>43.433999999999997</v>
      </c>
    </row>
    <row r="561" spans="1:13" x14ac:dyDescent="0.35">
      <c r="A561" s="1" t="s">
        <v>640</v>
      </c>
      <c r="B561" s="1" t="s">
        <v>651</v>
      </c>
      <c r="C561" s="1" t="s">
        <v>62</v>
      </c>
      <c r="D561">
        <v>103</v>
      </c>
      <c r="E561" s="1" t="s">
        <v>10</v>
      </c>
      <c r="F561" s="17">
        <v>386</v>
      </c>
      <c r="G561">
        <v>10.58</v>
      </c>
      <c r="H561">
        <v>0</v>
      </c>
      <c r="I561" t="str">
        <f t="shared" si="8"/>
        <v>B2C</v>
      </c>
      <c r="J561" s="19">
        <f>CLIENT[[#This Row],[Duree_Cumulee_Panne_Min]]/1440</f>
        <v>0.26805555555555555</v>
      </c>
      <c r="K561" s="17">
        <f>CLIENT[[#This Row],[Anciennete_Mois]]/12</f>
        <v>8.5833333333333339</v>
      </c>
      <c r="L5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1" s="18">
        <f>CLIENT[[#This Row],[Facture_Mensuelle]]*CLIENT[[#This Row],[Remise]]</f>
        <v>4.7610000000000001</v>
      </c>
    </row>
    <row r="562" spans="1:13" x14ac:dyDescent="0.35">
      <c r="A562" s="1" t="s">
        <v>220</v>
      </c>
      <c r="B562" s="1" t="s">
        <v>248</v>
      </c>
      <c r="C562" s="1" t="s">
        <v>35</v>
      </c>
      <c r="D562">
        <v>63</v>
      </c>
      <c r="E562" s="1" t="s">
        <v>18</v>
      </c>
      <c r="F562" s="17">
        <v>392</v>
      </c>
      <c r="G562">
        <v>93.11</v>
      </c>
      <c r="H562">
        <v>3</v>
      </c>
      <c r="I562" t="str">
        <f t="shared" si="8"/>
        <v>B2C</v>
      </c>
      <c r="J562" s="19">
        <f>CLIENT[[#This Row],[Duree_Cumulee_Panne_Min]]/1440</f>
        <v>0.2722222222222222</v>
      </c>
      <c r="K562" s="17">
        <f>CLIENT[[#This Row],[Anciennete_Mois]]/12</f>
        <v>5.25</v>
      </c>
      <c r="L5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2" s="18">
        <f>CLIENT[[#This Row],[Facture_Mensuelle]]*CLIENT[[#This Row],[Remise]]</f>
        <v>41.899500000000003</v>
      </c>
    </row>
    <row r="563" spans="1:13" x14ac:dyDescent="0.35">
      <c r="A563" s="1" t="s">
        <v>540</v>
      </c>
      <c r="B563" s="1" t="s">
        <v>557</v>
      </c>
      <c r="C563" s="1" t="s">
        <v>17</v>
      </c>
      <c r="D563">
        <v>52</v>
      </c>
      <c r="E563" s="1" t="s">
        <v>18</v>
      </c>
      <c r="F563" s="17">
        <v>307</v>
      </c>
      <c r="G563">
        <v>81.38</v>
      </c>
      <c r="H563">
        <v>2</v>
      </c>
      <c r="I563" t="str">
        <f t="shared" si="8"/>
        <v>B2C</v>
      </c>
      <c r="J563" s="19">
        <f>CLIENT[[#This Row],[Duree_Cumulee_Panne_Min]]/1440</f>
        <v>0.21319444444444444</v>
      </c>
      <c r="K563" s="17">
        <f>CLIENT[[#This Row],[Anciennete_Mois]]/12</f>
        <v>4.333333333333333</v>
      </c>
      <c r="L5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3" s="18">
        <f>CLIENT[[#This Row],[Facture_Mensuelle]]*CLIENT[[#This Row],[Remise]]</f>
        <v>36.621000000000002</v>
      </c>
    </row>
    <row r="564" spans="1:13" x14ac:dyDescent="0.35">
      <c r="A564" s="1" t="s">
        <v>79</v>
      </c>
      <c r="B564" s="1" t="s">
        <v>103</v>
      </c>
      <c r="C564" s="1" t="s">
        <v>27</v>
      </c>
      <c r="D564">
        <v>57</v>
      </c>
      <c r="E564" s="1" t="s">
        <v>18</v>
      </c>
      <c r="F564" s="17">
        <v>208</v>
      </c>
      <c r="G564">
        <v>85.66</v>
      </c>
      <c r="H564">
        <v>5</v>
      </c>
      <c r="I564" t="str">
        <f t="shared" si="8"/>
        <v>B2C</v>
      </c>
      <c r="J564" s="19">
        <f>CLIENT[[#This Row],[Duree_Cumulee_Panne_Min]]/1440</f>
        <v>0.14444444444444443</v>
      </c>
      <c r="K564" s="17">
        <f>CLIENT[[#This Row],[Anciennete_Mois]]/12</f>
        <v>4.75</v>
      </c>
      <c r="L5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64" s="18">
        <f>CLIENT[[#This Row],[Facture_Mensuelle]]*CLIENT[[#This Row],[Remise]]</f>
        <v>0</v>
      </c>
    </row>
    <row r="565" spans="1:13" x14ac:dyDescent="0.35">
      <c r="A565" s="1" t="s">
        <v>314</v>
      </c>
      <c r="B565" s="1" t="s">
        <v>319</v>
      </c>
      <c r="C565" s="1" t="s">
        <v>35</v>
      </c>
      <c r="D565">
        <v>55</v>
      </c>
      <c r="E565" s="1" t="s">
        <v>10</v>
      </c>
      <c r="F565" s="17">
        <v>86</v>
      </c>
      <c r="G565">
        <v>17.440000000000001</v>
      </c>
      <c r="H565">
        <v>2</v>
      </c>
      <c r="I565" t="str">
        <f t="shared" si="8"/>
        <v>B2C</v>
      </c>
      <c r="J565" s="19">
        <f>CLIENT[[#This Row],[Duree_Cumulee_Panne_Min]]/1440</f>
        <v>5.9722222222222225E-2</v>
      </c>
      <c r="K565" s="17">
        <f>CLIENT[[#This Row],[Anciennete_Mois]]/12</f>
        <v>4.583333333333333</v>
      </c>
      <c r="L5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5" s="18">
        <f>CLIENT[[#This Row],[Facture_Mensuelle]]*CLIENT[[#This Row],[Remise]]</f>
        <v>7.8480000000000008</v>
      </c>
    </row>
    <row r="566" spans="1:13" x14ac:dyDescent="0.35">
      <c r="A566" s="1" t="s">
        <v>453</v>
      </c>
      <c r="B566" s="1" t="s">
        <v>486</v>
      </c>
      <c r="C566" s="1" t="s">
        <v>29</v>
      </c>
      <c r="D566">
        <v>58</v>
      </c>
      <c r="E566" s="1" t="s">
        <v>10</v>
      </c>
      <c r="F566" s="17">
        <v>485</v>
      </c>
      <c r="G566">
        <v>64.290000000000006</v>
      </c>
      <c r="H566">
        <v>4</v>
      </c>
      <c r="I566" t="str">
        <f t="shared" si="8"/>
        <v>B2C</v>
      </c>
      <c r="J566" s="19">
        <f>CLIENT[[#This Row],[Duree_Cumulee_Panne_Min]]/1440</f>
        <v>0.33680555555555558</v>
      </c>
      <c r="K566" s="17">
        <f>CLIENT[[#This Row],[Anciennete_Mois]]/12</f>
        <v>4.833333333333333</v>
      </c>
      <c r="L5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6" s="18">
        <f>CLIENT[[#This Row],[Facture_Mensuelle]]*CLIENT[[#This Row],[Remise]]</f>
        <v>28.930500000000002</v>
      </c>
    </row>
    <row r="567" spans="1:13" x14ac:dyDescent="0.35">
      <c r="A567" s="1" t="s">
        <v>267</v>
      </c>
      <c r="B567" s="1" t="s">
        <v>1626</v>
      </c>
      <c r="C567" s="1" t="s">
        <v>24</v>
      </c>
      <c r="D567">
        <v>-53</v>
      </c>
      <c r="E567" s="1" t="s">
        <v>18</v>
      </c>
      <c r="F567" s="17">
        <v>414</v>
      </c>
      <c r="G567">
        <v>64.39</v>
      </c>
      <c r="H567">
        <v>1</v>
      </c>
      <c r="I567" t="str">
        <f t="shared" si="8"/>
        <v>B2C</v>
      </c>
      <c r="J567" s="19">
        <f>CLIENT[[#This Row],[Duree_Cumulee_Panne_Min]]/1440</f>
        <v>0.28749999999999998</v>
      </c>
      <c r="K567" s="17">
        <f>CLIENT[[#This Row],[Anciennete_Mois]]/12</f>
        <v>-4.416666666666667</v>
      </c>
      <c r="L5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7" s="18">
        <f>CLIENT[[#This Row],[Facture_Mensuelle]]*CLIENT[[#This Row],[Remise]]</f>
        <v>28.9755</v>
      </c>
    </row>
    <row r="568" spans="1:13" x14ac:dyDescent="0.35">
      <c r="A568" s="1" t="s">
        <v>640</v>
      </c>
      <c r="B568" s="1" t="s">
        <v>650</v>
      </c>
      <c r="C568" s="1" t="s">
        <v>48</v>
      </c>
      <c r="D568">
        <v>9</v>
      </c>
      <c r="E568" s="1" t="s">
        <v>18</v>
      </c>
      <c r="F568" s="17">
        <v>27</v>
      </c>
      <c r="G568">
        <v>99.02</v>
      </c>
      <c r="H568">
        <v>3</v>
      </c>
      <c r="I568" t="str">
        <f t="shared" si="8"/>
        <v>B2C</v>
      </c>
      <c r="J568" s="19">
        <f>CLIENT[[#This Row],[Duree_Cumulee_Panne_Min]]/1440</f>
        <v>1.8749999999999999E-2</v>
      </c>
      <c r="K568" s="17">
        <f>CLIENT[[#This Row],[Anciennete_Mois]]/12</f>
        <v>0.75</v>
      </c>
      <c r="L5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68" s="18">
        <f>CLIENT[[#This Row],[Facture_Mensuelle]]*CLIENT[[#This Row],[Remise]]</f>
        <v>0</v>
      </c>
    </row>
    <row r="569" spans="1:13" x14ac:dyDescent="0.35">
      <c r="A569" s="1" t="s">
        <v>496</v>
      </c>
      <c r="B569" s="1" t="s">
        <v>514</v>
      </c>
      <c r="C569" s="1" t="s">
        <v>9</v>
      </c>
      <c r="D569">
        <v>84</v>
      </c>
      <c r="E569" s="1" t="s">
        <v>18</v>
      </c>
      <c r="F569" s="17">
        <v>364</v>
      </c>
      <c r="G569">
        <v>87.79</v>
      </c>
      <c r="H569">
        <v>3</v>
      </c>
      <c r="I569" t="str">
        <f t="shared" si="8"/>
        <v>B2C</v>
      </c>
      <c r="J569" s="19">
        <f>CLIENT[[#This Row],[Duree_Cumulee_Panne_Min]]/1440</f>
        <v>0.25277777777777777</v>
      </c>
      <c r="K569" s="17">
        <f>CLIENT[[#This Row],[Anciennete_Mois]]/12</f>
        <v>7</v>
      </c>
      <c r="L5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69" s="18">
        <f>CLIENT[[#This Row],[Facture_Mensuelle]]*CLIENT[[#This Row],[Remise]]</f>
        <v>39.505500000000005</v>
      </c>
    </row>
    <row r="570" spans="1:13" x14ac:dyDescent="0.35">
      <c r="A570" s="1" t="s">
        <v>8</v>
      </c>
      <c r="B570" s="1" t="s">
        <v>75</v>
      </c>
      <c r="C570" s="1" t="s">
        <v>29</v>
      </c>
      <c r="D570">
        <v>27</v>
      </c>
      <c r="E570" s="1" t="s">
        <v>18</v>
      </c>
      <c r="F570" s="17">
        <v>275</v>
      </c>
      <c r="G570">
        <v>80.069999999999993</v>
      </c>
      <c r="H570">
        <v>1</v>
      </c>
      <c r="I570" t="str">
        <f t="shared" si="8"/>
        <v>B2C</v>
      </c>
      <c r="J570" s="19">
        <f>CLIENT[[#This Row],[Duree_Cumulee_Panne_Min]]/1440</f>
        <v>0.19097222222222221</v>
      </c>
      <c r="K570" s="17">
        <f>CLIENT[[#This Row],[Anciennete_Mois]]/12</f>
        <v>2.25</v>
      </c>
      <c r="L5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70" s="18">
        <f>CLIENT[[#This Row],[Facture_Mensuelle]]*CLIENT[[#This Row],[Remise]]</f>
        <v>36.031500000000001</v>
      </c>
    </row>
    <row r="571" spans="1:13" x14ac:dyDescent="0.35">
      <c r="A571" s="1" t="s">
        <v>406</v>
      </c>
      <c r="B571" s="1" t="s">
        <v>434</v>
      </c>
      <c r="C571" s="1" t="s">
        <v>31</v>
      </c>
      <c r="D571">
        <v>56</v>
      </c>
      <c r="E571" s="1" t="s">
        <v>18</v>
      </c>
      <c r="F571" s="17">
        <v>114</v>
      </c>
      <c r="G571">
        <v>64.39</v>
      </c>
      <c r="H571">
        <v>1</v>
      </c>
      <c r="I571" t="str">
        <f t="shared" si="8"/>
        <v>B2C</v>
      </c>
      <c r="J571" s="19">
        <f>CLIENT[[#This Row],[Duree_Cumulee_Panne_Min]]/1440</f>
        <v>7.9166666666666663E-2</v>
      </c>
      <c r="K571" s="17">
        <f>CLIENT[[#This Row],[Anciennete_Mois]]/12</f>
        <v>4.666666666666667</v>
      </c>
      <c r="L5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1" s="18">
        <f>CLIENT[[#This Row],[Facture_Mensuelle]]*CLIENT[[#This Row],[Remise]]</f>
        <v>0</v>
      </c>
    </row>
    <row r="572" spans="1:13" x14ac:dyDescent="0.35">
      <c r="A572" s="1" t="s">
        <v>540</v>
      </c>
      <c r="B572" s="1" t="s">
        <v>541</v>
      </c>
      <c r="C572" s="1" t="s">
        <v>54</v>
      </c>
      <c r="D572">
        <v>51</v>
      </c>
      <c r="E572" s="1" t="s">
        <v>21</v>
      </c>
      <c r="F572" s="17">
        <v>152</v>
      </c>
      <c r="G572">
        <v>34.630000000000003</v>
      </c>
      <c r="H572">
        <v>2</v>
      </c>
      <c r="I572" t="str">
        <f t="shared" si="8"/>
        <v>B2C</v>
      </c>
      <c r="J572" s="19">
        <f>CLIENT[[#This Row],[Duree_Cumulee_Panne_Min]]/1440</f>
        <v>0.10555555555555556</v>
      </c>
      <c r="K572" s="17">
        <f>CLIENT[[#This Row],[Anciennete_Mois]]/12</f>
        <v>4.25</v>
      </c>
      <c r="L5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2" s="18">
        <f>CLIENT[[#This Row],[Facture_Mensuelle]]*CLIENT[[#This Row],[Remise]]</f>
        <v>0</v>
      </c>
    </row>
    <row r="573" spans="1:13" x14ac:dyDescent="0.35">
      <c r="A573" s="1" t="s">
        <v>174</v>
      </c>
      <c r="B573" s="1" t="s">
        <v>203</v>
      </c>
      <c r="C573" s="1" t="s">
        <v>15</v>
      </c>
      <c r="D573">
        <v>26</v>
      </c>
      <c r="E573" s="1" t="s">
        <v>18</v>
      </c>
      <c r="F573" s="17">
        <v>174</v>
      </c>
      <c r="G573">
        <v>90.53</v>
      </c>
      <c r="H573">
        <v>3</v>
      </c>
      <c r="I573" t="str">
        <f t="shared" si="8"/>
        <v>B2C</v>
      </c>
      <c r="J573" s="19">
        <f>CLIENT[[#This Row],[Duree_Cumulee_Panne_Min]]/1440</f>
        <v>0.12083333333333333</v>
      </c>
      <c r="K573" s="17">
        <f>CLIENT[[#This Row],[Anciennete_Mois]]/12</f>
        <v>2.1666666666666665</v>
      </c>
      <c r="L5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3" s="18">
        <f>CLIENT[[#This Row],[Facture_Mensuelle]]*CLIENT[[#This Row],[Remise]]</f>
        <v>0</v>
      </c>
    </row>
    <row r="574" spans="1:13" x14ac:dyDescent="0.35">
      <c r="A574" s="1" t="s">
        <v>129</v>
      </c>
      <c r="B574" s="1" t="s">
        <v>149</v>
      </c>
      <c r="C574" s="1" t="s">
        <v>57</v>
      </c>
      <c r="D574">
        <v>60</v>
      </c>
      <c r="E574" s="1" t="s">
        <v>18</v>
      </c>
      <c r="F574" s="17">
        <v>168</v>
      </c>
      <c r="G574">
        <v>67.650000000000006</v>
      </c>
      <c r="H574">
        <v>1</v>
      </c>
      <c r="I574" t="str">
        <f t="shared" si="8"/>
        <v>B2C</v>
      </c>
      <c r="J574" s="19">
        <f>CLIENT[[#This Row],[Duree_Cumulee_Panne_Min]]/1440</f>
        <v>0.11666666666666667</v>
      </c>
      <c r="K574" s="17">
        <f>CLIENT[[#This Row],[Anciennete_Mois]]/12</f>
        <v>5</v>
      </c>
      <c r="L5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4" s="18">
        <f>CLIENT[[#This Row],[Facture_Mensuelle]]*CLIENT[[#This Row],[Remise]]</f>
        <v>0</v>
      </c>
    </row>
    <row r="575" spans="1:13" x14ac:dyDescent="0.35">
      <c r="A575" s="1" t="s">
        <v>8</v>
      </c>
      <c r="B575" s="1" t="s">
        <v>77</v>
      </c>
      <c r="C575" s="1" t="s">
        <v>48</v>
      </c>
      <c r="D575">
        <v>47</v>
      </c>
      <c r="E575" s="1" t="s">
        <v>18</v>
      </c>
      <c r="F575" s="17">
        <v>199</v>
      </c>
      <c r="G575">
        <v>23.19</v>
      </c>
      <c r="H575">
        <v>2</v>
      </c>
      <c r="I575" t="str">
        <f t="shared" si="8"/>
        <v>B2C</v>
      </c>
      <c r="J575" s="19">
        <f>CLIENT[[#This Row],[Duree_Cumulee_Panne_Min]]/1440</f>
        <v>0.13819444444444445</v>
      </c>
      <c r="K575" s="17">
        <f>CLIENT[[#This Row],[Anciennete_Mois]]/12</f>
        <v>3.9166666666666665</v>
      </c>
      <c r="L5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5" s="18">
        <f>CLIENT[[#This Row],[Facture_Mensuelle]]*CLIENT[[#This Row],[Remise]]</f>
        <v>0</v>
      </c>
    </row>
    <row r="576" spans="1:13" x14ac:dyDescent="0.35">
      <c r="A576" s="1" t="s">
        <v>591</v>
      </c>
      <c r="B576" s="1" t="s">
        <v>619</v>
      </c>
      <c r="C576" s="1" t="s">
        <v>122</v>
      </c>
      <c r="D576">
        <v>7</v>
      </c>
      <c r="E576" s="1" t="s">
        <v>18</v>
      </c>
      <c r="F576" s="17">
        <v>257</v>
      </c>
      <c r="G576">
        <v>73.040000000000006</v>
      </c>
      <c r="H576">
        <v>3</v>
      </c>
      <c r="I576" t="str">
        <f t="shared" si="8"/>
        <v>B2B</v>
      </c>
      <c r="J576" s="19">
        <f>CLIENT[[#This Row],[Duree_Cumulee_Panne_Min]]/1440</f>
        <v>0.17847222222222223</v>
      </c>
      <c r="K576" s="17">
        <f>CLIENT[[#This Row],[Anciennete_Mois]]/12</f>
        <v>0.58333333333333337</v>
      </c>
      <c r="L5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76" s="18">
        <f>CLIENT[[#This Row],[Facture_Mensuelle]]*CLIENT[[#This Row],[Remise]]</f>
        <v>32.868000000000002</v>
      </c>
    </row>
    <row r="577" spans="1:13" x14ac:dyDescent="0.35">
      <c r="A577" s="1" t="s">
        <v>314</v>
      </c>
      <c r="B577" s="1" t="s">
        <v>336</v>
      </c>
      <c r="C577" s="1" t="s">
        <v>9</v>
      </c>
      <c r="D577">
        <v>59</v>
      </c>
      <c r="E577" s="1" t="s">
        <v>13</v>
      </c>
      <c r="F577" s="17">
        <v>369</v>
      </c>
      <c r="G577">
        <v>26.64</v>
      </c>
      <c r="H577">
        <v>4</v>
      </c>
      <c r="I577" t="str">
        <f t="shared" si="8"/>
        <v>B2C</v>
      </c>
      <c r="J577" s="19">
        <f>CLIENT[[#This Row],[Duree_Cumulee_Panne_Min]]/1440</f>
        <v>0.25624999999999998</v>
      </c>
      <c r="K577" s="17">
        <f>CLIENT[[#This Row],[Anciennete_Mois]]/12</f>
        <v>4.916666666666667</v>
      </c>
      <c r="L5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77" s="18">
        <f>CLIENT[[#This Row],[Facture_Mensuelle]]*CLIENT[[#This Row],[Remise]]</f>
        <v>11.988000000000001</v>
      </c>
    </row>
    <row r="578" spans="1:13" x14ac:dyDescent="0.35">
      <c r="A578" s="1" t="s">
        <v>591</v>
      </c>
      <c r="B578" s="1" t="s">
        <v>604</v>
      </c>
      <c r="C578" s="1" t="s">
        <v>59</v>
      </c>
      <c r="D578">
        <v>104</v>
      </c>
      <c r="E578" s="1" t="s">
        <v>18</v>
      </c>
      <c r="F578" s="17">
        <v>243</v>
      </c>
      <c r="G578">
        <v>65.819999999999993</v>
      </c>
      <c r="H578">
        <v>0</v>
      </c>
      <c r="I578" t="str">
        <f t="shared" ref="I578:I641" si="9">IF(E579="Pro Monde","B2B","B2C")</f>
        <v>B2C</v>
      </c>
      <c r="J578" s="19">
        <f>CLIENT[[#This Row],[Duree_Cumulee_Panne_Min]]/1440</f>
        <v>0.16875000000000001</v>
      </c>
      <c r="K578" s="17">
        <f>CLIENT[[#This Row],[Anciennete_Mois]]/12</f>
        <v>8.6666666666666661</v>
      </c>
      <c r="L5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78" s="18">
        <f>CLIENT[[#This Row],[Facture_Mensuelle]]*CLIENT[[#This Row],[Remise]]</f>
        <v>29.618999999999996</v>
      </c>
    </row>
    <row r="579" spans="1:13" x14ac:dyDescent="0.35">
      <c r="A579" s="1" t="s">
        <v>267</v>
      </c>
      <c r="B579" s="1" t="s">
        <v>296</v>
      </c>
      <c r="C579" s="1" t="s">
        <v>24</v>
      </c>
      <c r="D579">
        <v>48</v>
      </c>
      <c r="E579" s="1" t="s">
        <v>21</v>
      </c>
      <c r="F579" s="17">
        <v>15</v>
      </c>
      <c r="G579">
        <v>50.67</v>
      </c>
      <c r="H579">
        <v>1</v>
      </c>
      <c r="I579" t="str">
        <f t="shared" si="9"/>
        <v>B2C</v>
      </c>
      <c r="J579" s="19">
        <f>CLIENT[[#This Row],[Duree_Cumulee_Panne_Min]]/1440</f>
        <v>1.0416666666666666E-2</v>
      </c>
      <c r="K579" s="17">
        <f>CLIENT[[#This Row],[Anciennete_Mois]]/12</f>
        <v>4</v>
      </c>
      <c r="L5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79" s="18">
        <f>CLIENT[[#This Row],[Facture_Mensuelle]]*CLIENT[[#This Row],[Remise]]</f>
        <v>0</v>
      </c>
    </row>
    <row r="580" spans="1:13" x14ac:dyDescent="0.35">
      <c r="A580" s="1" t="s">
        <v>220</v>
      </c>
      <c r="B580" s="1" t="s">
        <v>252</v>
      </c>
      <c r="C580" s="1" t="s">
        <v>24</v>
      </c>
      <c r="D580">
        <v>71</v>
      </c>
      <c r="E580" s="1" t="s">
        <v>18</v>
      </c>
      <c r="F580" s="17">
        <v>364</v>
      </c>
      <c r="G580">
        <v>39.58</v>
      </c>
      <c r="H580">
        <v>1</v>
      </c>
      <c r="I580" t="str">
        <f t="shared" si="9"/>
        <v>B2C</v>
      </c>
      <c r="J580" s="19">
        <f>CLIENT[[#This Row],[Duree_Cumulee_Panne_Min]]/1440</f>
        <v>0.25277777777777777</v>
      </c>
      <c r="K580" s="17">
        <f>CLIENT[[#This Row],[Anciennete_Mois]]/12</f>
        <v>5.916666666666667</v>
      </c>
      <c r="L58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0" s="18">
        <f>CLIENT[[#This Row],[Facture_Mensuelle]]*CLIENT[[#This Row],[Remise]]</f>
        <v>17.811</v>
      </c>
    </row>
    <row r="581" spans="1:13" x14ac:dyDescent="0.35">
      <c r="A581" s="1" t="s">
        <v>314</v>
      </c>
      <c r="B581" s="1" t="s">
        <v>342</v>
      </c>
      <c r="C581" s="1" t="s">
        <v>48</v>
      </c>
      <c r="D581">
        <v>88</v>
      </c>
      <c r="E581" s="1" t="s">
        <v>21</v>
      </c>
      <c r="F581" s="17">
        <v>154</v>
      </c>
      <c r="G581">
        <v>62.62</v>
      </c>
      <c r="H581">
        <v>5</v>
      </c>
      <c r="I581" t="str">
        <f t="shared" si="9"/>
        <v>B2C</v>
      </c>
      <c r="J581" s="19">
        <f>CLIENT[[#This Row],[Duree_Cumulee_Panne_Min]]/1440</f>
        <v>0.10694444444444444</v>
      </c>
      <c r="K581" s="17">
        <f>CLIENT[[#This Row],[Anciennete_Mois]]/12</f>
        <v>7.333333333333333</v>
      </c>
      <c r="L58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81" s="18">
        <f>CLIENT[[#This Row],[Facture_Mensuelle]]*CLIENT[[#This Row],[Remise]]</f>
        <v>0</v>
      </c>
    </row>
    <row r="582" spans="1:13" x14ac:dyDescent="0.35">
      <c r="A582" s="1" t="s">
        <v>496</v>
      </c>
      <c r="B582" s="1" t="s">
        <v>515</v>
      </c>
      <c r="C582" s="1" t="s">
        <v>59</v>
      </c>
      <c r="D582">
        <v>119</v>
      </c>
      <c r="E582" s="1" t="s">
        <v>21</v>
      </c>
      <c r="F582" s="17">
        <v>231</v>
      </c>
      <c r="G582">
        <v>20.22</v>
      </c>
      <c r="H582">
        <v>2</v>
      </c>
      <c r="I582" t="str">
        <f t="shared" si="9"/>
        <v>B2B</v>
      </c>
      <c r="J582" s="19">
        <f>CLIENT[[#This Row],[Duree_Cumulee_Panne_Min]]/1440</f>
        <v>0.16041666666666668</v>
      </c>
      <c r="K582" s="17">
        <f>CLIENT[[#This Row],[Anciennete_Mois]]/12</f>
        <v>9.9166666666666661</v>
      </c>
      <c r="L58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82" s="18">
        <f>CLIENT[[#This Row],[Facture_Mensuelle]]*CLIENT[[#This Row],[Remise]]</f>
        <v>2.0219999999999998</v>
      </c>
    </row>
    <row r="583" spans="1:13" x14ac:dyDescent="0.35">
      <c r="A583" s="1" t="s">
        <v>267</v>
      </c>
      <c r="B583" s="1" t="s">
        <v>310</v>
      </c>
      <c r="C583" s="1" t="s">
        <v>24</v>
      </c>
      <c r="D583">
        <v>81</v>
      </c>
      <c r="E583" s="1" t="s">
        <v>13</v>
      </c>
      <c r="F583" s="17">
        <v>298</v>
      </c>
      <c r="G583">
        <v>53.61</v>
      </c>
      <c r="H583">
        <v>2</v>
      </c>
      <c r="I583" t="str">
        <f t="shared" si="9"/>
        <v>B2C</v>
      </c>
      <c r="J583" s="19">
        <f>CLIENT[[#This Row],[Duree_Cumulee_Panne_Min]]/1440</f>
        <v>0.20694444444444443</v>
      </c>
      <c r="K583" s="17">
        <f>CLIENT[[#This Row],[Anciennete_Mois]]/12</f>
        <v>6.75</v>
      </c>
      <c r="L58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3" s="18">
        <f>CLIENT[[#This Row],[Facture_Mensuelle]]*CLIENT[[#This Row],[Remise]]</f>
        <v>24.124500000000001</v>
      </c>
    </row>
    <row r="584" spans="1:13" x14ac:dyDescent="0.35">
      <c r="A584" s="1" t="s">
        <v>453</v>
      </c>
      <c r="B584" s="1" t="s">
        <v>464</v>
      </c>
      <c r="C584" s="1" t="s">
        <v>9</v>
      </c>
      <c r="D584">
        <v>45</v>
      </c>
      <c r="E584" s="1" t="s">
        <v>10</v>
      </c>
      <c r="F584" s="17">
        <v>244</v>
      </c>
      <c r="G584">
        <v>55.17</v>
      </c>
      <c r="H584">
        <v>2</v>
      </c>
      <c r="I584" t="str">
        <f t="shared" si="9"/>
        <v>B2C</v>
      </c>
      <c r="J584" s="19">
        <f>CLIENT[[#This Row],[Duree_Cumulee_Panne_Min]]/1440</f>
        <v>0.16944444444444445</v>
      </c>
      <c r="K584" s="17">
        <f>CLIENT[[#This Row],[Anciennete_Mois]]/12</f>
        <v>3.75</v>
      </c>
      <c r="L58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4" s="18">
        <f>CLIENT[[#This Row],[Facture_Mensuelle]]*CLIENT[[#This Row],[Remise]]</f>
        <v>24.826500000000003</v>
      </c>
    </row>
    <row r="585" spans="1:13" x14ac:dyDescent="0.35">
      <c r="A585" s="1" t="s">
        <v>8</v>
      </c>
      <c r="B585" s="1" t="s">
        <v>43</v>
      </c>
      <c r="C585" s="1" t="s">
        <v>31</v>
      </c>
      <c r="D585">
        <v>86</v>
      </c>
      <c r="E585" s="1" t="s">
        <v>10</v>
      </c>
      <c r="F585" s="17">
        <v>471</v>
      </c>
      <c r="G585">
        <v>33.380000000000003</v>
      </c>
      <c r="H585">
        <v>4</v>
      </c>
      <c r="I585" t="str">
        <f t="shared" si="9"/>
        <v>B2C</v>
      </c>
      <c r="J585" s="19">
        <f>CLIENT[[#This Row],[Duree_Cumulee_Panne_Min]]/1440</f>
        <v>0.32708333333333334</v>
      </c>
      <c r="K585" s="17">
        <f>CLIENT[[#This Row],[Anciennete_Mois]]/12</f>
        <v>7.166666666666667</v>
      </c>
      <c r="L58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5" s="18">
        <f>CLIENT[[#This Row],[Facture_Mensuelle]]*CLIENT[[#This Row],[Remise]]</f>
        <v>15.021000000000001</v>
      </c>
    </row>
    <row r="586" spans="1:13" x14ac:dyDescent="0.35">
      <c r="A586" s="1" t="s">
        <v>267</v>
      </c>
      <c r="B586" s="1" t="s">
        <v>286</v>
      </c>
      <c r="C586" s="1" t="s">
        <v>17</v>
      </c>
      <c r="D586">
        <v>33</v>
      </c>
      <c r="E586" s="1" t="s">
        <v>10</v>
      </c>
      <c r="F586" s="17">
        <v>444</v>
      </c>
      <c r="G586">
        <v>10.28</v>
      </c>
      <c r="H586">
        <v>5</v>
      </c>
      <c r="I586" t="str">
        <f t="shared" si="9"/>
        <v>B2B</v>
      </c>
      <c r="J586" s="19">
        <f>CLIENT[[#This Row],[Duree_Cumulee_Panne_Min]]/1440</f>
        <v>0.30833333333333335</v>
      </c>
      <c r="K586" s="17">
        <f>CLIENT[[#This Row],[Anciennete_Mois]]/12</f>
        <v>2.75</v>
      </c>
      <c r="L58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6" s="18">
        <f>CLIENT[[#This Row],[Facture_Mensuelle]]*CLIENT[[#This Row],[Remise]]</f>
        <v>4.6259999999999994</v>
      </c>
    </row>
    <row r="587" spans="1:13" x14ac:dyDescent="0.35">
      <c r="A587" s="1" t="s">
        <v>129</v>
      </c>
      <c r="B587" s="1" t="s">
        <v>170</v>
      </c>
      <c r="C587" s="1" t="s">
        <v>31</v>
      </c>
      <c r="D587">
        <v>104</v>
      </c>
      <c r="E587" s="1" t="s">
        <v>13</v>
      </c>
      <c r="F587" s="17">
        <v>317</v>
      </c>
      <c r="G587">
        <v>79.150000000000006</v>
      </c>
      <c r="H587">
        <v>1</v>
      </c>
      <c r="I587" t="str">
        <f t="shared" si="9"/>
        <v>B2B</v>
      </c>
      <c r="J587" s="19">
        <f>CLIENT[[#This Row],[Duree_Cumulee_Panne_Min]]/1440</f>
        <v>0.22013888888888888</v>
      </c>
      <c r="K587" s="17">
        <f>CLIENT[[#This Row],[Anciennete_Mois]]/12</f>
        <v>8.6666666666666661</v>
      </c>
      <c r="L58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7" s="18">
        <f>CLIENT[[#This Row],[Facture_Mensuelle]]*CLIENT[[#This Row],[Remise]]</f>
        <v>35.617500000000007</v>
      </c>
    </row>
    <row r="588" spans="1:13" x14ac:dyDescent="0.35">
      <c r="A588" s="1" t="s">
        <v>591</v>
      </c>
      <c r="B588" s="1" t="s">
        <v>629</v>
      </c>
      <c r="C588" s="1" t="s">
        <v>118</v>
      </c>
      <c r="D588">
        <v>90</v>
      </c>
      <c r="E588" s="1" t="s">
        <v>13</v>
      </c>
      <c r="F588" s="17">
        <v>195</v>
      </c>
      <c r="G588">
        <v>52.71</v>
      </c>
      <c r="H588">
        <v>2</v>
      </c>
      <c r="I588" t="str">
        <f t="shared" si="9"/>
        <v>B2C</v>
      </c>
      <c r="J588" s="19">
        <f>CLIENT[[#This Row],[Duree_Cumulee_Panne_Min]]/1440</f>
        <v>0.13541666666666666</v>
      </c>
      <c r="K588" s="17">
        <f>CLIENT[[#This Row],[Anciennete_Mois]]/12</f>
        <v>7.5</v>
      </c>
      <c r="L58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88" s="18">
        <f>CLIENT[[#This Row],[Facture_Mensuelle]]*CLIENT[[#This Row],[Remise]]</f>
        <v>0</v>
      </c>
    </row>
    <row r="589" spans="1:13" x14ac:dyDescent="0.35">
      <c r="A589" s="1" t="s">
        <v>8</v>
      </c>
      <c r="B589" s="1" t="s">
        <v>52</v>
      </c>
      <c r="C589" s="1" t="s">
        <v>33</v>
      </c>
      <c r="D589">
        <v>108</v>
      </c>
      <c r="E589" s="1" t="s">
        <v>21</v>
      </c>
      <c r="F589" s="17">
        <v>278</v>
      </c>
      <c r="G589">
        <v>40.51</v>
      </c>
      <c r="H589">
        <v>3</v>
      </c>
      <c r="I589" t="str">
        <f t="shared" si="9"/>
        <v>B2C</v>
      </c>
      <c r="J589" s="19">
        <f>CLIENT[[#This Row],[Duree_Cumulee_Panne_Min]]/1440</f>
        <v>0.19305555555555556</v>
      </c>
      <c r="K589" s="17">
        <f>CLIENT[[#This Row],[Anciennete_Mois]]/12</f>
        <v>9</v>
      </c>
      <c r="L58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89" s="18">
        <f>CLIENT[[#This Row],[Facture_Mensuelle]]*CLIENT[[#This Row],[Remise]]</f>
        <v>18.229499999999998</v>
      </c>
    </row>
    <row r="590" spans="1:13" x14ac:dyDescent="0.35">
      <c r="A590" s="1" t="s">
        <v>685</v>
      </c>
      <c r="B590" s="1" t="s">
        <v>697</v>
      </c>
      <c r="C590" s="1" t="s">
        <v>68</v>
      </c>
      <c r="D590">
        <v>57</v>
      </c>
      <c r="E590" s="1" t="s">
        <v>21</v>
      </c>
      <c r="F590" s="17">
        <v>375</v>
      </c>
      <c r="G590">
        <v>64.73</v>
      </c>
      <c r="H590">
        <v>1</v>
      </c>
      <c r="I590" t="str">
        <f t="shared" si="9"/>
        <v>B2B</v>
      </c>
      <c r="J590" s="19">
        <f>CLIENT[[#This Row],[Duree_Cumulee_Panne_Min]]/1440</f>
        <v>0.26041666666666669</v>
      </c>
      <c r="K590" s="17">
        <f>CLIENT[[#This Row],[Anciennete_Mois]]/12</f>
        <v>4.75</v>
      </c>
      <c r="L59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0" s="18">
        <f>CLIENT[[#This Row],[Facture_Mensuelle]]*CLIENT[[#This Row],[Remise]]</f>
        <v>29.128500000000003</v>
      </c>
    </row>
    <row r="591" spans="1:13" x14ac:dyDescent="0.35">
      <c r="A591" s="1" t="s">
        <v>79</v>
      </c>
      <c r="B591" s="1" t="s">
        <v>123</v>
      </c>
      <c r="C591" s="1" t="s">
        <v>17</v>
      </c>
      <c r="D591">
        <v>72</v>
      </c>
      <c r="E591" s="1" t="s">
        <v>13</v>
      </c>
      <c r="F591" s="17">
        <v>333</v>
      </c>
      <c r="G591">
        <v>34.57</v>
      </c>
      <c r="H591">
        <v>2</v>
      </c>
      <c r="I591" t="str">
        <f t="shared" si="9"/>
        <v>B2C</v>
      </c>
      <c r="J591" s="19">
        <f>CLIENT[[#This Row],[Duree_Cumulee_Panne_Min]]/1440</f>
        <v>0.23125000000000001</v>
      </c>
      <c r="K591" s="17">
        <f>CLIENT[[#This Row],[Anciennete_Mois]]/12</f>
        <v>6</v>
      </c>
      <c r="L59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1" s="18">
        <f>CLIENT[[#This Row],[Facture_Mensuelle]]*CLIENT[[#This Row],[Remise]]</f>
        <v>15.5565</v>
      </c>
    </row>
    <row r="592" spans="1:13" x14ac:dyDescent="0.35">
      <c r="A592" s="1" t="s">
        <v>267</v>
      </c>
      <c r="B592" s="1" t="s">
        <v>311</v>
      </c>
      <c r="C592" s="1" t="s">
        <v>122</v>
      </c>
      <c r="D592">
        <v>91</v>
      </c>
      <c r="E592" s="1" t="s">
        <v>21</v>
      </c>
      <c r="F592" s="17">
        <v>404</v>
      </c>
      <c r="G592">
        <v>76.53</v>
      </c>
      <c r="H592">
        <v>5</v>
      </c>
      <c r="I592" t="str">
        <f t="shared" si="9"/>
        <v>B2C</v>
      </c>
      <c r="J592" s="19">
        <f>CLIENT[[#This Row],[Duree_Cumulee_Panne_Min]]/1440</f>
        <v>0.28055555555555556</v>
      </c>
      <c r="K592" s="17">
        <f>CLIENT[[#This Row],[Anciennete_Mois]]/12</f>
        <v>7.583333333333333</v>
      </c>
      <c r="L59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2" s="18">
        <f>CLIENT[[#This Row],[Facture_Mensuelle]]*CLIENT[[#This Row],[Remise]]</f>
        <v>34.438500000000005</v>
      </c>
    </row>
    <row r="593" spans="1:13" x14ac:dyDescent="0.35">
      <c r="A593" s="1" t="s">
        <v>174</v>
      </c>
      <c r="B593" s="1" t="s">
        <v>196</v>
      </c>
      <c r="C593" s="1" t="s">
        <v>31</v>
      </c>
      <c r="D593">
        <v>118</v>
      </c>
      <c r="E593" s="1" t="s">
        <v>18</v>
      </c>
      <c r="F593" s="17">
        <v>300</v>
      </c>
      <c r="G593">
        <v>98.22</v>
      </c>
      <c r="H593">
        <v>4</v>
      </c>
      <c r="I593" t="str">
        <f t="shared" si="9"/>
        <v>B2C</v>
      </c>
      <c r="J593" s="19">
        <f>CLIENT[[#This Row],[Duree_Cumulee_Panne_Min]]/1440</f>
        <v>0.20833333333333334</v>
      </c>
      <c r="K593" s="17">
        <f>CLIENT[[#This Row],[Anciennete_Mois]]/12</f>
        <v>9.8333333333333339</v>
      </c>
      <c r="L59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3" s="18">
        <f>CLIENT[[#This Row],[Facture_Mensuelle]]*CLIENT[[#This Row],[Remise]]</f>
        <v>44.198999999999998</v>
      </c>
    </row>
    <row r="594" spans="1:13" x14ac:dyDescent="0.35">
      <c r="A594" s="1" t="s">
        <v>591</v>
      </c>
      <c r="B594" s="1" t="s">
        <v>612</v>
      </c>
      <c r="C594" s="1" t="s">
        <v>9</v>
      </c>
      <c r="D594">
        <v>112</v>
      </c>
      <c r="E594" s="1" t="s">
        <v>21</v>
      </c>
      <c r="F594" s="17">
        <v>281</v>
      </c>
      <c r="G594">
        <v>80.72</v>
      </c>
      <c r="H594">
        <v>2</v>
      </c>
      <c r="I594" t="str">
        <f t="shared" si="9"/>
        <v>B2B</v>
      </c>
      <c r="J594" s="19">
        <f>CLIENT[[#This Row],[Duree_Cumulee_Panne_Min]]/1440</f>
        <v>0.19513888888888889</v>
      </c>
      <c r="K594" s="17">
        <f>CLIENT[[#This Row],[Anciennete_Mois]]/12</f>
        <v>9.3333333333333339</v>
      </c>
      <c r="L59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4" s="18">
        <f>CLIENT[[#This Row],[Facture_Mensuelle]]*CLIENT[[#This Row],[Remise]]</f>
        <v>36.323999999999998</v>
      </c>
    </row>
    <row r="595" spans="1:13" x14ac:dyDescent="0.35">
      <c r="A595" s="1" t="s">
        <v>453</v>
      </c>
      <c r="B595" s="1" t="s">
        <v>487</v>
      </c>
      <c r="C595" s="1" t="s">
        <v>72</v>
      </c>
      <c r="D595">
        <v>93</v>
      </c>
      <c r="E595" s="1" t="s">
        <v>13</v>
      </c>
      <c r="F595" s="17">
        <v>153</v>
      </c>
      <c r="G595">
        <v>86.19</v>
      </c>
      <c r="H595">
        <v>0</v>
      </c>
      <c r="I595" t="str">
        <f t="shared" si="9"/>
        <v>B2C</v>
      </c>
      <c r="J595" s="19">
        <f>CLIENT[[#This Row],[Duree_Cumulee_Panne_Min]]/1440</f>
        <v>0.10625</v>
      </c>
      <c r="K595" s="17">
        <f>CLIENT[[#This Row],[Anciennete_Mois]]/12</f>
        <v>7.75</v>
      </c>
      <c r="L59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95" s="18">
        <f>CLIENT[[#This Row],[Facture_Mensuelle]]*CLIENT[[#This Row],[Remise]]</f>
        <v>0</v>
      </c>
    </row>
    <row r="596" spans="1:13" x14ac:dyDescent="0.35">
      <c r="A596" s="1" t="s">
        <v>496</v>
      </c>
      <c r="B596" s="1" t="s">
        <v>536</v>
      </c>
      <c r="C596" s="1" t="s">
        <v>23</v>
      </c>
      <c r="D596">
        <v>48</v>
      </c>
      <c r="E596" s="1" t="s">
        <v>18</v>
      </c>
      <c r="F596" s="17">
        <v>482</v>
      </c>
      <c r="G596">
        <v>83.24</v>
      </c>
      <c r="H596">
        <v>0</v>
      </c>
      <c r="I596" t="str">
        <f t="shared" si="9"/>
        <v>B2B</v>
      </c>
      <c r="J596" s="19">
        <f>CLIENT[[#This Row],[Duree_Cumulee_Panne_Min]]/1440</f>
        <v>0.3347222222222222</v>
      </c>
      <c r="K596" s="17">
        <f>CLIENT[[#This Row],[Anciennete_Mois]]/12</f>
        <v>4</v>
      </c>
      <c r="L59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6" s="18">
        <f>CLIENT[[#This Row],[Facture_Mensuelle]]*CLIENT[[#This Row],[Remise]]</f>
        <v>37.457999999999998</v>
      </c>
    </row>
    <row r="597" spans="1:13" x14ac:dyDescent="0.35">
      <c r="A597" s="1" t="s">
        <v>360</v>
      </c>
      <c r="B597" s="1" t="s">
        <v>398</v>
      </c>
      <c r="C597" s="1" t="s">
        <v>57</v>
      </c>
      <c r="D597">
        <v>22</v>
      </c>
      <c r="E597" s="1" t="s">
        <v>13</v>
      </c>
      <c r="F597" s="17">
        <v>127</v>
      </c>
      <c r="G597">
        <v>49.06</v>
      </c>
      <c r="H597">
        <v>2</v>
      </c>
      <c r="I597" t="str">
        <f t="shared" si="9"/>
        <v>B2B</v>
      </c>
      <c r="J597" s="19">
        <f>CLIENT[[#This Row],[Duree_Cumulee_Panne_Min]]/1440</f>
        <v>8.819444444444445E-2</v>
      </c>
      <c r="K597" s="17">
        <f>CLIENT[[#This Row],[Anciennete_Mois]]/12</f>
        <v>1.8333333333333333</v>
      </c>
      <c r="L59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597" s="18">
        <f>CLIENT[[#This Row],[Facture_Mensuelle]]*CLIENT[[#This Row],[Remise]]</f>
        <v>4.9060000000000006</v>
      </c>
    </row>
    <row r="598" spans="1:13" x14ac:dyDescent="0.35">
      <c r="A598" s="1" t="s">
        <v>220</v>
      </c>
      <c r="B598" s="1" t="s">
        <v>229</v>
      </c>
      <c r="C598" s="1" t="s">
        <v>29</v>
      </c>
      <c r="D598">
        <v>87</v>
      </c>
      <c r="E598" s="1" t="s">
        <v>13</v>
      </c>
      <c r="F598" s="17">
        <v>205</v>
      </c>
      <c r="G598">
        <v>40.159999999999997</v>
      </c>
      <c r="H598">
        <v>5</v>
      </c>
      <c r="I598" t="str">
        <f t="shared" si="9"/>
        <v>B2C</v>
      </c>
      <c r="J598" s="19">
        <f>CLIENT[[#This Row],[Duree_Cumulee_Panne_Min]]/1440</f>
        <v>0.1423611111111111</v>
      </c>
      <c r="K598" s="17">
        <f>CLIENT[[#This Row],[Anciennete_Mois]]/12</f>
        <v>7.25</v>
      </c>
      <c r="L59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598" s="18">
        <f>CLIENT[[#This Row],[Facture_Mensuelle]]*CLIENT[[#This Row],[Remise]]</f>
        <v>0</v>
      </c>
    </row>
    <row r="599" spans="1:13" x14ac:dyDescent="0.35">
      <c r="A599" s="1" t="s">
        <v>174</v>
      </c>
      <c r="B599" s="1" t="s">
        <v>207</v>
      </c>
      <c r="C599" s="1" t="s">
        <v>68</v>
      </c>
      <c r="D599">
        <v>51</v>
      </c>
      <c r="E599" s="1" t="s">
        <v>21</v>
      </c>
      <c r="F599" s="17">
        <v>433</v>
      </c>
      <c r="G599">
        <v>12.89</v>
      </c>
      <c r="H599">
        <v>1</v>
      </c>
      <c r="I599" t="str">
        <f t="shared" si="9"/>
        <v>B2C</v>
      </c>
      <c r="J599" s="19">
        <f>CLIENT[[#This Row],[Duree_Cumulee_Panne_Min]]/1440</f>
        <v>0.30069444444444443</v>
      </c>
      <c r="K599" s="17">
        <f>CLIENT[[#This Row],[Anciennete_Mois]]/12</f>
        <v>4.25</v>
      </c>
      <c r="L59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599" s="18">
        <f>CLIENT[[#This Row],[Facture_Mensuelle]]*CLIENT[[#This Row],[Remise]]</f>
        <v>5.8005000000000004</v>
      </c>
    </row>
    <row r="600" spans="1:13" x14ac:dyDescent="0.35">
      <c r="A600" s="1" t="s">
        <v>129</v>
      </c>
      <c r="B600" s="1" t="s">
        <v>137</v>
      </c>
      <c r="C600" s="1" t="s">
        <v>35</v>
      </c>
      <c r="D600">
        <v>55</v>
      </c>
      <c r="E600" s="1" t="s">
        <v>18</v>
      </c>
      <c r="F600" s="17">
        <v>407</v>
      </c>
      <c r="G600">
        <v>23.11</v>
      </c>
      <c r="H600">
        <v>0</v>
      </c>
      <c r="I600" t="str">
        <f t="shared" si="9"/>
        <v>B2B</v>
      </c>
      <c r="J600" s="19">
        <f>CLIENT[[#This Row],[Duree_Cumulee_Panne_Min]]/1440</f>
        <v>0.28263888888888888</v>
      </c>
      <c r="K600" s="17">
        <f>CLIENT[[#This Row],[Anciennete_Mois]]/12</f>
        <v>4.583333333333333</v>
      </c>
      <c r="L60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0" s="18">
        <f>CLIENT[[#This Row],[Facture_Mensuelle]]*CLIENT[[#This Row],[Remise]]</f>
        <v>10.3995</v>
      </c>
    </row>
    <row r="601" spans="1:13" x14ac:dyDescent="0.35">
      <c r="A601" s="1" t="s">
        <v>496</v>
      </c>
      <c r="B601" s="1" t="s">
        <v>507</v>
      </c>
      <c r="C601" s="1" t="s">
        <v>72</v>
      </c>
      <c r="D601">
        <v>99</v>
      </c>
      <c r="E601" s="1" t="s">
        <v>13</v>
      </c>
      <c r="F601" s="17">
        <v>42</v>
      </c>
      <c r="G601">
        <v>98.77</v>
      </c>
      <c r="H601">
        <v>3</v>
      </c>
      <c r="I601" t="str">
        <f t="shared" si="9"/>
        <v>B2C</v>
      </c>
      <c r="J601" s="19">
        <f>CLIENT[[#This Row],[Duree_Cumulee_Panne_Min]]/1440</f>
        <v>2.9166666666666667E-2</v>
      </c>
      <c r="K601" s="17">
        <f>CLIENT[[#This Row],[Anciennete_Mois]]/12</f>
        <v>8.25</v>
      </c>
      <c r="L60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01" s="18">
        <f>CLIENT[[#This Row],[Facture_Mensuelle]]*CLIENT[[#This Row],[Remise]]</f>
        <v>0</v>
      </c>
    </row>
    <row r="602" spans="1:13" x14ac:dyDescent="0.35">
      <c r="A602" s="1" t="s">
        <v>79</v>
      </c>
      <c r="B602" s="1" t="s">
        <v>96</v>
      </c>
      <c r="C602" s="1" t="s">
        <v>41</v>
      </c>
      <c r="D602">
        <v>50</v>
      </c>
      <c r="E602" s="1" t="s">
        <v>18</v>
      </c>
      <c r="F602" s="17">
        <v>258</v>
      </c>
      <c r="G602">
        <v>25.06</v>
      </c>
      <c r="H602">
        <v>4</v>
      </c>
      <c r="I602" t="str">
        <f t="shared" si="9"/>
        <v>B2C</v>
      </c>
      <c r="J602" s="19">
        <f>CLIENT[[#This Row],[Duree_Cumulee_Panne_Min]]/1440</f>
        <v>0.17916666666666667</v>
      </c>
      <c r="K602" s="17">
        <f>CLIENT[[#This Row],[Anciennete_Mois]]/12</f>
        <v>4.166666666666667</v>
      </c>
      <c r="L60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2" s="18">
        <f>CLIENT[[#This Row],[Facture_Mensuelle]]*CLIENT[[#This Row],[Remise]]</f>
        <v>11.276999999999999</v>
      </c>
    </row>
    <row r="603" spans="1:13" x14ac:dyDescent="0.35">
      <c r="A603" s="1" t="s">
        <v>8</v>
      </c>
      <c r="B603" s="1" t="s">
        <v>70</v>
      </c>
      <c r="C603" s="1" t="s">
        <v>37</v>
      </c>
      <c r="D603">
        <v>22</v>
      </c>
      <c r="E603" s="1" t="s">
        <v>21</v>
      </c>
      <c r="F603" s="17">
        <v>451</v>
      </c>
      <c r="G603">
        <v>76.38</v>
      </c>
      <c r="H603">
        <v>3</v>
      </c>
      <c r="I603" t="str">
        <f t="shared" si="9"/>
        <v>B2B</v>
      </c>
      <c r="J603" s="19">
        <f>CLIENT[[#This Row],[Duree_Cumulee_Panne_Min]]/1440</f>
        <v>0.31319444444444444</v>
      </c>
      <c r="K603" s="17">
        <f>CLIENT[[#This Row],[Anciennete_Mois]]/12</f>
        <v>1.8333333333333333</v>
      </c>
      <c r="L60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3" s="18">
        <f>CLIENT[[#This Row],[Facture_Mensuelle]]*CLIENT[[#This Row],[Remise]]</f>
        <v>34.371000000000002</v>
      </c>
    </row>
    <row r="604" spans="1:13" x14ac:dyDescent="0.35">
      <c r="A604" s="1" t="s">
        <v>540</v>
      </c>
      <c r="B604" s="1" t="s">
        <v>544</v>
      </c>
      <c r="C604" s="1" t="s">
        <v>57</v>
      </c>
      <c r="D604">
        <v>83</v>
      </c>
      <c r="E604" s="1" t="s">
        <v>13</v>
      </c>
      <c r="F604" s="17">
        <v>91</v>
      </c>
      <c r="G604">
        <v>73.73</v>
      </c>
      <c r="H604">
        <v>2</v>
      </c>
      <c r="I604" t="str">
        <f t="shared" si="9"/>
        <v>B2C</v>
      </c>
      <c r="J604" s="19">
        <f>CLIENT[[#This Row],[Duree_Cumulee_Panne_Min]]/1440</f>
        <v>6.3194444444444442E-2</v>
      </c>
      <c r="K604" s="17">
        <f>CLIENT[[#This Row],[Anciennete_Mois]]/12</f>
        <v>6.916666666666667</v>
      </c>
      <c r="L60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04" s="18">
        <f>CLIENT[[#This Row],[Facture_Mensuelle]]*CLIENT[[#This Row],[Remise]]</f>
        <v>0</v>
      </c>
    </row>
    <row r="605" spans="1:13" x14ac:dyDescent="0.35">
      <c r="A605" s="1" t="s">
        <v>360</v>
      </c>
      <c r="B605" s="1" t="s">
        <v>365</v>
      </c>
      <c r="C605" s="1" t="s">
        <v>118</v>
      </c>
      <c r="D605">
        <v>35</v>
      </c>
      <c r="E605" s="1" t="s">
        <v>21</v>
      </c>
      <c r="F605" s="17">
        <v>421</v>
      </c>
      <c r="G605">
        <v>29.57</v>
      </c>
      <c r="H605">
        <v>5</v>
      </c>
      <c r="I605" t="str">
        <f t="shared" si="9"/>
        <v>B2C</v>
      </c>
      <c r="J605" s="19">
        <f>CLIENT[[#This Row],[Duree_Cumulee_Panne_Min]]/1440</f>
        <v>0.29236111111111113</v>
      </c>
      <c r="K605" s="17">
        <f>CLIENT[[#This Row],[Anciennete_Mois]]/12</f>
        <v>2.9166666666666665</v>
      </c>
      <c r="L60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5" s="18">
        <f>CLIENT[[#This Row],[Facture_Mensuelle]]*CLIENT[[#This Row],[Remise]]</f>
        <v>13.3065</v>
      </c>
    </row>
    <row r="606" spans="1:13" x14ac:dyDescent="0.35">
      <c r="A606" s="1" t="s">
        <v>540</v>
      </c>
      <c r="B606" s="1" t="s">
        <v>590</v>
      </c>
      <c r="C606" s="1" t="s">
        <v>57</v>
      </c>
      <c r="D606">
        <v>99</v>
      </c>
      <c r="E606" s="1" t="s">
        <v>21</v>
      </c>
      <c r="F606" s="17">
        <v>137</v>
      </c>
      <c r="G606">
        <v>23.05</v>
      </c>
      <c r="H606">
        <v>4</v>
      </c>
      <c r="I606" t="str">
        <f t="shared" si="9"/>
        <v>B2B</v>
      </c>
      <c r="J606" s="19">
        <f>CLIENT[[#This Row],[Duree_Cumulee_Panne_Min]]/1440</f>
        <v>9.5138888888888884E-2</v>
      </c>
      <c r="K606" s="17">
        <f>CLIENT[[#This Row],[Anciennete_Mois]]/12</f>
        <v>8.25</v>
      </c>
      <c r="L60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06" s="18">
        <f>CLIENT[[#This Row],[Facture_Mensuelle]]*CLIENT[[#This Row],[Remise]]</f>
        <v>2.3050000000000002</v>
      </c>
    </row>
    <row r="607" spans="1:13" x14ac:dyDescent="0.35">
      <c r="A607" s="1" t="s">
        <v>406</v>
      </c>
      <c r="B607" s="1" t="s">
        <v>418</v>
      </c>
      <c r="C607" s="1" t="s">
        <v>35</v>
      </c>
      <c r="D607">
        <v>115</v>
      </c>
      <c r="E607" s="1" t="s">
        <v>13</v>
      </c>
      <c r="F607" s="17">
        <v>262</v>
      </c>
      <c r="G607">
        <v>66.34</v>
      </c>
      <c r="H607">
        <v>3</v>
      </c>
      <c r="I607" t="str">
        <f t="shared" si="9"/>
        <v>B2C</v>
      </c>
      <c r="J607" s="19">
        <f>CLIENT[[#This Row],[Duree_Cumulee_Panne_Min]]/1440</f>
        <v>0.18194444444444444</v>
      </c>
      <c r="K607" s="17">
        <f>CLIENT[[#This Row],[Anciennete_Mois]]/12</f>
        <v>9.5833333333333339</v>
      </c>
      <c r="L60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7" s="18">
        <f>CLIENT[[#This Row],[Facture_Mensuelle]]*CLIENT[[#This Row],[Remise]]</f>
        <v>29.853000000000002</v>
      </c>
    </row>
    <row r="608" spans="1:13" x14ac:dyDescent="0.35">
      <c r="A608" s="1" t="s">
        <v>360</v>
      </c>
      <c r="B608" s="1" t="s">
        <v>367</v>
      </c>
      <c r="C608" s="1" t="s">
        <v>62</v>
      </c>
      <c r="D608">
        <v>112</v>
      </c>
      <c r="E608" s="1" t="s">
        <v>21</v>
      </c>
      <c r="F608" s="17">
        <v>483</v>
      </c>
      <c r="G608">
        <v>93.98</v>
      </c>
      <c r="H608">
        <v>0</v>
      </c>
      <c r="I608" t="str">
        <f t="shared" si="9"/>
        <v>B2C</v>
      </c>
      <c r="J608" s="19">
        <f>CLIENT[[#This Row],[Duree_Cumulee_Panne_Min]]/1440</f>
        <v>0.33541666666666664</v>
      </c>
      <c r="K608" s="17">
        <f>CLIENT[[#This Row],[Anciennete_Mois]]/12</f>
        <v>9.3333333333333339</v>
      </c>
      <c r="L60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08" s="18">
        <f>CLIENT[[#This Row],[Facture_Mensuelle]]*CLIENT[[#This Row],[Remise]]</f>
        <v>42.291000000000004</v>
      </c>
    </row>
    <row r="609" spans="1:13" x14ac:dyDescent="0.35">
      <c r="A609" s="1" t="s">
        <v>406</v>
      </c>
      <c r="B609" s="1" t="s">
        <v>419</v>
      </c>
      <c r="C609" s="1" t="s">
        <v>17</v>
      </c>
      <c r="D609">
        <v>7</v>
      </c>
      <c r="E609" s="1" t="s">
        <v>18</v>
      </c>
      <c r="F609" s="17">
        <v>233</v>
      </c>
      <c r="G609">
        <v>10.94</v>
      </c>
      <c r="H609">
        <v>0</v>
      </c>
      <c r="I609" t="str">
        <f t="shared" si="9"/>
        <v>B2B</v>
      </c>
      <c r="J609" s="19">
        <f>CLIENT[[#This Row],[Duree_Cumulee_Panne_Min]]/1440</f>
        <v>0.16180555555555556</v>
      </c>
      <c r="K609" s="17">
        <f>CLIENT[[#This Row],[Anciennete_Mois]]/12</f>
        <v>0.58333333333333337</v>
      </c>
      <c r="L60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09" s="18">
        <f>CLIENT[[#This Row],[Facture_Mensuelle]]*CLIENT[[#This Row],[Remise]]</f>
        <v>1.0940000000000001</v>
      </c>
    </row>
    <row r="610" spans="1:13" x14ac:dyDescent="0.35">
      <c r="A610" s="1" t="s">
        <v>174</v>
      </c>
      <c r="B610" s="1" t="s">
        <v>183</v>
      </c>
      <c r="C610" s="1" t="s">
        <v>57</v>
      </c>
      <c r="D610">
        <v>42</v>
      </c>
      <c r="E610" s="1" t="s">
        <v>13</v>
      </c>
      <c r="F610" s="17">
        <v>389</v>
      </c>
      <c r="G610">
        <v>80.08</v>
      </c>
      <c r="H610">
        <v>1</v>
      </c>
      <c r="I610" t="str">
        <f t="shared" si="9"/>
        <v>B2C</v>
      </c>
      <c r="J610" s="19">
        <f>CLIENT[[#This Row],[Duree_Cumulee_Panne_Min]]/1440</f>
        <v>0.27013888888888887</v>
      </c>
      <c r="K610" s="17">
        <f>CLIENT[[#This Row],[Anciennete_Mois]]/12</f>
        <v>3.5</v>
      </c>
      <c r="L61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0" s="18">
        <f>CLIENT[[#This Row],[Facture_Mensuelle]]*CLIENT[[#This Row],[Remise]]</f>
        <v>36.036000000000001</v>
      </c>
    </row>
    <row r="611" spans="1:13" x14ac:dyDescent="0.35">
      <c r="A611" s="1" t="s">
        <v>685</v>
      </c>
      <c r="B611" s="1" t="s">
        <v>724</v>
      </c>
      <c r="C611" s="1" t="s">
        <v>23</v>
      </c>
      <c r="D611">
        <v>104</v>
      </c>
      <c r="E611" s="1" t="s">
        <v>18</v>
      </c>
      <c r="F611" s="17">
        <v>245</v>
      </c>
      <c r="G611">
        <v>38.270000000000003</v>
      </c>
      <c r="H611">
        <v>0</v>
      </c>
      <c r="I611" t="str">
        <f t="shared" si="9"/>
        <v>B2B</v>
      </c>
      <c r="J611" s="19">
        <f>CLIENT[[#This Row],[Duree_Cumulee_Panne_Min]]/1440</f>
        <v>0.1701388888888889</v>
      </c>
      <c r="K611" s="17">
        <f>CLIENT[[#This Row],[Anciennete_Mois]]/12</f>
        <v>8.6666666666666661</v>
      </c>
      <c r="L61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1" s="18">
        <f>CLIENT[[#This Row],[Facture_Mensuelle]]*CLIENT[[#This Row],[Remise]]</f>
        <v>17.221500000000002</v>
      </c>
    </row>
    <row r="612" spans="1:13" x14ac:dyDescent="0.35">
      <c r="A612" s="1" t="s">
        <v>685</v>
      </c>
      <c r="B612" s="1" t="s">
        <v>704</v>
      </c>
      <c r="C612" s="1" t="s">
        <v>83</v>
      </c>
      <c r="D612">
        <v>23</v>
      </c>
      <c r="E612" s="1" t="s">
        <v>13</v>
      </c>
      <c r="F612" s="17">
        <v>120</v>
      </c>
      <c r="G612">
        <v>73.12</v>
      </c>
      <c r="H612">
        <v>1</v>
      </c>
      <c r="I612" t="str">
        <f t="shared" si="9"/>
        <v>B2C</v>
      </c>
      <c r="J612" s="19">
        <f>CLIENT[[#This Row],[Duree_Cumulee_Panne_Min]]/1440</f>
        <v>8.3333333333333329E-2</v>
      </c>
      <c r="K612" s="17">
        <f>CLIENT[[#This Row],[Anciennete_Mois]]/12</f>
        <v>1.9166666666666667</v>
      </c>
      <c r="L61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12" s="18">
        <f>CLIENT[[#This Row],[Facture_Mensuelle]]*CLIENT[[#This Row],[Remise]]</f>
        <v>0</v>
      </c>
    </row>
    <row r="613" spans="1:13" x14ac:dyDescent="0.35">
      <c r="A613" s="1" t="s">
        <v>314</v>
      </c>
      <c r="B613" s="1" t="s">
        <v>315</v>
      </c>
      <c r="C613" s="1" t="s">
        <v>15</v>
      </c>
      <c r="D613">
        <v>76</v>
      </c>
      <c r="E613" s="1" t="s">
        <v>18</v>
      </c>
      <c r="F613" s="17">
        <v>192</v>
      </c>
      <c r="G613">
        <v>68.53</v>
      </c>
      <c r="H613">
        <v>0</v>
      </c>
      <c r="I613" t="str">
        <f t="shared" si="9"/>
        <v>B2B</v>
      </c>
      <c r="J613" s="19">
        <f>CLIENT[[#This Row],[Duree_Cumulee_Panne_Min]]/1440</f>
        <v>0.13333333333333333</v>
      </c>
      <c r="K613" s="17">
        <f>CLIENT[[#This Row],[Anciennete_Mois]]/12</f>
        <v>6.333333333333333</v>
      </c>
      <c r="L61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13" s="18">
        <f>CLIENT[[#This Row],[Facture_Mensuelle]]*CLIENT[[#This Row],[Remise]]</f>
        <v>6.8530000000000006</v>
      </c>
    </row>
    <row r="614" spans="1:13" x14ac:dyDescent="0.35">
      <c r="A614" s="1" t="s">
        <v>360</v>
      </c>
      <c r="B614" s="1" t="s">
        <v>393</v>
      </c>
      <c r="C614" s="1" t="s">
        <v>29</v>
      </c>
      <c r="D614">
        <v>35</v>
      </c>
      <c r="E614" s="1" t="s">
        <v>13</v>
      </c>
      <c r="F614" s="17">
        <v>496</v>
      </c>
      <c r="G614">
        <v>19.78</v>
      </c>
      <c r="H614">
        <v>5</v>
      </c>
      <c r="I614" t="str">
        <f t="shared" si="9"/>
        <v>B2B</v>
      </c>
      <c r="J614" s="19">
        <f>CLIENT[[#This Row],[Duree_Cumulee_Panne_Min]]/1440</f>
        <v>0.34444444444444444</v>
      </c>
      <c r="K614" s="17">
        <f>CLIENT[[#This Row],[Anciennete_Mois]]/12</f>
        <v>2.9166666666666665</v>
      </c>
      <c r="L61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4" s="18">
        <f>CLIENT[[#This Row],[Facture_Mensuelle]]*CLIENT[[#This Row],[Remise]]</f>
        <v>8.9010000000000016</v>
      </c>
    </row>
    <row r="615" spans="1:13" x14ac:dyDescent="0.35">
      <c r="A615" s="1" t="s">
        <v>8</v>
      </c>
      <c r="B615" s="1" t="s">
        <v>53</v>
      </c>
      <c r="C615" s="1" t="s">
        <v>54</v>
      </c>
      <c r="D615">
        <v>97</v>
      </c>
      <c r="E615" s="1" t="s">
        <v>13</v>
      </c>
      <c r="F615" s="17">
        <v>319</v>
      </c>
      <c r="G615">
        <v>31.25</v>
      </c>
      <c r="H615">
        <v>1</v>
      </c>
      <c r="I615" t="str">
        <f t="shared" si="9"/>
        <v>B2C</v>
      </c>
      <c r="J615" s="19">
        <f>CLIENT[[#This Row],[Duree_Cumulee_Panne_Min]]/1440</f>
        <v>0.22152777777777777</v>
      </c>
      <c r="K615" s="17">
        <f>CLIENT[[#This Row],[Anciennete_Mois]]/12</f>
        <v>8.0833333333333339</v>
      </c>
      <c r="L61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5" s="18">
        <f>CLIENT[[#This Row],[Facture_Mensuelle]]*CLIENT[[#This Row],[Remise]]</f>
        <v>14.0625</v>
      </c>
    </row>
    <row r="616" spans="1:13" x14ac:dyDescent="0.35">
      <c r="A616" s="1" t="s">
        <v>174</v>
      </c>
      <c r="B616" s="1" t="s">
        <v>210</v>
      </c>
      <c r="C616" s="1" t="s">
        <v>17</v>
      </c>
      <c r="D616">
        <v>114</v>
      </c>
      <c r="E616" s="1" t="s">
        <v>10</v>
      </c>
      <c r="F616" s="17">
        <v>482</v>
      </c>
      <c r="G616">
        <v>16.25</v>
      </c>
      <c r="H616">
        <v>3</v>
      </c>
      <c r="I616" t="str">
        <f t="shared" si="9"/>
        <v>B2C</v>
      </c>
      <c r="J616" s="19">
        <f>CLIENT[[#This Row],[Duree_Cumulee_Panne_Min]]/1440</f>
        <v>0.3347222222222222</v>
      </c>
      <c r="K616" s="17">
        <f>CLIENT[[#This Row],[Anciennete_Mois]]/12</f>
        <v>9.5</v>
      </c>
      <c r="L61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6" s="18">
        <f>CLIENT[[#This Row],[Facture_Mensuelle]]*CLIENT[[#This Row],[Remise]]</f>
        <v>7.3125</v>
      </c>
    </row>
    <row r="617" spans="1:13" x14ac:dyDescent="0.35">
      <c r="A617" s="1" t="s">
        <v>591</v>
      </c>
      <c r="B617" s="1" t="s">
        <v>611</v>
      </c>
      <c r="C617" s="1" t="s">
        <v>23</v>
      </c>
      <c r="D617">
        <v>89</v>
      </c>
      <c r="E617" s="1" t="s">
        <v>18</v>
      </c>
      <c r="F617" s="17">
        <v>474</v>
      </c>
      <c r="G617">
        <v>28.51</v>
      </c>
      <c r="H617">
        <v>5</v>
      </c>
      <c r="I617" t="str">
        <f t="shared" si="9"/>
        <v>B2B</v>
      </c>
      <c r="J617" s="19">
        <f>CLIENT[[#This Row],[Duree_Cumulee_Panne_Min]]/1440</f>
        <v>0.32916666666666666</v>
      </c>
      <c r="K617" s="17">
        <f>CLIENT[[#This Row],[Anciennete_Mois]]/12</f>
        <v>7.416666666666667</v>
      </c>
      <c r="L61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7" s="18">
        <f>CLIENT[[#This Row],[Facture_Mensuelle]]*CLIENT[[#This Row],[Remise]]</f>
        <v>12.829500000000001</v>
      </c>
    </row>
    <row r="618" spans="1:13" x14ac:dyDescent="0.35">
      <c r="A618" s="1" t="s">
        <v>314</v>
      </c>
      <c r="B618" s="1" t="s">
        <v>337</v>
      </c>
      <c r="C618" s="1" t="s">
        <v>23</v>
      </c>
      <c r="D618">
        <v>41</v>
      </c>
      <c r="E618" s="1" t="s">
        <v>13</v>
      </c>
      <c r="F618" s="17">
        <v>206</v>
      </c>
      <c r="G618">
        <v>83.16</v>
      </c>
      <c r="H618">
        <v>2</v>
      </c>
      <c r="I618" t="str">
        <f t="shared" si="9"/>
        <v>B2C</v>
      </c>
      <c r="J618" s="19">
        <f>CLIENT[[#This Row],[Duree_Cumulee_Panne_Min]]/1440</f>
        <v>0.14305555555555555</v>
      </c>
      <c r="K618" s="17">
        <f>CLIENT[[#This Row],[Anciennete_Mois]]/12</f>
        <v>3.4166666666666665</v>
      </c>
      <c r="L61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18" s="18">
        <f>CLIENT[[#This Row],[Facture_Mensuelle]]*CLIENT[[#This Row],[Remise]]</f>
        <v>0</v>
      </c>
    </row>
    <row r="619" spans="1:13" x14ac:dyDescent="0.35">
      <c r="A619" s="1" t="s">
        <v>8</v>
      </c>
      <c r="B619" s="1" t="s">
        <v>63</v>
      </c>
      <c r="C619" s="1" t="s">
        <v>20</v>
      </c>
      <c r="D619">
        <v>110</v>
      </c>
      <c r="E619" s="1" t="s">
        <v>21</v>
      </c>
      <c r="F619" s="17">
        <v>454</v>
      </c>
      <c r="G619">
        <v>31.05</v>
      </c>
      <c r="H619">
        <v>1</v>
      </c>
      <c r="I619" t="str">
        <f t="shared" si="9"/>
        <v>B2B</v>
      </c>
      <c r="J619" s="19">
        <f>CLIENT[[#This Row],[Duree_Cumulee_Panne_Min]]/1440</f>
        <v>0.31527777777777777</v>
      </c>
      <c r="K619" s="17">
        <f>CLIENT[[#This Row],[Anciennete_Mois]]/12</f>
        <v>9.1666666666666661</v>
      </c>
      <c r="L61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19" s="18">
        <f>CLIENT[[#This Row],[Facture_Mensuelle]]*CLIENT[[#This Row],[Remise]]</f>
        <v>13.9725</v>
      </c>
    </row>
    <row r="620" spans="1:13" x14ac:dyDescent="0.35">
      <c r="A620" s="1" t="s">
        <v>453</v>
      </c>
      <c r="B620" s="1" t="s">
        <v>470</v>
      </c>
      <c r="C620" s="1" t="s">
        <v>9</v>
      </c>
      <c r="D620">
        <v>85</v>
      </c>
      <c r="E620" s="1" t="s">
        <v>13</v>
      </c>
      <c r="F620" s="17">
        <v>75</v>
      </c>
      <c r="G620">
        <v>98.01</v>
      </c>
      <c r="H620">
        <v>1</v>
      </c>
      <c r="I620" t="str">
        <f t="shared" si="9"/>
        <v>B2C</v>
      </c>
      <c r="J620" s="19">
        <f>CLIENT[[#This Row],[Duree_Cumulee_Panne_Min]]/1440</f>
        <v>5.2083333333333336E-2</v>
      </c>
      <c r="K620" s="17">
        <f>CLIENT[[#This Row],[Anciennete_Mois]]/12</f>
        <v>7.083333333333333</v>
      </c>
      <c r="L62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20" s="18">
        <f>CLIENT[[#This Row],[Facture_Mensuelle]]*CLIENT[[#This Row],[Remise]]</f>
        <v>0</v>
      </c>
    </row>
    <row r="621" spans="1:13" x14ac:dyDescent="0.35">
      <c r="A621" s="1" t="s">
        <v>540</v>
      </c>
      <c r="B621" s="1" t="s">
        <v>543</v>
      </c>
      <c r="C621" s="1" t="s">
        <v>118</v>
      </c>
      <c r="D621">
        <v>79</v>
      </c>
      <c r="E621" s="1" t="s">
        <v>18</v>
      </c>
      <c r="F621" s="17">
        <v>462</v>
      </c>
      <c r="G621">
        <v>18.28</v>
      </c>
      <c r="H621">
        <v>0</v>
      </c>
      <c r="I621" t="str">
        <f t="shared" si="9"/>
        <v>B2C</v>
      </c>
      <c r="J621" s="19">
        <f>CLIENT[[#This Row],[Duree_Cumulee_Panne_Min]]/1440</f>
        <v>0.32083333333333336</v>
      </c>
      <c r="K621" s="17">
        <f>CLIENT[[#This Row],[Anciennete_Mois]]/12</f>
        <v>6.583333333333333</v>
      </c>
      <c r="L62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1" s="18">
        <f>CLIENT[[#This Row],[Facture_Mensuelle]]*CLIENT[[#This Row],[Remise]]</f>
        <v>8.2260000000000009</v>
      </c>
    </row>
    <row r="622" spans="1:13" x14ac:dyDescent="0.35">
      <c r="A622" s="1" t="s">
        <v>640</v>
      </c>
      <c r="B622" s="1" t="s">
        <v>664</v>
      </c>
      <c r="C622" s="1" t="s">
        <v>33</v>
      </c>
      <c r="D622">
        <v>46</v>
      </c>
      <c r="E622" s="1" t="s">
        <v>10</v>
      </c>
      <c r="F622" s="17">
        <v>43</v>
      </c>
      <c r="G622">
        <v>98.44</v>
      </c>
      <c r="H622">
        <v>2</v>
      </c>
      <c r="I622" t="str">
        <f t="shared" si="9"/>
        <v>B2B</v>
      </c>
      <c r="J622" s="19">
        <f>CLIENT[[#This Row],[Duree_Cumulee_Panne_Min]]/1440</f>
        <v>2.9861111111111113E-2</v>
      </c>
      <c r="K622" s="17">
        <f>CLIENT[[#This Row],[Anciennete_Mois]]/12</f>
        <v>3.8333333333333335</v>
      </c>
      <c r="L62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2" s="18">
        <f>CLIENT[[#This Row],[Facture_Mensuelle]]*CLIENT[[#This Row],[Remise]]</f>
        <v>44.298000000000002</v>
      </c>
    </row>
    <row r="623" spans="1:13" x14ac:dyDescent="0.35">
      <c r="A623" s="1" t="s">
        <v>129</v>
      </c>
      <c r="B623" s="1" t="s">
        <v>164</v>
      </c>
      <c r="C623" s="1" t="s">
        <v>62</v>
      </c>
      <c r="D623">
        <v>1</v>
      </c>
      <c r="E623" s="1" t="s">
        <v>13</v>
      </c>
      <c r="F623" s="17">
        <v>326</v>
      </c>
      <c r="G623">
        <v>54.63</v>
      </c>
      <c r="H623">
        <v>3</v>
      </c>
      <c r="I623" t="str">
        <f t="shared" si="9"/>
        <v>B2C</v>
      </c>
      <c r="J623" s="19">
        <f>CLIENT[[#This Row],[Duree_Cumulee_Panne_Min]]/1440</f>
        <v>0.22638888888888889</v>
      </c>
      <c r="K623" s="17">
        <f>CLIENT[[#This Row],[Anciennete_Mois]]/12</f>
        <v>8.3333333333333329E-2</v>
      </c>
      <c r="L62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3" s="18">
        <f>CLIENT[[#This Row],[Facture_Mensuelle]]*CLIENT[[#This Row],[Remise]]</f>
        <v>24.583500000000001</v>
      </c>
    </row>
    <row r="624" spans="1:13" x14ac:dyDescent="0.35">
      <c r="A624" s="1" t="s">
        <v>640</v>
      </c>
      <c r="B624" s="1" t="s">
        <v>683</v>
      </c>
      <c r="C624" s="1" t="s">
        <v>118</v>
      </c>
      <c r="D624">
        <v>26</v>
      </c>
      <c r="E624" s="1" t="s">
        <v>10</v>
      </c>
      <c r="F624" s="17">
        <v>378</v>
      </c>
      <c r="G624">
        <v>45.21</v>
      </c>
      <c r="H624">
        <v>5</v>
      </c>
      <c r="I624" t="str">
        <f t="shared" si="9"/>
        <v>B2B</v>
      </c>
      <c r="J624" s="19">
        <f>CLIENT[[#This Row],[Duree_Cumulee_Panne_Min]]/1440</f>
        <v>0.26250000000000001</v>
      </c>
      <c r="K624" s="17">
        <f>CLIENT[[#This Row],[Anciennete_Mois]]/12</f>
        <v>2.1666666666666665</v>
      </c>
      <c r="L62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4" s="18">
        <f>CLIENT[[#This Row],[Facture_Mensuelle]]*CLIENT[[#This Row],[Remise]]</f>
        <v>20.3445</v>
      </c>
    </row>
    <row r="625" spans="1:13" x14ac:dyDescent="0.35">
      <c r="A625" s="1" t="s">
        <v>496</v>
      </c>
      <c r="B625" s="1" t="s">
        <v>517</v>
      </c>
      <c r="C625" s="1" t="s">
        <v>12</v>
      </c>
      <c r="D625">
        <v>73</v>
      </c>
      <c r="E625" s="1" t="s">
        <v>13</v>
      </c>
      <c r="F625" s="17">
        <v>268</v>
      </c>
      <c r="G625">
        <v>56.86</v>
      </c>
      <c r="H625">
        <v>5</v>
      </c>
      <c r="I625" t="str">
        <f t="shared" si="9"/>
        <v>B2C</v>
      </c>
      <c r="J625" s="19">
        <f>CLIENT[[#This Row],[Duree_Cumulee_Panne_Min]]/1440</f>
        <v>0.18611111111111112</v>
      </c>
      <c r="K625" s="17">
        <f>CLIENT[[#This Row],[Anciennete_Mois]]/12</f>
        <v>6.083333333333333</v>
      </c>
      <c r="L62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5" s="18">
        <f>CLIENT[[#This Row],[Facture_Mensuelle]]*CLIENT[[#This Row],[Remise]]</f>
        <v>25.587</v>
      </c>
    </row>
    <row r="626" spans="1:13" x14ac:dyDescent="0.35">
      <c r="A626" s="1" t="s">
        <v>129</v>
      </c>
      <c r="B626" s="1" t="s">
        <v>146</v>
      </c>
      <c r="C626" s="1" t="s">
        <v>68</v>
      </c>
      <c r="D626">
        <v>16</v>
      </c>
      <c r="E626" s="1" t="s">
        <v>18</v>
      </c>
      <c r="F626" s="17">
        <v>13</v>
      </c>
      <c r="G626">
        <v>14.91</v>
      </c>
      <c r="H626">
        <v>1</v>
      </c>
      <c r="I626" t="str">
        <f t="shared" si="9"/>
        <v>B2C</v>
      </c>
      <c r="J626" s="19">
        <f>CLIENT[[#This Row],[Duree_Cumulee_Panne_Min]]/1440</f>
        <v>9.0277777777777769E-3</v>
      </c>
      <c r="K626" s="17">
        <f>CLIENT[[#This Row],[Anciennete_Mois]]/12</f>
        <v>1.3333333333333333</v>
      </c>
      <c r="L62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26" s="18">
        <f>CLIENT[[#This Row],[Facture_Mensuelle]]*CLIENT[[#This Row],[Remise]]</f>
        <v>0</v>
      </c>
    </row>
    <row r="627" spans="1:13" x14ac:dyDescent="0.35">
      <c r="A627" s="1" t="s">
        <v>8</v>
      </c>
      <c r="B627" s="1" t="s">
        <v>19</v>
      </c>
      <c r="C627" s="1" t="s">
        <v>20</v>
      </c>
      <c r="D627">
        <v>101</v>
      </c>
      <c r="E627" s="1" t="s">
        <v>21</v>
      </c>
      <c r="F627" s="17">
        <v>358</v>
      </c>
      <c r="G627">
        <v>29.24</v>
      </c>
      <c r="H627">
        <v>3</v>
      </c>
      <c r="I627" t="str">
        <f t="shared" si="9"/>
        <v>B2C</v>
      </c>
      <c r="J627" s="19">
        <f>CLIENT[[#This Row],[Duree_Cumulee_Panne_Min]]/1440</f>
        <v>0.24861111111111112</v>
      </c>
      <c r="K627" s="17">
        <f>CLIENT[[#This Row],[Anciennete_Mois]]/12</f>
        <v>8.4166666666666661</v>
      </c>
      <c r="L62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7" s="18">
        <f>CLIENT[[#This Row],[Facture_Mensuelle]]*CLIENT[[#This Row],[Remise]]</f>
        <v>13.157999999999999</v>
      </c>
    </row>
    <row r="628" spans="1:13" x14ac:dyDescent="0.35">
      <c r="A628" s="1" t="s">
        <v>453</v>
      </c>
      <c r="B628" s="1" t="s">
        <v>476</v>
      </c>
      <c r="C628" s="1" t="s">
        <v>12</v>
      </c>
      <c r="D628">
        <v>103</v>
      </c>
      <c r="E628" s="1" t="s">
        <v>21</v>
      </c>
      <c r="F628" s="17">
        <v>291</v>
      </c>
      <c r="G628">
        <v>60.34</v>
      </c>
      <c r="H628">
        <v>5</v>
      </c>
      <c r="I628" t="str">
        <f t="shared" si="9"/>
        <v>B2C</v>
      </c>
      <c r="J628" s="19">
        <f>CLIENT[[#This Row],[Duree_Cumulee_Panne_Min]]/1440</f>
        <v>0.20208333333333334</v>
      </c>
      <c r="K628" s="17">
        <f>CLIENT[[#This Row],[Anciennete_Mois]]/12</f>
        <v>8.5833333333333339</v>
      </c>
      <c r="L62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28" s="18">
        <f>CLIENT[[#This Row],[Facture_Mensuelle]]*CLIENT[[#This Row],[Remise]]</f>
        <v>27.153000000000002</v>
      </c>
    </row>
    <row r="629" spans="1:13" x14ac:dyDescent="0.35">
      <c r="A629" s="1" t="s">
        <v>174</v>
      </c>
      <c r="B629" s="1" t="s">
        <v>189</v>
      </c>
      <c r="C629" s="1" t="s">
        <v>9</v>
      </c>
      <c r="D629">
        <v>92</v>
      </c>
      <c r="E629" s="1" t="s">
        <v>10</v>
      </c>
      <c r="F629" s="17">
        <v>116</v>
      </c>
      <c r="G629">
        <v>23.83</v>
      </c>
      <c r="H629">
        <v>3</v>
      </c>
      <c r="I629" t="str">
        <f t="shared" si="9"/>
        <v>B2C</v>
      </c>
      <c r="J629" s="19">
        <f>CLIENT[[#This Row],[Duree_Cumulee_Panne_Min]]/1440</f>
        <v>8.0555555555555561E-2</v>
      </c>
      <c r="K629" s="17">
        <f>CLIENT[[#This Row],[Anciennete_Mois]]/12</f>
        <v>7.666666666666667</v>
      </c>
      <c r="L62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29" s="18">
        <f>CLIENT[[#This Row],[Facture_Mensuelle]]*CLIENT[[#This Row],[Remise]]</f>
        <v>0</v>
      </c>
    </row>
    <row r="630" spans="1:13" x14ac:dyDescent="0.35">
      <c r="A630" s="1" t="s">
        <v>591</v>
      </c>
      <c r="B630" s="1" t="s">
        <v>607</v>
      </c>
      <c r="C630" s="1" t="s">
        <v>61</v>
      </c>
      <c r="D630">
        <v>116</v>
      </c>
      <c r="E630" s="1" t="s">
        <v>21</v>
      </c>
      <c r="F630" s="17">
        <v>231</v>
      </c>
      <c r="G630">
        <v>19.12</v>
      </c>
      <c r="H630">
        <v>5</v>
      </c>
      <c r="I630" t="str">
        <f t="shared" si="9"/>
        <v>B2B</v>
      </c>
      <c r="J630" s="19">
        <f>CLIENT[[#This Row],[Duree_Cumulee_Panne_Min]]/1440</f>
        <v>0.16041666666666668</v>
      </c>
      <c r="K630" s="17">
        <f>CLIENT[[#This Row],[Anciennete_Mois]]/12</f>
        <v>9.6666666666666661</v>
      </c>
      <c r="L63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30" s="18">
        <f>CLIENT[[#This Row],[Facture_Mensuelle]]*CLIENT[[#This Row],[Remise]]</f>
        <v>1.9120000000000001</v>
      </c>
    </row>
    <row r="631" spans="1:13" x14ac:dyDescent="0.35">
      <c r="A631" s="1" t="s">
        <v>591</v>
      </c>
      <c r="B631" s="1" t="s">
        <v>595</v>
      </c>
      <c r="C631" s="1" t="s">
        <v>83</v>
      </c>
      <c r="D631">
        <v>89</v>
      </c>
      <c r="E631" s="1" t="s">
        <v>13</v>
      </c>
      <c r="F631" s="17">
        <v>381</v>
      </c>
      <c r="G631">
        <v>68.17</v>
      </c>
      <c r="H631">
        <v>0</v>
      </c>
      <c r="I631" t="str">
        <f t="shared" si="9"/>
        <v>B2C</v>
      </c>
      <c r="J631" s="19">
        <f>CLIENT[[#This Row],[Duree_Cumulee_Panne_Min]]/1440</f>
        <v>0.26458333333333334</v>
      </c>
      <c r="K631" s="17">
        <f>CLIENT[[#This Row],[Anciennete_Mois]]/12</f>
        <v>7.416666666666667</v>
      </c>
      <c r="L63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31" s="18">
        <f>CLIENT[[#This Row],[Facture_Mensuelle]]*CLIENT[[#This Row],[Remise]]</f>
        <v>30.676500000000001</v>
      </c>
    </row>
    <row r="632" spans="1:13" x14ac:dyDescent="0.35">
      <c r="A632" s="1" t="s">
        <v>540</v>
      </c>
      <c r="B632" s="1" t="s">
        <v>568</v>
      </c>
      <c r="C632" s="1" t="s">
        <v>33</v>
      </c>
      <c r="D632">
        <v>65</v>
      </c>
      <c r="E632" s="1" t="s">
        <v>10</v>
      </c>
      <c r="F632" s="17">
        <v>15</v>
      </c>
      <c r="G632">
        <v>44.47</v>
      </c>
      <c r="H632">
        <v>0</v>
      </c>
      <c r="I632" t="str">
        <f t="shared" si="9"/>
        <v>B2B</v>
      </c>
      <c r="J632" s="19">
        <f>CLIENT[[#This Row],[Duree_Cumulee_Panne_Min]]/1440</f>
        <v>1.0416666666666666E-2</v>
      </c>
      <c r="K632" s="17">
        <f>CLIENT[[#This Row],[Anciennete_Mois]]/12</f>
        <v>5.416666666666667</v>
      </c>
      <c r="L63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32" s="18">
        <f>CLIENT[[#This Row],[Facture_Mensuelle]]*CLIENT[[#This Row],[Remise]]</f>
        <v>4.4470000000000001</v>
      </c>
    </row>
    <row r="633" spans="1:13" x14ac:dyDescent="0.35">
      <c r="A633" s="1" t="s">
        <v>406</v>
      </c>
      <c r="B633" s="1" t="s">
        <v>429</v>
      </c>
      <c r="C633" s="1" t="s">
        <v>48</v>
      </c>
      <c r="D633">
        <v>61</v>
      </c>
      <c r="E633" s="1" t="s">
        <v>13</v>
      </c>
      <c r="F633" s="17">
        <v>362</v>
      </c>
      <c r="G633">
        <v>75.03</v>
      </c>
      <c r="H633">
        <v>0</v>
      </c>
      <c r="I633" t="str">
        <f t="shared" si="9"/>
        <v>B2B</v>
      </c>
      <c r="J633" s="19">
        <f>CLIENT[[#This Row],[Duree_Cumulee_Panne_Min]]/1440</f>
        <v>0.25138888888888888</v>
      </c>
      <c r="K633" s="17">
        <f>CLIENT[[#This Row],[Anciennete_Mois]]/12</f>
        <v>5.083333333333333</v>
      </c>
      <c r="L63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33" s="18">
        <f>CLIENT[[#This Row],[Facture_Mensuelle]]*CLIENT[[#This Row],[Remise]]</f>
        <v>33.763500000000001</v>
      </c>
    </row>
    <row r="634" spans="1:13" x14ac:dyDescent="0.35">
      <c r="A634" s="1" t="s">
        <v>591</v>
      </c>
      <c r="B634" s="1" t="s">
        <v>636</v>
      </c>
      <c r="C634" s="1" t="s">
        <v>61</v>
      </c>
      <c r="D634">
        <v>17</v>
      </c>
      <c r="E634" s="1" t="s">
        <v>13</v>
      </c>
      <c r="F634" s="17">
        <v>206</v>
      </c>
      <c r="G634">
        <v>63.46</v>
      </c>
      <c r="H634">
        <v>3</v>
      </c>
      <c r="I634" t="str">
        <f t="shared" si="9"/>
        <v>B2C</v>
      </c>
      <c r="J634" s="19">
        <f>CLIENT[[#This Row],[Duree_Cumulee_Panne_Min]]/1440</f>
        <v>0.14305555555555555</v>
      </c>
      <c r="K634" s="17">
        <f>CLIENT[[#This Row],[Anciennete_Mois]]/12</f>
        <v>1.4166666666666667</v>
      </c>
      <c r="L63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34" s="18">
        <f>CLIENT[[#This Row],[Facture_Mensuelle]]*CLIENT[[#This Row],[Remise]]</f>
        <v>0</v>
      </c>
    </row>
    <row r="635" spans="1:13" x14ac:dyDescent="0.35">
      <c r="A635" s="1" t="s">
        <v>314</v>
      </c>
      <c r="B635" s="1" t="s">
        <v>338</v>
      </c>
      <c r="C635" s="1" t="s">
        <v>54</v>
      </c>
      <c r="D635">
        <v>19</v>
      </c>
      <c r="E635" s="1" t="s">
        <v>18</v>
      </c>
      <c r="F635" s="17">
        <v>125</v>
      </c>
      <c r="G635">
        <v>11.78</v>
      </c>
      <c r="H635">
        <v>4</v>
      </c>
      <c r="I635" t="str">
        <f t="shared" si="9"/>
        <v>B2C</v>
      </c>
      <c r="J635" s="19">
        <f>CLIENT[[#This Row],[Duree_Cumulee_Panne_Min]]/1440</f>
        <v>8.6805555555555552E-2</v>
      </c>
      <c r="K635" s="17">
        <f>CLIENT[[#This Row],[Anciennete_Mois]]/12</f>
        <v>1.5833333333333333</v>
      </c>
      <c r="L63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35" s="18">
        <f>CLIENT[[#This Row],[Facture_Mensuelle]]*CLIENT[[#This Row],[Remise]]</f>
        <v>0</v>
      </c>
    </row>
    <row r="636" spans="1:13" x14ac:dyDescent="0.35">
      <c r="A636" s="1" t="s">
        <v>360</v>
      </c>
      <c r="B636" s="1" t="s">
        <v>387</v>
      </c>
      <c r="C636" s="1" t="s">
        <v>27</v>
      </c>
      <c r="D636">
        <v>13</v>
      </c>
      <c r="E636" s="1" t="s">
        <v>18</v>
      </c>
      <c r="F636" s="17">
        <v>180</v>
      </c>
      <c r="G636">
        <v>24.01</v>
      </c>
      <c r="H636">
        <v>0</v>
      </c>
      <c r="I636" t="str">
        <f t="shared" si="9"/>
        <v>B2B</v>
      </c>
      <c r="J636" s="19">
        <f>CLIENT[[#This Row],[Duree_Cumulee_Panne_Min]]/1440</f>
        <v>0.125</v>
      </c>
      <c r="K636" s="17">
        <f>CLIENT[[#This Row],[Anciennete_Mois]]/12</f>
        <v>1.0833333333333333</v>
      </c>
      <c r="L63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36" s="18">
        <f>CLIENT[[#This Row],[Facture_Mensuelle]]*CLIENT[[#This Row],[Remise]]</f>
        <v>2.4010000000000002</v>
      </c>
    </row>
    <row r="637" spans="1:13" x14ac:dyDescent="0.35">
      <c r="A637" s="1" t="s">
        <v>267</v>
      </c>
      <c r="B637" s="1" t="s">
        <v>297</v>
      </c>
      <c r="C637" s="1" t="s">
        <v>37</v>
      </c>
      <c r="D637">
        <v>90</v>
      </c>
      <c r="E637" s="1" t="s">
        <v>13</v>
      </c>
      <c r="F637" s="17">
        <v>299</v>
      </c>
      <c r="G637">
        <v>71.760000000000005</v>
      </c>
      <c r="H637">
        <v>1</v>
      </c>
      <c r="I637" t="str">
        <f t="shared" si="9"/>
        <v>B2C</v>
      </c>
      <c r="J637" s="19">
        <f>CLIENT[[#This Row],[Duree_Cumulee_Panne_Min]]/1440</f>
        <v>0.2076388888888889</v>
      </c>
      <c r="K637" s="17">
        <f>CLIENT[[#This Row],[Anciennete_Mois]]/12</f>
        <v>7.5</v>
      </c>
      <c r="L63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37" s="18">
        <f>CLIENT[[#This Row],[Facture_Mensuelle]]*CLIENT[[#This Row],[Remise]]</f>
        <v>32.292000000000002</v>
      </c>
    </row>
    <row r="638" spans="1:13" x14ac:dyDescent="0.35">
      <c r="A638" s="1" t="s">
        <v>129</v>
      </c>
      <c r="B638" s="1" t="s">
        <v>163</v>
      </c>
      <c r="C638" s="1" t="s">
        <v>41</v>
      </c>
      <c r="D638">
        <v>41</v>
      </c>
      <c r="E638" s="1" t="s">
        <v>10</v>
      </c>
      <c r="F638" s="17">
        <v>64</v>
      </c>
      <c r="G638">
        <v>91.95</v>
      </c>
      <c r="H638">
        <v>1</v>
      </c>
      <c r="I638" t="str">
        <f t="shared" si="9"/>
        <v>B2C</v>
      </c>
      <c r="J638" s="19">
        <f>CLIENT[[#This Row],[Duree_Cumulee_Panne_Min]]/1440</f>
        <v>4.4444444444444446E-2</v>
      </c>
      <c r="K638" s="17">
        <f>CLIENT[[#This Row],[Anciennete_Mois]]/12</f>
        <v>3.4166666666666665</v>
      </c>
      <c r="L63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38" s="18">
        <f>CLIENT[[#This Row],[Facture_Mensuelle]]*CLIENT[[#This Row],[Remise]]</f>
        <v>41.377500000000005</v>
      </c>
    </row>
    <row r="639" spans="1:13" x14ac:dyDescent="0.35">
      <c r="A639" s="1" t="s">
        <v>685</v>
      </c>
      <c r="B639" s="1" t="s">
        <v>711</v>
      </c>
      <c r="C639" s="1" t="s">
        <v>61</v>
      </c>
      <c r="D639">
        <v>74</v>
      </c>
      <c r="E639" s="1" t="s">
        <v>21</v>
      </c>
      <c r="F639" s="17">
        <v>359</v>
      </c>
      <c r="G639">
        <v>92.63</v>
      </c>
      <c r="H639">
        <v>0</v>
      </c>
      <c r="I639" t="str">
        <f t="shared" si="9"/>
        <v>B2C</v>
      </c>
      <c r="J639" s="19">
        <f>CLIENT[[#This Row],[Duree_Cumulee_Panne_Min]]/1440</f>
        <v>0.24930555555555556</v>
      </c>
      <c r="K639" s="17">
        <f>CLIENT[[#This Row],[Anciennete_Mois]]/12</f>
        <v>6.166666666666667</v>
      </c>
      <c r="L63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39" s="18">
        <f>CLIENT[[#This Row],[Facture_Mensuelle]]*CLIENT[[#This Row],[Remise]]</f>
        <v>41.683500000000002</v>
      </c>
    </row>
    <row r="640" spans="1:13" x14ac:dyDescent="0.35">
      <c r="A640" s="1" t="s">
        <v>174</v>
      </c>
      <c r="B640" s="1" t="s">
        <v>188</v>
      </c>
      <c r="C640" s="1" t="s">
        <v>29</v>
      </c>
      <c r="D640">
        <v>62</v>
      </c>
      <c r="E640" s="1" t="s">
        <v>10</v>
      </c>
      <c r="F640" s="17">
        <v>116</v>
      </c>
      <c r="G640">
        <v>92.99</v>
      </c>
      <c r="H640">
        <v>5</v>
      </c>
      <c r="I640" t="str">
        <f t="shared" si="9"/>
        <v>B2B</v>
      </c>
      <c r="J640" s="19">
        <f>CLIENT[[#This Row],[Duree_Cumulee_Panne_Min]]/1440</f>
        <v>8.0555555555555561E-2</v>
      </c>
      <c r="K640" s="17">
        <f>CLIENT[[#This Row],[Anciennete_Mois]]/12</f>
        <v>5.166666666666667</v>
      </c>
      <c r="L64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40" s="18">
        <f>CLIENT[[#This Row],[Facture_Mensuelle]]*CLIENT[[#This Row],[Remise]]</f>
        <v>9.2989999999999995</v>
      </c>
    </row>
    <row r="641" spans="1:13" x14ac:dyDescent="0.35">
      <c r="A641" s="1" t="s">
        <v>453</v>
      </c>
      <c r="B641" s="1" t="s">
        <v>468</v>
      </c>
      <c r="C641" s="1" t="s">
        <v>61</v>
      </c>
      <c r="D641">
        <v>118</v>
      </c>
      <c r="E641" s="1" t="s">
        <v>13</v>
      </c>
      <c r="F641" s="17">
        <v>80</v>
      </c>
      <c r="G641">
        <v>97.58</v>
      </c>
      <c r="H641">
        <v>3</v>
      </c>
      <c r="I641" t="str">
        <f t="shared" si="9"/>
        <v>B2C</v>
      </c>
      <c r="J641" s="19">
        <f>CLIENT[[#This Row],[Duree_Cumulee_Panne_Min]]/1440</f>
        <v>5.5555555555555552E-2</v>
      </c>
      <c r="K641" s="17">
        <f>CLIENT[[#This Row],[Anciennete_Mois]]/12</f>
        <v>9.8333333333333339</v>
      </c>
      <c r="L64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41" s="18">
        <f>CLIENT[[#This Row],[Facture_Mensuelle]]*CLIENT[[#This Row],[Remise]]</f>
        <v>0</v>
      </c>
    </row>
    <row r="642" spans="1:13" x14ac:dyDescent="0.35">
      <c r="A642" s="1" t="s">
        <v>314</v>
      </c>
      <c r="B642" s="1" t="s">
        <v>321</v>
      </c>
      <c r="C642" s="1" t="s">
        <v>54</v>
      </c>
      <c r="D642">
        <v>99</v>
      </c>
      <c r="E642" s="1" t="s">
        <v>18</v>
      </c>
      <c r="F642" s="17">
        <v>28</v>
      </c>
      <c r="G642">
        <v>70.19</v>
      </c>
      <c r="H642">
        <v>1</v>
      </c>
      <c r="I642" t="str">
        <f t="shared" ref="I642:I679" si="10">IF(E643="Pro Monde","B2B","B2C")</f>
        <v>B2C</v>
      </c>
      <c r="J642" s="19">
        <f>CLIENT[[#This Row],[Duree_Cumulee_Panne_Min]]/1440</f>
        <v>1.9444444444444445E-2</v>
      </c>
      <c r="K642" s="17">
        <f>CLIENT[[#This Row],[Anciennete_Mois]]/12</f>
        <v>8.25</v>
      </c>
      <c r="L64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42" s="18">
        <f>CLIENT[[#This Row],[Facture_Mensuelle]]*CLIENT[[#This Row],[Remise]]</f>
        <v>0</v>
      </c>
    </row>
    <row r="643" spans="1:13" x14ac:dyDescent="0.35">
      <c r="A643" s="1" t="s">
        <v>79</v>
      </c>
      <c r="B643" s="1" t="s">
        <v>93</v>
      </c>
      <c r="C643" s="1" t="s">
        <v>33</v>
      </c>
      <c r="D643">
        <v>80</v>
      </c>
      <c r="E643" s="1" t="s">
        <v>10</v>
      </c>
      <c r="F643" s="17">
        <v>121</v>
      </c>
      <c r="G643">
        <v>83.14</v>
      </c>
      <c r="H643">
        <v>5</v>
      </c>
      <c r="I643" t="str">
        <f t="shared" si="10"/>
        <v>B2C</v>
      </c>
      <c r="J643" s="19">
        <f>CLIENT[[#This Row],[Duree_Cumulee_Panne_Min]]/1440</f>
        <v>8.4027777777777785E-2</v>
      </c>
      <c r="K643" s="17">
        <f>CLIENT[[#This Row],[Anciennete_Mois]]/12</f>
        <v>6.666666666666667</v>
      </c>
      <c r="L64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43" s="18">
        <f>CLIENT[[#This Row],[Facture_Mensuelle]]*CLIENT[[#This Row],[Remise]]</f>
        <v>0</v>
      </c>
    </row>
    <row r="644" spans="1:13" x14ac:dyDescent="0.35">
      <c r="A644" s="1" t="s">
        <v>79</v>
      </c>
      <c r="B644" s="1" t="s">
        <v>86</v>
      </c>
      <c r="C644" s="1" t="s">
        <v>68</v>
      </c>
      <c r="D644">
        <v>58</v>
      </c>
      <c r="E644" s="1" t="s">
        <v>21</v>
      </c>
      <c r="F644" s="17">
        <v>61</v>
      </c>
      <c r="G644">
        <v>58.64</v>
      </c>
      <c r="H644">
        <v>3</v>
      </c>
      <c r="I644" t="str">
        <f t="shared" si="10"/>
        <v>B2C</v>
      </c>
      <c r="J644" s="19">
        <f>CLIENT[[#This Row],[Duree_Cumulee_Panne_Min]]/1440</f>
        <v>4.2361111111111113E-2</v>
      </c>
      <c r="K644" s="17">
        <f>CLIENT[[#This Row],[Anciennete_Mois]]/12</f>
        <v>4.833333333333333</v>
      </c>
      <c r="L64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44" s="18">
        <f>CLIENT[[#This Row],[Facture_Mensuelle]]*CLIENT[[#This Row],[Remise]]</f>
        <v>0</v>
      </c>
    </row>
    <row r="645" spans="1:13" x14ac:dyDescent="0.35">
      <c r="A645" s="1" t="s">
        <v>79</v>
      </c>
      <c r="B645" s="1" t="s">
        <v>111</v>
      </c>
      <c r="C645" s="1" t="s">
        <v>59</v>
      </c>
      <c r="D645">
        <v>4</v>
      </c>
      <c r="E645" s="1" t="s">
        <v>18</v>
      </c>
      <c r="F645" s="17">
        <v>453</v>
      </c>
      <c r="G645">
        <v>75.260000000000005</v>
      </c>
      <c r="H645">
        <v>5</v>
      </c>
      <c r="I645" t="str">
        <f t="shared" si="10"/>
        <v>B2C</v>
      </c>
      <c r="J645" s="19">
        <f>CLIENT[[#This Row],[Duree_Cumulee_Panne_Min]]/1440</f>
        <v>0.31458333333333333</v>
      </c>
      <c r="K645" s="17">
        <f>CLIENT[[#This Row],[Anciennete_Mois]]/12</f>
        <v>0.33333333333333331</v>
      </c>
      <c r="L64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45" s="18">
        <f>CLIENT[[#This Row],[Facture_Mensuelle]]*CLIENT[[#This Row],[Remise]]</f>
        <v>33.867000000000004</v>
      </c>
    </row>
    <row r="646" spans="1:13" x14ac:dyDescent="0.35">
      <c r="A646" s="1" t="s">
        <v>314</v>
      </c>
      <c r="B646" s="1" t="s">
        <v>356</v>
      </c>
      <c r="C646" s="1" t="s">
        <v>17</v>
      </c>
      <c r="D646">
        <v>41</v>
      </c>
      <c r="E646" s="1" t="s">
        <v>18</v>
      </c>
      <c r="F646" s="17">
        <v>398</v>
      </c>
      <c r="G646">
        <v>28.56</v>
      </c>
      <c r="H646">
        <v>2</v>
      </c>
      <c r="I646" t="str">
        <f t="shared" si="10"/>
        <v>B2B</v>
      </c>
      <c r="J646" s="19">
        <f>CLIENT[[#This Row],[Duree_Cumulee_Panne_Min]]/1440</f>
        <v>0.27638888888888891</v>
      </c>
      <c r="K646" s="17">
        <f>CLIENT[[#This Row],[Anciennete_Mois]]/12</f>
        <v>3.4166666666666665</v>
      </c>
      <c r="L64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46" s="18">
        <f>CLIENT[[#This Row],[Facture_Mensuelle]]*CLIENT[[#This Row],[Remise]]</f>
        <v>12.852</v>
      </c>
    </row>
    <row r="647" spans="1:13" x14ac:dyDescent="0.35">
      <c r="A647" s="1" t="s">
        <v>360</v>
      </c>
      <c r="B647" s="1" t="s">
        <v>372</v>
      </c>
      <c r="C647" s="1" t="s">
        <v>31</v>
      </c>
      <c r="D647">
        <v>49</v>
      </c>
      <c r="E647" s="1" t="s">
        <v>13</v>
      </c>
      <c r="F647" s="17">
        <v>229</v>
      </c>
      <c r="G647">
        <v>53.94</v>
      </c>
      <c r="H647">
        <v>5</v>
      </c>
      <c r="I647" t="str">
        <f t="shared" si="10"/>
        <v>B2C</v>
      </c>
      <c r="J647" s="19">
        <f>CLIENT[[#This Row],[Duree_Cumulee_Panne_Min]]/1440</f>
        <v>0.15902777777777777</v>
      </c>
      <c r="K647" s="17">
        <f>CLIENT[[#This Row],[Anciennete_Mois]]/12</f>
        <v>4.083333333333333</v>
      </c>
      <c r="L64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47" s="18">
        <f>CLIENT[[#This Row],[Facture_Mensuelle]]*CLIENT[[#This Row],[Remise]]</f>
        <v>0</v>
      </c>
    </row>
    <row r="648" spans="1:13" x14ac:dyDescent="0.35">
      <c r="A648" s="1" t="s">
        <v>174</v>
      </c>
      <c r="B648" s="1" t="s">
        <v>201</v>
      </c>
      <c r="C648" s="1" t="s">
        <v>54</v>
      </c>
      <c r="D648">
        <v>29</v>
      </c>
      <c r="E648" s="1" t="s">
        <v>21</v>
      </c>
      <c r="F648" s="17">
        <v>416</v>
      </c>
      <c r="G648">
        <v>61.26</v>
      </c>
      <c r="H648">
        <v>0</v>
      </c>
      <c r="I648" t="str">
        <f t="shared" si="10"/>
        <v>B2C</v>
      </c>
      <c r="J648" s="19">
        <f>CLIENT[[#This Row],[Duree_Cumulee_Panne_Min]]/1440</f>
        <v>0.28888888888888886</v>
      </c>
      <c r="K648" s="17">
        <f>CLIENT[[#This Row],[Anciennete_Mois]]/12</f>
        <v>2.4166666666666665</v>
      </c>
      <c r="L64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48" s="18">
        <f>CLIENT[[#This Row],[Facture_Mensuelle]]*CLIENT[[#This Row],[Remise]]</f>
        <v>27.567</v>
      </c>
    </row>
    <row r="649" spans="1:13" x14ac:dyDescent="0.35">
      <c r="A649" s="1" t="s">
        <v>453</v>
      </c>
      <c r="B649" s="1" t="s">
        <v>491</v>
      </c>
      <c r="C649" s="1" t="s">
        <v>29</v>
      </c>
      <c r="D649">
        <v>9</v>
      </c>
      <c r="E649" s="1" t="s">
        <v>21</v>
      </c>
      <c r="F649" s="17">
        <v>227</v>
      </c>
      <c r="G649">
        <v>63.74</v>
      </c>
      <c r="H649">
        <v>3</v>
      </c>
      <c r="I649" t="str">
        <f t="shared" si="10"/>
        <v>B2B</v>
      </c>
      <c r="J649" s="19">
        <f>CLIENT[[#This Row],[Duree_Cumulee_Panne_Min]]/1440</f>
        <v>0.15763888888888888</v>
      </c>
      <c r="K649" s="17">
        <f>CLIENT[[#This Row],[Anciennete_Mois]]/12</f>
        <v>0.75</v>
      </c>
      <c r="L64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0.1</v>
      </c>
      <c r="M649" s="18">
        <f>CLIENT[[#This Row],[Facture_Mensuelle]]*CLIENT[[#This Row],[Remise]]</f>
        <v>6.3740000000000006</v>
      </c>
    </row>
    <row r="650" spans="1:13" x14ac:dyDescent="0.35">
      <c r="A650" s="1" t="s">
        <v>360</v>
      </c>
      <c r="B650" s="1" t="s">
        <v>400</v>
      </c>
      <c r="C650" s="1" t="s">
        <v>12</v>
      </c>
      <c r="D650">
        <v>97</v>
      </c>
      <c r="E650" s="1" t="s">
        <v>13</v>
      </c>
      <c r="F650" s="17">
        <v>276</v>
      </c>
      <c r="G650">
        <v>88.35</v>
      </c>
      <c r="H650">
        <v>0</v>
      </c>
      <c r="I650" t="str">
        <f t="shared" si="10"/>
        <v>B2C</v>
      </c>
      <c r="J650" s="19">
        <f>CLIENT[[#This Row],[Duree_Cumulee_Panne_Min]]/1440</f>
        <v>0.19166666666666668</v>
      </c>
      <c r="K650" s="17">
        <f>CLIENT[[#This Row],[Anciennete_Mois]]/12</f>
        <v>8.0833333333333339</v>
      </c>
      <c r="L65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0" s="18">
        <f>CLIENT[[#This Row],[Facture_Mensuelle]]*CLIENT[[#This Row],[Remise]]</f>
        <v>39.7575</v>
      </c>
    </row>
    <row r="651" spans="1:13" x14ac:dyDescent="0.35">
      <c r="A651" s="1" t="s">
        <v>267</v>
      </c>
      <c r="B651" s="1" t="s">
        <v>304</v>
      </c>
      <c r="C651" s="1" t="s">
        <v>61</v>
      </c>
      <c r="D651">
        <v>32</v>
      </c>
      <c r="E651" s="1" t="s">
        <v>21</v>
      </c>
      <c r="F651" s="17">
        <v>31</v>
      </c>
      <c r="G651">
        <v>67.040000000000006</v>
      </c>
      <c r="H651">
        <v>1</v>
      </c>
      <c r="I651" t="str">
        <f t="shared" si="10"/>
        <v>B2C</v>
      </c>
      <c r="J651" s="19">
        <f>CLIENT[[#This Row],[Duree_Cumulee_Panne_Min]]/1440</f>
        <v>2.1527777777777778E-2</v>
      </c>
      <c r="K651" s="17">
        <f>CLIENT[[#This Row],[Anciennete_Mois]]/12</f>
        <v>2.6666666666666665</v>
      </c>
      <c r="L65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51" s="18">
        <f>CLIENT[[#This Row],[Facture_Mensuelle]]*CLIENT[[#This Row],[Remise]]</f>
        <v>0</v>
      </c>
    </row>
    <row r="652" spans="1:13" x14ac:dyDescent="0.35">
      <c r="A652" s="1" t="s">
        <v>314</v>
      </c>
      <c r="B652" s="1" t="s">
        <v>324</v>
      </c>
      <c r="C652" s="1" t="s">
        <v>29</v>
      </c>
      <c r="D652">
        <v>87</v>
      </c>
      <c r="E652" s="1" t="s">
        <v>21</v>
      </c>
      <c r="F652" s="17">
        <v>498</v>
      </c>
      <c r="G652">
        <v>61.57</v>
      </c>
      <c r="H652">
        <v>0</v>
      </c>
      <c r="I652" t="str">
        <f t="shared" si="10"/>
        <v>B2B</v>
      </c>
      <c r="J652" s="19">
        <f>CLIENT[[#This Row],[Duree_Cumulee_Panne_Min]]/1440</f>
        <v>0.34583333333333333</v>
      </c>
      <c r="K652" s="17">
        <f>CLIENT[[#This Row],[Anciennete_Mois]]/12</f>
        <v>7.25</v>
      </c>
      <c r="L65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2" s="18">
        <f>CLIENT[[#This Row],[Facture_Mensuelle]]*CLIENT[[#This Row],[Remise]]</f>
        <v>27.706500000000002</v>
      </c>
    </row>
    <row r="653" spans="1:13" x14ac:dyDescent="0.35">
      <c r="A653" s="1" t="s">
        <v>8</v>
      </c>
      <c r="B653" s="1" t="s">
        <v>74</v>
      </c>
      <c r="C653" s="1" t="s">
        <v>48</v>
      </c>
      <c r="D653">
        <v>112</v>
      </c>
      <c r="E653" s="1" t="s">
        <v>13</v>
      </c>
      <c r="F653" s="17">
        <v>18</v>
      </c>
      <c r="G653">
        <v>27.33</v>
      </c>
      <c r="H653">
        <v>5</v>
      </c>
      <c r="I653" t="str">
        <f t="shared" si="10"/>
        <v>B2C</v>
      </c>
      <c r="J653" s="19">
        <f>CLIENT[[#This Row],[Duree_Cumulee_Panne_Min]]/1440</f>
        <v>1.2500000000000001E-2</v>
      </c>
      <c r="K653" s="17">
        <f>CLIENT[[#This Row],[Anciennete_Mois]]/12</f>
        <v>9.3333333333333339</v>
      </c>
      <c r="L65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53" s="18">
        <f>CLIENT[[#This Row],[Facture_Mensuelle]]*CLIENT[[#This Row],[Remise]]</f>
        <v>0</v>
      </c>
    </row>
    <row r="654" spans="1:13" x14ac:dyDescent="0.35">
      <c r="A654" s="1" t="s">
        <v>174</v>
      </c>
      <c r="B654" s="1" t="s">
        <v>177</v>
      </c>
      <c r="C654" s="1" t="s">
        <v>37</v>
      </c>
      <c r="D654">
        <v>97</v>
      </c>
      <c r="E654" s="1" t="s">
        <v>10</v>
      </c>
      <c r="F654" s="17">
        <v>296</v>
      </c>
      <c r="G654">
        <v>10.87</v>
      </c>
      <c r="H654">
        <v>4</v>
      </c>
      <c r="I654" t="str">
        <f t="shared" si="10"/>
        <v>B2B</v>
      </c>
      <c r="J654" s="19">
        <f>CLIENT[[#This Row],[Duree_Cumulee_Panne_Min]]/1440</f>
        <v>0.20555555555555555</v>
      </c>
      <c r="K654" s="17">
        <f>CLIENT[[#This Row],[Anciennete_Mois]]/12</f>
        <v>8.0833333333333339</v>
      </c>
      <c r="L65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4" s="18">
        <f>CLIENT[[#This Row],[Facture_Mensuelle]]*CLIENT[[#This Row],[Remise]]</f>
        <v>4.8914999999999997</v>
      </c>
    </row>
    <row r="655" spans="1:13" x14ac:dyDescent="0.35">
      <c r="A655" s="1" t="s">
        <v>314</v>
      </c>
      <c r="B655" s="1" t="s">
        <v>332</v>
      </c>
      <c r="C655" s="1" t="s">
        <v>122</v>
      </c>
      <c r="D655">
        <v>14</v>
      </c>
      <c r="E655" s="1" t="s">
        <v>13</v>
      </c>
      <c r="F655" s="17">
        <v>303</v>
      </c>
      <c r="G655">
        <v>61.43</v>
      </c>
      <c r="H655">
        <v>1</v>
      </c>
      <c r="I655" t="str">
        <f t="shared" si="10"/>
        <v>B2C</v>
      </c>
      <c r="J655" s="19">
        <f>CLIENT[[#This Row],[Duree_Cumulee_Panne_Min]]/1440</f>
        <v>0.21041666666666667</v>
      </c>
      <c r="K655" s="17">
        <f>CLIENT[[#This Row],[Anciennete_Mois]]/12</f>
        <v>1.1666666666666667</v>
      </c>
      <c r="L65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5" s="18">
        <f>CLIENT[[#This Row],[Facture_Mensuelle]]*CLIENT[[#This Row],[Remise]]</f>
        <v>27.6435</v>
      </c>
    </row>
    <row r="656" spans="1:13" x14ac:dyDescent="0.35">
      <c r="A656" s="1" t="s">
        <v>360</v>
      </c>
      <c r="B656" s="1" t="s">
        <v>385</v>
      </c>
      <c r="C656" s="1" t="s">
        <v>68</v>
      </c>
      <c r="D656">
        <v>104</v>
      </c>
      <c r="E656" s="1" t="s">
        <v>10</v>
      </c>
      <c r="F656" s="17">
        <v>68</v>
      </c>
      <c r="G656">
        <v>21.15</v>
      </c>
      <c r="H656">
        <v>2</v>
      </c>
      <c r="I656" t="str">
        <f t="shared" si="10"/>
        <v>B2C</v>
      </c>
      <c r="J656" s="19">
        <f>CLIENT[[#This Row],[Duree_Cumulee_Panne_Min]]/1440</f>
        <v>4.7222222222222221E-2</v>
      </c>
      <c r="K656" s="17">
        <f>CLIENT[[#This Row],[Anciennete_Mois]]/12</f>
        <v>8.6666666666666661</v>
      </c>
      <c r="L65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56" s="18">
        <f>CLIENT[[#This Row],[Facture_Mensuelle]]*CLIENT[[#This Row],[Remise]]</f>
        <v>0</v>
      </c>
    </row>
    <row r="657" spans="1:13" x14ac:dyDescent="0.35">
      <c r="A657" s="1" t="s">
        <v>640</v>
      </c>
      <c r="B657" s="1" t="s">
        <v>652</v>
      </c>
      <c r="C657" s="1" t="s">
        <v>15</v>
      </c>
      <c r="D657">
        <v>38</v>
      </c>
      <c r="E657" s="1" t="s">
        <v>10</v>
      </c>
      <c r="F657" s="17">
        <v>432</v>
      </c>
      <c r="G657">
        <v>53.65</v>
      </c>
      <c r="H657">
        <v>4</v>
      </c>
      <c r="I657" t="str">
        <f t="shared" si="10"/>
        <v>B2C</v>
      </c>
      <c r="J657" s="19">
        <f>CLIENT[[#This Row],[Duree_Cumulee_Panne_Min]]/1440</f>
        <v>0.3</v>
      </c>
      <c r="K657" s="17">
        <f>CLIENT[[#This Row],[Anciennete_Mois]]/12</f>
        <v>3.1666666666666665</v>
      </c>
      <c r="L65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7" s="18">
        <f>CLIENT[[#This Row],[Facture_Mensuelle]]*CLIENT[[#This Row],[Remise]]</f>
        <v>24.142499999999998</v>
      </c>
    </row>
    <row r="658" spans="1:13" x14ac:dyDescent="0.35">
      <c r="A658" s="1" t="s">
        <v>79</v>
      </c>
      <c r="B658" s="1" t="s">
        <v>110</v>
      </c>
      <c r="C658" s="1" t="s">
        <v>37</v>
      </c>
      <c r="D658">
        <v>91</v>
      </c>
      <c r="E658" s="1" t="s">
        <v>10</v>
      </c>
      <c r="F658" s="17">
        <v>467</v>
      </c>
      <c r="G658">
        <v>84.74</v>
      </c>
      <c r="H658">
        <v>1</v>
      </c>
      <c r="I658" t="str">
        <f t="shared" si="10"/>
        <v>B2C</v>
      </c>
      <c r="J658" s="19">
        <f>CLIENT[[#This Row],[Duree_Cumulee_Panne_Min]]/1440</f>
        <v>0.32430555555555557</v>
      </c>
      <c r="K658" s="17">
        <f>CLIENT[[#This Row],[Anciennete_Mois]]/12</f>
        <v>7.583333333333333</v>
      </c>
      <c r="L65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8" s="18">
        <f>CLIENT[[#This Row],[Facture_Mensuelle]]*CLIENT[[#This Row],[Remise]]</f>
        <v>38.132999999999996</v>
      </c>
    </row>
    <row r="659" spans="1:13" x14ac:dyDescent="0.35">
      <c r="A659" s="1" t="s">
        <v>8</v>
      </c>
      <c r="B659" s="1" t="s">
        <v>64</v>
      </c>
      <c r="C659" s="1" t="s">
        <v>12</v>
      </c>
      <c r="D659">
        <v>14</v>
      </c>
      <c r="E659" s="1" t="s">
        <v>18</v>
      </c>
      <c r="F659" s="17">
        <v>415</v>
      </c>
      <c r="G659">
        <v>36.93</v>
      </c>
      <c r="H659">
        <v>5</v>
      </c>
      <c r="I659" t="str">
        <f t="shared" si="10"/>
        <v>B2B</v>
      </c>
      <c r="J659" s="19">
        <f>CLIENT[[#This Row],[Duree_Cumulee_Panne_Min]]/1440</f>
        <v>0.28819444444444442</v>
      </c>
      <c r="K659" s="17">
        <f>CLIENT[[#This Row],[Anciennete_Mois]]/12</f>
        <v>1.1666666666666667</v>
      </c>
      <c r="L65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59" s="18">
        <f>CLIENT[[#This Row],[Facture_Mensuelle]]*CLIENT[[#This Row],[Remise]]</f>
        <v>16.618500000000001</v>
      </c>
    </row>
    <row r="660" spans="1:13" x14ac:dyDescent="0.35">
      <c r="A660" s="1" t="s">
        <v>406</v>
      </c>
      <c r="B660" s="1" t="s">
        <v>423</v>
      </c>
      <c r="C660" s="1" t="s">
        <v>31</v>
      </c>
      <c r="D660">
        <v>7</v>
      </c>
      <c r="E660" s="1" t="s">
        <v>13</v>
      </c>
      <c r="F660" s="17">
        <v>268</v>
      </c>
      <c r="G660">
        <v>33.04</v>
      </c>
      <c r="H660">
        <v>5</v>
      </c>
      <c r="I660" t="str">
        <f t="shared" si="10"/>
        <v>B2C</v>
      </c>
      <c r="J660" s="19">
        <f>CLIENT[[#This Row],[Duree_Cumulee_Panne_Min]]/1440</f>
        <v>0.18611111111111112</v>
      </c>
      <c r="K660" s="17">
        <f>CLIENT[[#This Row],[Anciennete_Mois]]/12</f>
        <v>0.58333333333333337</v>
      </c>
      <c r="L66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0" s="18">
        <f>CLIENT[[#This Row],[Facture_Mensuelle]]*CLIENT[[#This Row],[Remise]]</f>
        <v>14.868</v>
      </c>
    </row>
    <row r="661" spans="1:13" x14ac:dyDescent="0.35">
      <c r="A661" s="1" t="s">
        <v>129</v>
      </c>
      <c r="B661" s="1" t="s">
        <v>156</v>
      </c>
      <c r="C661" s="1" t="s">
        <v>29</v>
      </c>
      <c r="D661">
        <v>93</v>
      </c>
      <c r="E661" s="1" t="s">
        <v>18</v>
      </c>
      <c r="F661" s="17">
        <v>365</v>
      </c>
      <c r="G661">
        <v>72.319999999999993</v>
      </c>
      <c r="H661">
        <v>1</v>
      </c>
      <c r="I661" t="str">
        <f t="shared" si="10"/>
        <v>B2C</v>
      </c>
      <c r="J661" s="19">
        <f>CLIENT[[#This Row],[Duree_Cumulee_Panne_Min]]/1440</f>
        <v>0.25347222222222221</v>
      </c>
      <c r="K661" s="17">
        <f>CLIENT[[#This Row],[Anciennete_Mois]]/12</f>
        <v>7.75</v>
      </c>
      <c r="L66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1" s="18">
        <f>CLIENT[[#This Row],[Facture_Mensuelle]]*CLIENT[[#This Row],[Remise]]</f>
        <v>32.543999999999997</v>
      </c>
    </row>
    <row r="662" spans="1:13" x14ac:dyDescent="0.35">
      <c r="A662" s="1" t="s">
        <v>79</v>
      </c>
      <c r="B662" s="1" t="s">
        <v>97</v>
      </c>
      <c r="C662" s="1" t="s">
        <v>41</v>
      </c>
      <c r="D662">
        <v>30</v>
      </c>
      <c r="E662" s="1" t="s">
        <v>10</v>
      </c>
      <c r="F662" s="17">
        <v>197</v>
      </c>
      <c r="G662">
        <v>15.42</v>
      </c>
      <c r="H662">
        <v>0</v>
      </c>
      <c r="I662" t="str">
        <f t="shared" si="10"/>
        <v>B2C</v>
      </c>
      <c r="J662" s="19">
        <f>CLIENT[[#This Row],[Duree_Cumulee_Panne_Min]]/1440</f>
        <v>0.13680555555555557</v>
      </c>
      <c r="K662" s="17">
        <f>CLIENT[[#This Row],[Anciennete_Mois]]/12</f>
        <v>2.5</v>
      </c>
      <c r="L66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2" s="18">
        <f>CLIENT[[#This Row],[Facture_Mensuelle]]*CLIENT[[#This Row],[Remise]]</f>
        <v>6.9390000000000001</v>
      </c>
    </row>
    <row r="663" spans="1:13" x14ac:dyDescent="0.35">
      <c r="A663" s="1" t="s">
        <v>685</v>
      </c>
      <c r="B663" s="1" t="s">
        <v>707</v>
      </c>
      <c r="C663" s="1" t="s">
        <v>29</v>
      </c>
      <c r="D663">
        <v>58</v>
      </c>
      <c r="E663" s="1" t="s">
        <v>10</v>
      </c>
      <c r="F663" s="17">
        <v>485</v>
      </c>
      <c r="G663">
        <v>65.41</v>
      </c>
      <c r="H663">
        <v>5</v>
      </c>
      <c r="I663" t="str">
        <f t="shared" si="10"/>
        <v>B2C</v>
      </c>
      <c r="J663" s="19">
        <f>CLIENT[[#This Row],[Duree_Cumulee_Panne_Min]]/1440</f>
        <v>0.33680555555555558</v>
      </c>
      <c r="K663" s="17">
        <f>CLIENT[[#This Row],[Anciennete_Mois]]/12</f>
        <v>4.833333333333333</v>
      </c>
      <c r="L66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3" s="18">
        <f>CLIENT[[#This Row],[Facture_Mensuelle]]*CLIENT[[#This Row],[Remise]]</f>
        <v>29.4345</v>
      </c>
    </row>
    <row r="664" spans="1:13" x14ac:dyDescent="0.35">
      <c r="A664" s="1" t="s">
        <v>129</v>
      </c>
      <c r="B664" s="1" t="s">
        <v>168</v>
      </c>
      <c r="C664" s="1" t="s">
        <v>23</v>
      </c>
      <c r="D664">
        <v>113</v>
      </c>
      <c r="E664" s="1" t="s">
        <v>10</v>
      </c>
      <c r="F664" s="17">
        <v>246</v>
      </c>
      <c r="G664">
        <v>29.18</v>
      </c>
      <c r="H664">
        <v>2</v>
      </c>
      <c r="I664" t="str">
        <f t="shared" si="10"/>
        <v>B2C</v>
      </c>
      <c r="J664" s="19">
        <f>CLIENT[[#This Row],[Duree_Cumulee_Panne_Min]]/1440</f>
        <v>0.17083333333333334</v>
      </c>
      <c r="K664" s="17">
        <f>CLIENT[[#This Row],[Anciennete_Mois]]/12</f>
        <v>9.4166666666666661</v>
      </c>
      <c r="L66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4" s="18">
        <f>CLIENT[[#This Row],[Facture_Mensuelle]]*CLIENT[[#This Row],[Remise]]</f>
        <v>13.131</v>
      </c>
    </row>
    <row r="665" spans="1:13" x14ac:dyDescent="0.35">
      <c r="A665" s="1" t="s">
        <v>591</v>
      </c>
      <c r="B665" s="1" t="s">
        <v>639</v>
      </c>
      <c r="C665" s="1" t="s">
        <v>61</v>
      </c>
      <c r="D665">
        <v>19</v>
      </c>
      <c r="E665" s="1" t="s">
        <v>18</v>
      </c>
      <c r="F665" s="17">
        <v>141</v>
      </c>
      <c r="G665">
        <v>53.95</v>
      </c>
      <c r="H665">
        <v>1</v>
      </c>
      <c r="I665" t="str">
        <f t="shared" si="10"/>
        <v>B2C</v>
      </c>
      <c r="J665" s="19">
        <f>CLIENT[[#This Row],[Duree_Cumulee_Panne_Min]]/1440</f>
        <v>9.7916666666666666E-2</v>
      </c>
      <c r="K665" s="17">
        <f>CLIENT[[#This Row],[Anciennete_Mois]]/12</f>
        <v>1.5833333333333333</v>
      </c>
      <c r="L66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65" s="18">
        <f>CLIENT[[#This Row],[Facture_Mensuelle]]*CLIENT[[#This Row],[Remise]]</f>
        <v>0</v>
      </c>
    </row>
    <row r="666" spans="1:13" x14ac:dyDescent="0.35">
      <c r="A666" s="1" t="s">
        <v>220</v>
      </c>
      <c r="B666" s="1" t="s">
        <v>240</v>
      </c>
      <c r="C666" s="1" t="s">
        <v>59</v>
      </c>
      <c r="D666">
        <v>33</v>
      </c>
      <c r="E666" s="1" t="s">
        <v>18</v>
      </c>
      <c r="F666" s="17">
        <v>332</v>
      </c>
      <c r="G666">
        <v>76.41</v>
      </c>
      <c r="H666">
        <v>1</v>
      </c>
      <c r="I666" t="str">
        <f t="shared" si="10"/>
        <v>B2C</v>
      </c>
      <c r="J666" s="19">
        <f>CLIENT[[#This Row],[Duree_Cumulee_Panne_Min]]/1440</f>
        <v>0.23055555555555557</v>
      </c>
      <c r="K666" s="17">
        <f>CLIENT[[#This Row],[Anciennete_Mois]]/12</f>
        <v>2.75</v>
      </c>
      <c r="L66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6" s="18">
        <f>CLIENT[[#This Row],[Facture_Mensuelle]]*CLIENT[[#This Row],[Remise]]</f>
        <v>34.384500000000003</v>
      </c>
    </row>
    <row r="667" spans="1:13" x14ac:dyDescent="0.35">
      <c r="A667" s="1" t="s">
        <v>540</v>
      </c>
      <c r="B667" s="1" t="s">
        <v>566</v>
      </c>
      <c r="C667" s="1" t="s">
        <v>12</v>
      </c>
      <c r="D667">
        <v>103</v>
      </c>
      <c r="E667" s="1" t="s">
        <v>18</v>
      </c>
      <c r="F667" s="17">
        <v>98</v>
      </c>
      <c r="G667">
        <v>38.69</v>
      </c>
      <c r="H667">
        <v>4</v>
      </c>
      <c r="I667" t="str">
        <f t="shared" si="10"/>
        <v>B2C</v>
      </c>
      <c r="J667" s="19">
        <f>CLIENT[[#This Row],[Duree_Cumulee_Panne_Min]]/1440</f>
        <v>6.805555555555555E-2</v>
      </c>
      <c r="K667" s="17">
        <f>CLIENT[[#This Row],[Anciennete_Mois]]/12</f>
        <v>8.5833333333333339</v>
      </c>
      <c r="L66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67" s="18">
        <f>CLIENT[[#This Row],[Facture_Mensuelle]]*CLIENT[[#This Row],[Remise]]</f>
        <v>0</v>
      </c>
    </row>
    <row r="668" spans="1:13" x14ac:dyDescent="0.35">
      <c r="A668" s="1" t="s">
        <v>8</v>
      </c>
      <c r="B668" s="1" t="s">
        <v>66</v>
      </c>
      <c r="C668" s="1" t="s">
        <v>27</v>
      </c>
      <c r="D668">
        <v>72</v>
      </c>
      <c r="E668" s="1" t="s">
        <v>18</v>
      </c>
      <c r="F668" s="17">
        <v>332</v>
      </c>
      <c r="G668">
        <v>83.36</v>
      </c>
      <c r="H668">
        <v>4</v>
      </c>
      <c r="I668" t="str">
        <f t="shared" si="10"/>
        <v>B2B</v>
      </c>
      <c r="J668" s="19">
        <f>CLIENT[[#This Row],[Duree_Cumulee_Panne_Min]]/1440</f>
        <v>0.23055555555555557</v>
      </c>
      <c r="K668" s="17">
        <f>CLIENT[[#This Row],[Anciennete_Mois]]/12</f>
        <v>6</v>
      </c>
      <c r="L66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8" s="18">
        <f>CLIENT[[#This Row],[Facture_Mensuelle]]*CLIENT[[#This Row],[Remise]]</f>
        <v>37.512</v>
      </c>
    </row>
    <row r="669" spans="1:13" x14ac:dyDescent="0.35">
      <c r="A669" s="1" t="s">
        <v>8</v>
      </c>
      <c r="B669" s="1" t="s">
        <v>45</v>
      </c>
      <c r="C669" s="1" t="s">
        <v>29</v>
      </c>
      <c r="D669">
        <v>91</v>
      </c>
      <c r="E669" s="1" t="s">
        <v>13</v>
      </c>
      <c r="F669" s="17">
        <v>358</v>
      </c>
      <c r="G669">
        <v>21.14</v>
      </c>
      <c r="H669">
        <v>5</v>
      </c>
      <c r="I669" t="str">
        <f t="shared" si="10"/>
        <v>B2B</v>
      </c>
      <c r="J669" s="19">
        <f>CLIENT[[#This Row],[Duree_Cumulee_Panne_Min]]/1440</f>
        <v>0.24861111111111112</v>
      </c>
      <c r="K669" s="17">
        <f>CLIENT[[#This Row],[Anciennete_Mois]]/12</f>
        <v>7.583333333333333</v>
      </c>
      <c r="L66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69" s="18">
        <f>CLIENT[[#This Row],[Facture_Mensuelle]]*CLIENT[[#This Row],[Remise]]</f>
        <v>9.5129999999999999</v>
      </c>
    </row>
    <row r="670" spans="1:13" x14ac:dyDescent="0.35">
      <c r="A670" s="1" t="s">
        <v>640</v>
      </c>
      <c r="B670" s="1" t="s">
        <v>675</v>
      </c>
      <c r="C670" s="1" t="s">
        <v>83</v>
      </c>
      <c r="D670">
        <v>65</v>
      </c>
      <c r="E670" s="1" t="s">
        <v>13</v>
      </c>
      <c r="F670" s="17">
        <v>246</v>
      </c>
      <c r="G670">
        <v>69.17</v>
      </c>
      <c r="H670">
        <v>0</v>
      </c>
      <c r="I670" t="str">
        <f t="shared" si="10"/>
        <v>B2C</v>
      </c>
      <c r="J670" s="19">
        <f>CLIENT[[#This Row],[Duree_Cumulee_Panne_Min]]/1440</f>
        <v>0.17083333333333334</v>
      </c>
      <c r="K670" s="17">
        <f>CLIENT[[#This Row],[Anciennete_Mois]]/12</f>
        <v>5.416666666666667</v>
      </c>
      <c r="L670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0" s="18">
        <f>CLIENT[[#This Row],[Facture_Mensuelle]]*CLIENT[[#This Row],[Remise]]</f>
        <v>31.1265</v>
      </c>
    </row>
    <row r="671" spans="1:13" x14ac:dyDescent="0.35">
      <c r="A671" s="1" t="s">
        <v>685</v>
      </c>
      <c r="B671" s="1" t="s">
        <v>696</v>
      </c>
      <c r="C671" s="1" t="s">
        <v>35</v>
      </c>
      <c r="D671">
        <v>10</v>
      </c>
      <c r="E671" s="1" t="s">
        <v>21</v>
      </c>
      <c r="F671" s="17">
        <v>418</v>
      </c>
      <c r="G671">
        <v>27.66</v>
      </c>
      <c r="H671">
        <v>2</v>
      </c>
      <c r="I671" t="str">
        <f t="shared" si="10"/>
        <v>B2B</v>
      </c>
      <c r="J671" s="19">
        <f>CLIENT[[#This Row],[Duree_Cumulee_Panne_Min]]/1440</f>
        <v>0.2902777777777778</v>
      </c>
      <c r="K671" s="17">
        <f>CLIENT[[#This Row],[Anciennete_Mois]]/12</f>
        <v>0.83333333333333337</v>
      </c>
      <c r="L671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1" s="18">
        <f>CLIENT[[#This Row],[Facture_Mensuelle]]*CLIENT[[#This Row],[Remise]]</f>
        <v>12.447000000000001</v>
      </c>
    </row>
    <row r="672" spans="1:13" x14ac:dyDescent="0.35">
      <c r="A672" s="1" t="s">
        <v>496</v>
      </c>
      <c r="B672" s="1" t="s">
        <v>504</v>
      </c>
      <c r="C672" s="1" t="s">
        <v>15</v>
      </c>
      <c r="D672">
        <v>10</v>
      </c>
      <c r="E672" s="1" t="s">
        <v>13</v>
      </c>
      <c r="F672" s="17">
        <v>129</v>
      </c>
      <c r="G672">
        <v>70.12</v>
      </c>
      <c r="H672">
        <v>0</v>
      </c>
      <c r="I672" t="str">
        <f t="shared" si="10"/>
        <v>B2C</v>
      </c>
      <c r="J672" s="19">
        <f>CLIENT[[#This Row],[Duree_Cumulee_Panne_Min]]/1440</f>
        <v>8.9583333333333334E-2</v>
      </c>
      <c r="K672" s="17">
        <f>CLIENT[[#This Row],[Anciennete_Mois]]/12</f>
        <v>0.83333333333333337</v>
      </c>
      <c r="L672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72" s="18">
        <f>CLIENT[[#This Row],[Facture_Mensuelle]]*CLIENT[[#This Row],[Remise]]</f>
        <v>0</v>
      </c>
    </row>
    <row r="673" spans="1:13" x14ac:dyDescent="0.35">
      <c r="A673" s="1" t="s">
        <v>496</v>
      </c>
      <c r="B673" s="1" t="s">
        <v>534</v>
      </c>
      <c r="C673" s="1" t="s">
        <v>57</v>
      </c>
      <c r="D673">
        <v>80</v>
      </c>
      <c r="E673" s="1" t="s">
        <v>21</v>
      </c>
      <c r="F673" s="17">
        <v>101</v>
      </c>
      <c r="G673">
        <v>61.92</v>
      </c>
      <c r="H673">
        <v>4</v>
      </c>
      <c r="I673" t="str">
        <f t="shared" si="10"/>
        <v>B2C</v>
      </c>
      <c r="J673" s="19">
        <f>CLIENT[[#This Row],[Duree_Cumulee_Panne_Min]]/1440</f>
        <v>7.013888888888889E-2</v>
      </c>
      <c r="K673" s="17">
        <f>CLIENT[[#This Row],[Anciennete_Mois]]/12</f>
        <v>6.666666666666667</v>
      </c>
      <c r="L673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73" s="18">
        <f>CLIENT[[#This Row],[Facture_Mensuelle]]*CLIENT[[#This Row],[Remise]]</f>
        <v>0</v>
      </c>
    </row>
    <row r="674" spans="1:13" x14ac:dyDescent="0.35">
      <c r="A674" s="1" t="s">
        <v>174</v>
      </c>
      <c r="B674" s="1" t="s">
        <v>191</v>
      </c>
      <c r="C674" s="1" t="s">
        <v>54</v>
      </c>
      <c r="D674">
        <v>61</v>
      </c>
      <c r="E674" s="1" t="s">
        <v>18</v>
      </c>
      <c r="F674" s="17">
        <v>383</v>
      </c>
      <c r="G674">
        <v>39.72</v>
      </c>
      <c r="H674">
        <v>4</v>
      </c>
      <c r="I674" t="str">
        <f t="shared" si="10"/>
        <v>B2B</v>
      </c>
      <c r="J674" s="19">
        <f>CLIENT[[#This Row],[Duree_Cumulee_Panne_Min]]/1440</f>
        <v>0.26597222222222222</v>
      </c>
      <c r="K674" s="17">
        <f>CLIENT[[#This Row],[Anciennete_Mois]]/12</f>
        <v>5.083333333333333</v>
      </c>
      <c r="L674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4" s="18">
        <f>CLIENT[[#This Row],[Facture_Mensuelle]]*CLIENT[[#This Row],[Remise]]</f>
        <v>17.873999999999999</v>
      </c>
    </row>
    <row r="675" spans="1:13" x14ac:dyDescent="0.35">
      <c r="A675" s="1" t="s">
        <v>406</v>
      </c>
      <c r="B675" s="1" t="s">
        <v>447</v>
      </c>
      <c r="C675" s="1" t="s">
        <v>54</v>
      </c>
      <c r="D675">
        <v>111</v>
      </c>
      <c r="E675" s="1" t="s">
        <v>13</v>
      </c>
      <c r="F675" s="17">
        <v>447</v>
      </c>
      <c r="G675">
        <v>51.35</v>
      </c>
      <c r="H675">
        <v>0</v>
      </c>
      <c r="I675" t="str">
        <f t="shared" si="10"/>
        <v>B2C</v>
      </c>
      <c r="J675" s="19">
        <f>CLIENT[[#This Row],[Duree_Cumulee_Panne_Min]]/1440</f>
        <v>0.31041666666666667</v>
      </c>
      <c r="K675" s="17">
        <f>CLIENT[[#This Row],[Anciennete_Mois]]/12</f>
        <v>9.25</v>
      </c>
      <c r="L675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5" s="18">
        <f>CLIENT[[#This Row],[Facture_Mensuelle]]*CLIENT[[#This Row],[Remise]]</f>
        <v>23.107500000000002</v>
      </c>
    </row>
    <row r="676" spans="1:13" x14ac:dyDescent="0.35">
      <c r="A676" s="1" t="s">
        <v>453</v>
      </c>
      <c r="B676" s="1" t="s">
        <v>483</v>
      </c>
      <c r="C676" s="1" t="s">
        <v>48</v>
      </c>
      <c r="D676">
        <v>100</v>
      </c>
      <c r="E676" s="1" t="s">
        <v>21</v>
      </c>
      <c r="F676" s="17">
        <v>240</v>
      </c>
      <c r="G676">
        <v>24.83</v>
      </c>
      <c r="H676">
        <v>4</v>
      </c>
      <c r="I676" t="str">
        <f t="shared" si="10"/>
        <v>B2C</v>
      </c>
      <c r="J676" s="19">
        <f>CLIENT[[#This Row],[Duree_Cumulee_Panne_Min]]/1440</f>
        <v>0.16666666666666666</v>
      </c>
      <c r="K676" s="17">
        <f>CLIENT[[#This Row],[Anciennete_Mois]]/12</f>
        <v>8.3333333333333339</v>
      </c>
      <c r="L676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6" s="18">
        <f>CLIENT[[#This Row],[Facture_Mensuelle]]*CLIENT[[#This Row],[Remise]]</f>
        <v>11.173499999999999</v>
      </c>
    </row>
    <row r="677" spans="1:13" x14ac:dyDescent="0.35">
      <c r="A677" s="1" t="s">
        <v>685</v>
      </c>
      <c r="B677" s="1" t="s">
        <v>693</v>
      </c>
      <c r="C677" s="1" t="s">
        <v>12</v>
      </c>
      <c r="D677">
        <v>5</v>
      </c>
      <c r="E677" s="1" t="s">
        <v>10</v>
      </c>
      <c r="F677" s="17">
        <v>71</v>
      </c>
      <c r="G677">
        <v>93.81</v>
      </c>
      <c r="H677">
        <v>3</v>
      </c>
      <c r="I677" t="str">
        <f t="shared" si="10"/>
        <v>B2B</v>
      </c>
      <c r="J677" s="19">
        <f>CLIENT[[#This Row],[Duree_Cumulee_Panne_Min]]/1440</f>
        <v>4.9305555555555554E-2</v>
      </c>
      <c r="K677" s="17">
        <f>CLIENT[[#This Row],[Anciennete_Mois]]/12</f>
        <v>0.41666666666666669</v>
      </c>
      <c r="L677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7" s="18">
        <f>CLIENT[[#This Row],[Facture_Mensuelle]]*CLIENT[[#This Row],[Remise]]</f>
        <v>42.214500000000001</v>
      </c>
    </row>
    <row r="678" spans="1:13" x14ac:dyDescent="0.35">
      <c r="A678" s="1" t="s">
        <v>640</v>
      </c>
      <c r="B678" s="1" t="s">
        <v>667</v>
      </c>
      <c r="C678" s="1" t="s">
        <v>68</v>
      </c>
      <c r="D678">
        <v>7</v>
      </c>
      <c r="E678" s="1" t="s">
        <v>13</v>
      </c>
      <c r="F678" s="17">
        <v>332</v>
      </c>
      <c r="G678">
        <v>83.95</v>
      </c>
      <c r="H678">
        <v>4</v>
      </c>
      <c r="I678" t="str">
        <f t="shared" si="10"/>
        <v>B2B</v>
      </c>
      <c r="J678" s="19">
        <f>CLIENT[[#This Row],[Duree_Cumulee_Panne_Min]]/1440</f>
        <v>0.23055555555555557</v>
      </c>
      <c r="K678" s="17">
        <f>CLIENT[[#This Row],[Anciennete_Mois]]/12</f>
        <v>0.58333333333333337</v>
      </c>
      <c r="L678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0.45</v>
      </c>
      <c r="M678" s="18">
        <f>CLIENT[[#This Row],[Facture_Mensuelle]]*CLIENT[[#This Row],[Remise]]</f>
        <v>37.777500000000003</v>
      </c>
    </row>
    <row r="679" spans="1:13" x14ac:dyDescent="0.35">
      <c r="A679" s="1" t="s">
        <v>406</v>
      </c>
      <c r="B679" s="1" t="s">
        <v>437</v>
      </c>
      <c r="C679" s="1" t="s">
        <v>29</v>
      </c>
      <c r="D679">
        <v>47</v>
      </c>
      <c r="E679" s="1" t="s">
        <v>13</v>
      </c>
      <c r="F679" s="17">
        <v>149</v>
      </c>
      <c r="G679">
        <v>28.35</v>
      </c>
      <c r="H679">
        <v>1</v>
      </c>
      <c r="I679" t="str">
        <f t="shared" si="10"/>
        <v>B2C</v>
      </c>
      <c r="J679" s="19">
        <f>CLIENT[[#This Row],[Duree_Cumulee_Panne_Min]]/1440</f>
        <v>0.10347222222222222</v>
      </c>
      <c r="K679" s="17">
        <f>CLIENT[[#This Row],[Anciennete_Mois]]/12</f>
        <v>3.9166666666666665</v>
      </c>
      <c r="L679">
        <f>IF(AND(CLIENT[[#This Row],[Panne_Heure]]&gt;TIME(12,0,0),CLIENT[[#This Row],[Anciennete_Annee]]&gt;5),0.7,
 IF(OR(
       AND(CLIENT[[#This Row],[Panne_Heure]]&gt;=TIME(4,0,0),CLIENT[[#This Row],[Panne_Heure]]&lt;=TIME(12,0,0)),
       AND(CLIENT[[#This Row],[Anciennete_Annee]]&lt;5,CLIENT[[#This Row],[Type_Forfait]]="Premium 5G 150Go")
    ),0.45,
 IF(CLIENT[[#This Row],[Type_Client]]="B2B",0.1,0)))</f>
        <v>0</v>
      </c>
      <c r="M679" s="18">
        <f>CLIENT[[#This Row],[Facture_Mensuelle]]*CLIENT[[#This Row],[Remise]]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45F7-DFAE-4731-B84F-BB8924040824}">
  <sheetPr>
    <tabColor theme="9" tint="-0.499984740745262"/>
  </sheetPr>
  <dimension ref="A1:J532"/>
  <sheetViews>
    <sheetView topLeftCell="A181" workbookViewId="0">
      <selection activeCell="E186" sqref="E186"/>
    </sheetView>
  </sheetViews>
  <sheetFormatPr baseColWidth="10" defaultRowHeight="14.5" x14ac:dyDescent="0.35"/>
  <cols>
    <col min="2" max="2" width="17.6328125" bestFit="1" customWidth="1"/>
  </cols>
  <sheetData>
    <row r="1" spans="1:10" x14ac:dyDescent="0.35">
      <c r="A1" s="5" t="s">
        <v>0</v>
      </c>
      <c r="B1" s="8" t="s">
        <v>729</v>
      </c>
      <c r="C1" s="6" t="s">
        <v>730</v>
      </c>
      <c r="D1" s="6" t="s">
        <v>731</v>
      </c>
      <c r="E1" s="6" t="s">
        <v>732</v>
      </c>
      <c r="F1" s="6" t="s">
        <v>1426</v>
      </c>
      <c r="G1" s="6" t="s">
        <v>1427</v>
      </c>
      <c r="H1" s="6" t="s">
        <v>1624</v>
      </c>
      <c r="I1" s="6" t="s">
        <v>1429</v>
      </c>
      <c r="J1" s="7" t="s">
        <v>1430</v>
      </c>
    </row>
    <row r="2" spans="1:10" x14ac:dyDescent="0.35">
      <c r="A2" s="9" t="s">
        <v>733</v>
      </c>
      <c r="B2" s="10">
        <v>45208.301388888889</v>
      </c>
      <c r="C2" s="11" t="s">
        <v>736</v>
      </c>
      <c r="D2" s="4">
        <v>38</v>
      </c>
      <c r="E2" s="11" t="s">
        <v>735</v>
      </c>
      <c r="F2" s="11" t="e">
        <v>#N/A</v>
      </c>
      <c r="G2" s="11" t="e">
        <v>#N/A</v>
      </c>
      <c r="H2" s="11" t="e">
        <v>#N/A</v>
      </c>
      <c r="I2" s="11" t="e">
        <v>#N/A</v>
      </c>
      <c r="J2" s="12" t="e">
        <v>#N/A</v>
      </c>
    </row>
    <row r="3" spans="1:10" x14ac:dyDescent="0.35">
      <c r="A3" s="13" t="s">
        <v>782</v>
      </c>
      <c r="B3" s="14">
        <v>45226.003472222219</v>
      </c>
      <c r="C3" s="15" t="s">
        <v>736</v>
      </c>
      <c r="D3" s="3">
        <v>111</v>
      </c>
      <c r="E3" s="15" t="s">
        <v>735</v>
      </c>
      <c r="F3" s="15" t="e">
        <v>#N/A</v>
      </c>
      <c r="G3" s="15" t="e">
        <v>#N/A</v>
      </c>
      <c r="H3" s="15" t="e">
        <v>#N/A</v>
      </c>
      <c r="I3" s="15" t="e">
        <v>#N/A</v>
      </c>
      <c r="J3" s="16" t="e">
        <v>#N/A</v>
      </c>
    </row>
    <row r="4" spans="1:10" x14ac:dyDescent="0.35">
      <c r="A4" s="9" t="s">
        <v>1144</v>
      </c>
      <c r="B4" s="10">
        <v>45216.950694444437</v>
      </c>
      <c r="C4" s="11" t="s">
        <v>736</v>
      </c>
      <c r="D4" s="4">
        <v>12</v>
      </c>
      <c r="E4" s="11" t="s">
        <v>735</v>
      </c>
      <c r="F4" s="11" t="e">
        <v>#N/A</v>
      </c>
      <c r="G4" s="11" t="e">
        <v>#N/A</v>
      </c>
      <c r="H4" s="11" t="e">
        <v>#N/A</v>
      </c>
      <c r="I4" s="11" t="e">
        <v>#N/A</v>
      </c>
      <c r="J4" s="12" t="e">
        <v>#N/A</v>
      </c>
    </row>
    <row r="5" spans="1:10" x14ac:dyDescent="0.35">
      <c r="A5" s="13" t="s">
        <v>1171</v>
      </c>
      <c r="B5" s="14">
        <v>45222.55972222222</v>
      </c>
      <c r="C5" s="15" t="s">
        <v>1174</v>
      </c>
      <c r="D5" s="3">
        <v>26</v>
      </c>
      <c r="E5" s="15" t="s">
        <v>740</v>
      </c>
      <c r="F5" s="15" t="e">
        <v>#N/A</v>
      </c>
      <c r="G5" s="15" t="e">
        <v>#N/A</v>
      </c>
      <c r="H5" s="15" t="e">
        <v>#N/A</v>
      </c>
      <c r="I5" s="15" t="e">
        <v>#N/A</v>
      </c>
      <c r="J5" s="16" t="e">
        <v>#N/A</v>
      </c>
    </row>
    <row r="6" spans="1:10" x14ac:dyDescent="0.35">
      <c r="A6" s="9" t="s">
        <v>1247</v>
      </c>
      <c r="B6" s="10">
        <v>45213.922222222223</v>
      </c>
      <c r="C6" s="11" t="s">
        <v>1174</v>
      </c>
      <c r="D6" s="4">
        <v>40</v>
      </c>
      <c r="E6" s="11" t="s">
        <v>735</v>
      </c>
      <c r="F6" s="11" t="e">
        <v>#N/A</v>
      </c>
      <c r="G6" s="11" t="e">
        <v>#N/A</v>
      </c>
      <c r="H6" s="11" t="e">
        <v>#N/A</v>
      </c>
      <c r="I6" s="11" t="e">
        <v>#N/A</v>
      </c>
      <c r="J6" s="12" t="e">
        <v>#N/A</v>
      </c>
    </row>
    <row r="7" spans="1:10" x14ac:dyDescent="0.35">
      <c r="A7" s="13" t="s">
        <v>864</v>
      </c>
      <c r="B7" s="14">
        <v>45219.989583333343</v>
      </c>
      <c r="C7" s="15" t="s">
        <v>887</v>
      </c>
      <c r="D7" s="3">
        <v>36</v>
      </c>
      <c r="E7" s="15" t="s">
        <v>735</v>
      </c>
      <c r="F7" s="15" t="e">
        <v>#N/A</v>
      </c>
      <c r="G7" s="15" t="e">
        <v>#N/A</v>
      </c>
      <c r="H7" s="15" t="e">
        <v>#N/A</v>
      </c>
      <c r="I7" s="15" t="e">
        <v>#N/A</v>
      </c>
      <c r="J7" s="16" t="e">
        <v>#N/A</v>
      </c>
    </row>
    <row r="8" spans="1:10" x14ac:dyDescent="0.35">
      <c r="A8" s="9" t="s">
        <v>1171</v>
      </c>
      <c r="B8" s="10">
        <v>45204.39166666667</v>
      </c>
      <c r="C8" s="11" t="s">
        <v>887</v>
      </c>
      <c r="D8" s="4">
        <v>98</v>
      </c>
      <c r="E8" s="11" t="s">
        <v>740</v>
      </c>
      <c r="F8" s="11" t="e">
        <v>#N/A</v>
      </c>
      <c r="G8" s="11" t="e">
        <v>#N/A</v>
      </c>
      <c r="H8" s="11" t="e">
        <v>#N/A</v>
      </c>
      <c r="I8" s="11" t="e">
        <v>#N/A</v>
      </c>
      <c r="J8" s="12" t="e">
        <v>#N/A</v>
      </c>
    </row>
    <row r="9" spans="1:10" x14ac:dyDescent="0.35">
      <c r="A9" s="13" t="s">
        <v>1171</v>
      </c>
      <c r="B9" s="14">
        <v>45230.565972222219</v>
      </c>
      <c r="C9" s="15" t="s">
        <v>887</v>
      </c>
      <c r="D9" s="3">
        <v>74</v>
      </c>
      <c r="E9" s="15" t="s">
        <v>735</v>
      </c>
      <c r="F9" s="15" t="e">
        <v>#N/A</v>
      </c>
      <c r="G9" s="15" t="e">
        <v>#N/A</v>
      </c>
      <c r="H9" s="15" t="e">
        <v>#N/A</v>
      </c>
      <c r="I9" s="15" t="e">
        <v>#N/A</v>
      </c>
      <c r="J9" s="16" t="e">
        <v>#N/A</v>
      </c>
    </row>
    <row r="10" spans="1:10" x14ac:dyDescent="0.35">
      <c r="A10" s="9" t="s">
        <v>1368</v>
      </c>
      <c r="B10" s="10">
        <v>45213.963194444441</v>
      </c>
      <c r="C10" s="11" t="s">
        <v>1369</v>
      </c>
      <c r="D10" s="4">
        <v>25</v>
      </c>
      <c r="E10" s="11" t="s">
        <v>738</v>
      </c>
      <c r="F10" s="11" t="e">
        <v>#N/A</v>
      </c>
      <c r="G10" s="11" t="e">
        <v>#N/A</v>
      </c>
      <c r="H10" s="11" t="e">
        <v>#N/A</v>
      </c>
      <c r="I10" s="11" t="e">
        <v>#N/A</v>
      </c>
      <c r="J10" s="12" t="e">
        <v>#N/A</v>
      </c>
    </row>
    <row r="11" spans="1:10" x14ac:dyDescent="0.35">
      <c r="A11" s="13" t="s">
        <v>1294</v>
      </c>
      <c r="B11" s="14">
        <v>45217.640277777777</v>
      </c>
      <c r="C11" s="15" t="s">
        <v>1312</v>
      </c>
      <c r="D11" s="3">
        <v>113</v>
      </c>
      <c r="E11" s="15" t="s">
        <v>740</v>
      </c>
      <c r="F11" s="15" t="e">
        <v>#N/A</v>
      </c>
      <c r="G11" s="15" t="e">
        <v>#N/A</v>
      </c>
      <c r="H11" s="15" t="e">
        <v>#N/A</v>
      </c>
      <c r="I11" s="15" t="e">
        <v>#N/A</v>
      </c>
      <c r="J11" s="16" t="e">
        <v>#N/A</v>
      </c>
    </row>
    <row r="12" spans="1:10" x14ac:dyDescent="0.35">
      <c r="A12" s="9" t="s">
        <v>1351</v>
      </c>
      <c r="B12" s="10">
        <v>45220.093055555553</v>
      </c>
      <c r="C12" s="11" t="s">
        <v>1312</v>
      </c>
      <c r="D12" s="4">
        <v>48</v>
      </c>
      <c r="E12" s="11" t="s">
        <v>735</v>
      </c>
      <c r="F12" s="11" t="e">
        <v>#N/A</v>
      </c>
      <c r="G12" s="11" t="e">
        <v>#N/A</v>
      </c>
      <c r="H12" s="11" t="e">
        <v>#N/A</v>
      </c>
      <c r="I12" s="11" t="e">
        <v>#N/A</v>
      </c>
      <c r="J12" s="12" t="e">
        <v>#N/A</v>
      </c>
    </row>
    <row r="13" spans="1:10" x14ac:dyDescent="0.35">
      <c r="A13" s="13" t="s">
        <v>1002</v>
      </c>
      <c r="B13" s="14">
        <v>45204.895833333343</v>
      </c>
      <c r="C13" s="15" t="s">
        <v>1005</v>
      </c>
      <c r="D13" s="3">
        <v>42</v>
      </c>
      <c r="E13" s="15" t="s">
        <v>738</v>
      </c>
      <c r="F13" s="15" t="e">
        <v>#N/A</v>
      </c>
      <c r="G13" s="15" t="e">
        <v>#N/A</v>
      </c>
      <c r="H13" s="15" t="e">
        <v>#N/A</v>
      </c>
      <c r="I13" s="15" t="e">
        <v>#N/A</v>
      </c>
      <c r="J13" s="16" t="e">
        <v>#N/A</v>
      </c>
    </row>
    <row r="14" spans="1:10" x14ac:dyDescent="0.35">
      <c r="A14" s="9" t="s">
        <v>1091</v>
      </c>
      <c r="B14" s="10">
        <v>45205.775694444441</v>
      </c>
      <c r="C14" s="11" t="s">
        <v>1114</v>
      </c>
      <c r="D14" s="4">
        <v>56</v>
      </c>
      <c r="E14" s="11" t="s">
        <v>740</v>
      </c>
      <c r="F14" s="11" t="e">
        <v>#N/A</v>
      </c>
      <c r="G14" s="11" t="e">
        <v>#N/A</v>
      </c>
      <c r="H14" s="11" t="e">
        <v>#N/A</v>
      </c>
      <c r="I14" s="11" t="e">
        <v>#N/A</v>
      </c>
      <c r="J14" s="12" t="e">
        <v>#N/A</v>
      </c>
    </row>
    <row r="15" spans="1:10" x14ac:dyDescent="0.35">
      <c r="A15" s="13" t="s">
        <v>1144</v>
      </c>
      <c r="B15" s="14">
        <v>45220.390972222223</v>
      </c>
      <c r="C15" s="15" t="s">
        <v>1114</v>
      </c>
      <c r="D15" s="3">
        <v>13</v>
      </c>
      <c r="E15" s="15" t="s">
        <v>738</v>
      </c>
      <c r="F15" s="15" t="e">
        <v>#N/A</v>
      </c>
      <c r="G15" s="15" t="e">
        <v>#N/A</v>
      </c>
      <c r="H15" s="15" t="e">
        <v>#N/A</v>
      </c>
      <c r="I15" s="15" t="e">
        <v>#N/A</v>
      </c>
      <c r="J15" s="16" t="e">
        <v>#N/A</v>
      </c>
    </row>
    <row r="16" spans="1:10" x14ac:dyDescent="0.35">
      <c r="A16" s="9" t="s">
        <v>1199</v>
      </c>
      <c r="B16" s="10">
        <v>45225.839583333327</v>
      </c>
      <c r="C16" s="11" t="s">
        <v>1211</v>
      </c>
      <c r="D16" s="4">
        <v>60</v>
      </c>
      <c r="E16" s="11" t="s">
        <v>740</v>
      </c>
      <c r="F16" s="11" t="e">
        <v>#N/A</v>
      </c>
      <c r="G16" s="11" t="e">
        <v>#N/A</v>
      </c>
      <c r="H16" s="11" t="e">
        <v>#N/A</v>
      </c>
      <c r="I16" s="11" t="e">
        <v>#N/A</v>
      </c>
      <c r="J16" s="12" t="e">
        <v>#N/A</v>
      </c>
    </row>
    <row r="17" spans="1:10" x14ac:dyDescent="0.35">
      <c r="A17" s="13" t="s">
        <v>1247</v>
      </c>
      <c r="B17" s="14">
        <v>45224.961805555547</v>
      </c>
      <c r="C17" s="15" t="s">
        <v>1211</v>
      </c>
      <c r="D17" s="3">
        <v>83</v>
      </c>
      <c r="E17" s="15" t="s">
        <v>740</v>
      </c>
      <c r="F17" s="15" t="e">
        <v>#N/A</v>
      </c>
      <c r="G17" s="15" t="e">
        <v>#N/A</v>
      </c>
      <c r="H17" s="15" t="e">
        <v>#N/A</v>
      </c>
      <c r="I17" s="15" t="e">
        <v>#N/A</v>
      </c>
      <c r="J17" s="16" t="e">
        <v>#N/A</v>
      </c>
    </row>
    <row r="18" spans="1:10" x14ac:dyDescent="0.35">
      <c r="A18" s="9" t="s">
        <v>905</v>
      </c>
      <c r="B18" s="10">
        <v>45222.511805555558</v>
      </c>
      <c r="C18" s="11" t="s">
        <v>937</v>
      </c>
      <c r="D18" s="4">
        <v>56</v>
      </c>
      <c r="E18" s="11" t="s">
        <v>735</v>
      </c>
      <c r="F18" s="11" t="e">
        <v>#N/A</v>
      </c>
      <c r="G18" s="11" t="e">
        <v>#N/A</v>
      </c>
      <c r="H18" s="11" t="e">
        <v>#N/A</v>
      </c>
      <c r="I18" s="11" t="e">
        <v>#N/A</v>
      </c>
      <c r="J18" s="12" t="e">
        <v>#N/A</v>
      </c>
    </row>
    <row r="19" spans="1:10" x14ac:dyDescent="0.35">
      <c r="A19" s="13" t="s">
        <v>1144</v>
      </c>
      <c r="B19" s="14">
        <v>45214.752083333333</v>
      </c>
      <c r="C19" s="15" t="s">
        <v>1168</v>
      </c>
      <c r="D19" s="3">
        <v>89</v>
      </c>
      <c r="E19" s="15" t="s">
        <v>738</v>
      </c>
      <c r="F19" s="15" t="e">
        <v>#N/A</v>
      </c>
      <c r="G19" s="15" t="e">
        <v>#N/A</v>
      </c>
      <c r="H19" s="15" t="e">
        <v>#N/A</v>
      </c>
      <c r="I19" s="15" t="e">
        <v>#N/A</v>
      </c>
      <c r="J19" s="16" t="e">
        <v>#N/A</v>
      </c>
    </row>
    <row r="20" spans="1:10" x14ac:dyDescent="0.35">
      <c r="A20" s="9" t="s">
        <v>1225</v>
      </c>
      <c r="B20" s="10">
        <v>45225.415277777778</v>
      </c>
      <c r="C20" s="11" t="s">
        <v>1244</v>
      </c>
      <c r="D20" s="4">
        <v>15</v>
      </c>
      <c r="E20" s="11" t="s">
        <v>735</v>
      </c>
      <c r="F20" s="11" t="e">
        <v>#N/A</v>
      </c>
      <c r="G20" s="11" t="e">
        <v>#N/A</v>
      </c>
      <c r="H20" s="11" t="e">
        <v>#N/A</v>
      </c>
      <c r="I20" s="11" t="e">
        <v>#N/A</v>
      </c>
      <c r="J20" s="12" t="e">
        <v>#N/A</v>
      </c>
    </row>
    <row r="21" spans="1:10" x14ac:dyDescent="0.35">
      <c r="A21" s="13" t="s">
        <v>1063</v>
      </c>
      <c r="B21" s="14">
        <v>45226.729166666657</v>
      </c>
      <c r="C21" s="15" t="s">
        <v>1087</v>
      </c>
      <c r="D21" s="3">
        <v>62</v>
      </c>
      <c r="E21" s="15" t="s">
        <v>738</v>
      </c>
      <c r="F21" s="15" t="e">
        <v>#N/A</v>
      </c>
      <c r="G21" s="15" t="e">
        <v>#N/A</v>
      </c>
      <c r="H21" s="15" t="e">
        <v>#N/A</v>
      </c>
      <c r="I21" s="15" t="e">
        <v>#N/A</v>
      </c>
      <c r="J21" s="16" t="e">
        <v>#N/A</v>
      </c>
    </row>
    <row r="22" spans="1:10" x14ac:dyDescent="0.35">
      <c r="A22" s="9" t="s">
        <v>1314</v>
      </c>
      <c r="B22" s="10">
        <v>45206.572222222218</v>
      </c>
      <c r="C22" s="11" t="s">
        <v>1087</v>
      </c>
      <c r="D22" s="4">
        <v>10</v>
      </c>
      <c r="E22" s="11" t="s">
        <v>735</v>
      </c>
      <c r="F22" s="11" t="e">
        <v>#N/A</v>
      </c>
      <c r="G22" s="11" t="e">
        <v>#N/A</v>
      </c>
      <c r="H22" s="11" t="e">
        <v>#N/A</v>
      </c>
      <c r="I22" s="11" t="e">
        <v>#N/A</v>
      </c>
      <c r="J22" s="12" t="e">
        <v>#N/A</v>
      </c>
    </row>
    <row r="23" spans="1:10" x14ac:dyDescent="0.35">
      <c r="A23" s="13" t="s">
        <v>782</v>
      </c>
      <c r="B23" s="14">
        <v>45224.083333333343</v>
      </c>
      <c r="C23" s="15" t="s">
        <v>824</v>
      </c>
      <c r="D23" s="3">
        <v>31</v>
      </c>
      <c r="E23" s="15" t="s">
        <v>735</v>
      </c>
      <c r="F23" s="15" t="e">
        <v>#N/A</v>
      </c>
      <c r="G23" s="15" t="e">
        <v>#N/A</v>
      </c>
      <c r="H23" s="15" t="e">
        <v>#N/A</v>
      </c>
      <c r="I23" s="15" t="e">
        <v>#N/A</v>
      </c>
      <c r="J23" s="16" t="e">
        <v>#N/A</v>
      </c>
    </row>
    <row r="24" spans="1:10" x14ac:dyDescent="0.35">
      <c r="A24" s="9" t="s">
        <v>1225</v>
      </c>
      <c r="B24" s="10">
        <v>45228.269444444442</v>
      </c>
      <c r="C24" s="11" t="s">
        <v>824</v>
      </c>
      <c r="D24" s="4">
        <v>109</v>
      </c>
      <c r="E24" s="11" t="s">
        <v>738</v>
      </c>
      <c r="F24" s="11" t="e">
        <v>#N/A</v>
      </c>
      <c r="G24" s="11" t="e">
        <v>#N/A</v>
      </c>
      <c r="H24" s="11" t="e">
        <v>#N/A</v>
      </c>
      <c r="I24" s="11" t="e">
        <v>#N/A</v>
      </c>
      <c r="J24" s="12" t="e">
        <v>#N/A</v>
      </c>
    </row>
    <row r="25" spans="1:10" x14ac:dyDescent="0.35">
      <c r="A25" s="13" t="s">
        <v>782</v>
      </c>
      <c r="B25" s="14">
        <v>45201.856944444437</v>
      </c>
      <c r="C25" s="15" t="s">
        <v>796</v>
      </c>
      <c r="D25" s="3">
        <v>61</v>
      </c>
      <c r="E25" s="15" t="s">
        <v>735</v>
      </c>
      <c r="F25" s="15" t="e">
        <v>#N/A</v>
      </c>
      <c r="G25" s="15" t="e">
        <v>#N/A</v>
      </c>
      <c r="H25" s="15" t="e">
        <v>#N/A</v>
      </c>
      <c r="I25" s="15" t="e">
        <v>#N/A</v>
      </c>
      <c r="J25" s="16" t="e">
        <v>#N/A</v>
      </c>
    </row>
    <row r="26" spans="1:10" x14ac:dyDescent="0.35">
      <c r="A26" s="9" t="s">
        <v>1351</v>
      </c>
      <c r="B26" s="10">
        <v>45211.324305555558</v>
      </c>
      <c r="C26" s="11" t="s">
        <v>1352</v>
      </c>
      <c r="D26" s="4">
        <v>120</v>
      </c>
      <c r="E26" s="11" t="s">
        <v>740</v>
      </c>
      <c r="F26" s="11" t="e">
        <v>#N/A</v>
      </c>
      <c r="G26" s="11" t="e">
        <v>#N/A</v>
      </c>
      <c r="H26" s="11" t="e">
        <v>#N/A</v>
      </c>
      <c r="I26" s="11" t="e">
        <v>#N/A</v>
      </c>
      <c r="J26" s="12" t="e">
        <v>#N/A</v>
      </c>
    </row>
    <row r="27" spans="1:10" x14ac:dyDescent="0.35">
      <c r="A27" s="13" t="s">
        <v>1091</v>
      </c>
      <c r="B27" s="14">
        <v>45205.480555555558</v>
      </c>
      <c r="C27" s="15" t="s">
        <v>1094</v>
      </c>
      <c r="D27" s="3">
        <v>43</v>
      </c>
      <c r="E27" s="15" t="s">
        <v>738</v>
      </c>
      <c r="F27" s="15" t="e">
        <v>#N/A</v>
      </c>
      <c r="G27" s="15" t="e">
        <v>#N/A</v>
      </c>
      <c r="H27" s="15" t="e">
        <v>#N/A</v>
      </c>
      <c r="I27" s="15" t="e">
        <v>#N/A</v>
      </c>
      <c r="J27" s="16" t="e">
        <v>#N/A</v>
      </c>
    </row>
    <row r="28" spans="1:10" x14ac:dyDescent="0.35">
      <c r="A28" s="9" t="s">
        <v>1120</v>
      </c>
      <c r="B28" s="10">
        <v>45201.043055555558</v>
      </c>
      <c r="C28" s="11" t="s">
        <v>1094</v>
      </c>
      <c r="D28" s="4">
        <v>45</v>
      </c>
      <c r="E28" s="11" t="s">
        <v>738</v>
      </c>
      <c r="F28" s="11" t="e">
        <v>#N/A</v>
      </c>
      <c r="G28" s="11" t="e">
        <v>#N/A</v>
      </c>
      <c r="H28" s="11" t="e">
        <v>#N/A</v>
      </c>
      <c r="I28" s="11" t="e">
        <v>#N/A</v>
      </c>
      <c r="J28" s="12" t="e">
        <v>#N/A</v>
      </c>
    </row>
    <row r="29" spans="1:10" x14ac:dyDescent="0.35">
      <c r="A29" s="13" t="s">
        <v>782</v>
      </c>
      <c r="B29" s="14">
        <v>45227.135416666657</v>
      </c>
      <c r="C29" s="15" t="s">
        <v>791</v>
      </c>
      <c r="D29" s="3">
        <v>13</v>
      </c>
      <c r="E29" s="15" t="s">
        <v>738</v>
      </c>
      <c r="F29" s="15" t="e">
        <v>#N/A</v>
      </c>
      <c r="G29" s="15" t="e">
        <v>#N/A</v>
      </c>
      <c r="H29" s="15" t="e">
        <v>#N/A</v>
      </c>
      <c r="I29" s="15" t="e">
        <v>#N/A</v>
      </c>
      <c r="J29" s="16" t="e">
        <v>#N/A</v>
      </c>
    </row>
    <row r="30" spans="1:10" x14ac:dyDescent="0.35">
      <c r="A30" s="9" t="s">
        <v>905</v>
      </c>
      <c r="B30" s="10">
        <v>45214.113194444442</v>
      </c>
      <c r="C30" s="11" t="s">
        <v>791</v>
      </c>
      <c r="D30" s="4">
        <v>47</v>
      </c>
      <c r="E30" s="11" t="s">
        <v>740</v>
      </c>
      <c r="F30" s="11" t="e">
        <v>#N/A</v>
      </c>
      <c r="G30" s="11" t="e">
        <v>#N/A</v>
      </c>
      <c r="H30" s="11" t="e">
        <v>#N/A</v>
      </c>
      <c r="I30" s="11" t="e">
        <v>#N/A</v>
      </c>
      <c r="J30" s="12" t="e">
        <v>#N/A</v>
      </c>
    </row>
    <row r="31" spans="1:10" x14ac:dyDescent="0.35">
      <c r="A31" s="13" t="s">
        <v>1389</v>
      </c>
      <c r="B31" s="14">
        <v>45220.230555555558</v>
      </c>
      <c r="C31" s="15" t="s">
        <v>791</v>
      </c>
      <c r="D31" s="3">
        <v>111</v>
      </c>
      <c r="E31" s="15" t="s">
        <v>740</v>
      </c>
      <c r="F31" s="15" t="e">
        <v>#N/A</v>
      </c>
      <c r="G31" s="15" t="e">
        <v>#N/A</v>
      </c>
      <c r="H31" s="15" t="e">
        <v>#N/A</v>
      </c>
      <c r="I31" s="15" t="e">
        <v>#N/A</v>
      </c>
      <c r="J31" s="16" t="e">
        <v>#N/A</v>
      </c>
    </row>
    <row r="32" spans="1:10" x14ac:dyDescent="0.35">
      <c r="A32" s="9" t="s">
        <v>733</v>
      </c>
      <c r="B32" s="10">
        <v>45222.425694444442</v>
      </c>
      <c r="C32" s="11" t="s">
        <v>778</v>
      </c>
      <c r="D32" s="4">
        <v>48</v>
      </c>
      <c r="E32" s="11" t="s">
        <v>735</v>
      </c>
      <c r="F32" s="11" t="e">
        <v>#N/A</v>
      </c>
      <c r="G32" s="11" t="e">
        <v>#N/A</v>
      </c>
      <c r="H32" s="11" t="e">
        <v>#N/A</v>
      </c>
      <c r="I32" s="11" t="e">
        <v>#N/A</v>
      </c>
      <c r="J32" s="12" t="e">
        <v>#N/A</v>
      </c>
    </row>
    <row r="33" spans="1:10" x14ac:dyDescent="0.35">
      <c r="A33" s="13" t="s">
        <v>1120</v>
      </c>
      <c r="B33" s="14">
        <v>45217.488194444442</v>
      </c>
      <c r="C33" s="15" t="s">
        <v>1137</v>
      </c>
      <c r="D33" s="3">
        <v>94</v>
      </c>
      <c r="E33" s="15" t="s">
        <v>735</v>
      </c>
      <c r="F33" s="15" t="e">
        <v>#N/A</v>
      </c>
      <c r="G33" s="15" t="e">
        <v>#N/A</v>
      </c>
      <c r="H33" s="15" t="e">
        <v>#N/A</v>
      </c>
      <c r="I33" s="15" t="e">
        <v>#N/A</v>
      </c>
      <c r="J33" s="16" t="e">
        <v>#N/A</v>
      </c>
    </row>
    <row r="34" spans="1:10" x14ac:dyDescent="0.35">
      <c r="A34" s="9" t="s">
        <v>1267</v>
      </c>
      <c r="B34" s="10">
        <v>45221.96597222222</v>
      </c>
      <c r="C34" s="11" t="s">
        <v>1271</v>
      </c>
      <c r="D34" s="4">
        <v>84</v>
      </c>
      <c r="E34" s="11" t="s">
        <v>740</v>
      </c>
      <c r="F34" s="11" t="e">
        <v>#N/A</v>
      </c>
      <c r="G34" s="11" t="e">
        <v>#N/A</v>
      </c>
      <c r="H34" s="11" t="e">
        <v>#N/A</v>
      </c>
      <c r="I34" s="11" t="e">
        <v>#N/A</v>
      </c>
      <c r="J34" s="12" t="e">
        <v>#N/A</v>
      </c>
    </row>
    <row r="35" spans="1:10" x14ac:dyDescent="0.35">
      <c r="A35" s="13" t="s">
        <v>1314</v>
      </c>
      <c r="B35" s="14">
        <v>45203.958333333343</v>
      </c>
      <c r="C35" s="15" t="s">
        <v>1323</v>
      </c>
      <c r="D35" s="3">
        <v>65</v>
      </c>
      <c r="E35" s="15" t="s">
        <v>740</v>
      </c>
      <c r="F35" s="15" t="e">
        <v>#N/A</v>
      </c>
      <c r="G35" s="15" t="e">
        <v>#N/A</v>
      </c>
      <c r="H35" s="15" t="e">
        <v>#N/A</v>
      </c>
      <c r="I35" s="15" t="e">
        <v>#N/A</v>
      </c>
      <c r="J35" s="16" t="e">
        <v>#N/A</v>
      </c>
    </row>
    <row r="36" spans="1:10" x14ac:dyDescent="0.35">
      <c r="A36" s="9" t="s">
        <v>1267</v>
      </c>
      <c r="B36" s="10">
        <v>45211.147222222222</v>
      </c>
      <c r="C36" s="11" t="s">
        <v>1290</v>
      </c>
      <c r="D36" s="4">
        <v>89</v>
      </c>
      <c r="E36" s="11" t="s">
        <v>738</v>
      </c>
      <c r="F36" s="11" t="e">
        <v>#N/A</v>
      </c>
      <c r="G36" s="11" t="e">
        <v>#N/A</v>
      </c>
      <c r="H36" s="11" t="e">
        <v>#N/A</v>
      </c>
      <c r="I36" s="11" t="e">
        <v>#N/A</v>
      </c>
      <c r="J36" s="12" t="e">
        <v>#N/A</v>
      </c>
    </row>
    <row r="37" spans="1:10" x14ac:dyDescent="0.35">
      <c r="A37" s="13" t="s">
        <v>1314</v>
      </c>
      <c r="B37" s="14">
        <v>45209.174305555563</v>
      </c>
      <c r="C37" s="15" t="s">
        <v>1290</v>
      </c>
      <c r="D37" s="3">
        <v>5</v>
      </c>
      <c r="E37" s="15" t="s">
        <v>735</v>
      </c>
      <c r="F37" s="15" t="e">
        <v>#N/A</v>
      </c>
      <c r="G37" s="15" t="e">
        <v>#N/A</v>
      </c>
      <c r="H37" s="15" t="e">
        <v>#N/A</v>
      </c>
      <c r="I37" s="15" t="e">
        <v>#N/A</v>
      </c>
      <c r="J37" s="16" t="e">
        <v>#N/A</v>
      </c>
    </row>
    <row r="38" spans="1:10" x14ac:dyDescent="0.35">
      <c r="A38" s="9" t="s">
        <v>981</v>
      </c>
      <c r="B38" s="10">
        <v>45221.481944444437</v>
      </c>
      <c r="C38" s="11" t="s">
        <v>990</v>
      </c>
      <c r="D38" s="4">
        <v>80</v>
      </c>
      <c r="E38" s="11" t="s">
        <v>740</v>
      </c>
      <c r="F38" s="11" t="e">
        <v>#N/A</v>
      </c>
      <c r="G38" s="11" t="e">
        <v>#N/A</v>
      </c>
      <c r="H38" s="11" t="e">
        <v>#N/A</v>
      </c>
      <c r="I38" s="11" t="e">
        <v>#N/A</v>
      </c>
      <c r="J38" s="12" t="e">
        <v>#N/A</v>
      </c>
    </row>
    <row r="39" spans="1:10" x14ac:dyDescent="0.35">
      <c r="A39" s="13" t="s">
        <v>1063</v>
      </c>
      <c r="B39" s="14">
        <v>45220.262499999997</v>
      </c>
      <c r="C39" s="15" t="s">
        <v>1088</v>
      </c>
      <c r="D39" s="3">
        <v>96</v>
      </c>
      <c r="E39" s="15" t="s">
        <v>735</v>
      </c>
      <c r="F39" s="15" t="e">
        <v>#N/A</v>
      </c>
      <c r="G39" s="15" t="e">
        <v>#N/A</v>
      </c>
      <c r="H39" s="15" t="e">
        <v>#N/A</v>
      </c>
      <c r="I39" s="15" t="e">
        <v>#N/A</v>
      </c>
      <c r="J39" s="16" t="e">
        <v>#N/A</v>
      </c>
    </row>
    <row r="40" spans="1:10" x14ac:dyDescent="0.35">
      <c r="A40" s="9" t="s">
        <v>1414</v>
      </c>
      <c r="B40" s="10">
        <v>45212.879861111112</v>
      </c>
      <c r="C40" s="11" t="s">
        <v>1088</v>
      </c>
      <c r="D40" s="4">
        <v>99</v>
      </c>
      <c r="E40" s="11" t="s">
        <v>735</v>
      </c>
      <c r="F40" s="11" t="e">
        <v>#N/A</v>
      </c>
      <c r="G40" s="11" t="e">
        <v>#N/A</v>
      </c>
      <c r="H40" s="11" t="e">
        <v>#N/A</v>
      </c>
      <c r="I40" s="11" t="e">
        <v>#N/A</v>
      </c>
      <c r="J40" s="12" t="e">
        <v>#N/A</v>
      </c>
    </row>
    <row r="41" spans="1:10" x14ac:dyDescent="0.35">
      <c r="A41" s="13" t="s">
        <v>1247</v>
      </c>
      <c r="B41" s="14">
        <v>45221.583333333343</v>
      </c>
      <c r="C41" s="15" t="s">
        <v>1262</v>
      </c>
      <c r="D41" s="3">
        <v>106</v>
      </c>
      <c r="E41" s="15" t="s">
        <v>740</v>
      </c>
      <c r="F41" s="15" t="e">
        <v>#N/A</v>
      </c>
      <c r="G41" s="15" t="e">
        <v>#N/A</v>
      </c>
      <c r="H41" s="15" t="e">
        <v>#N/A</v>
      </c>
      <c r="I41" s="15" t="e">
        <v>#N/A</v>
      </c>
      <c r="J41" s="16" t="e">
        <v>#N/A</v>
      </c>
    </row>
    <row r="42" spans="1:10" x14ac:dyDescent="0.35">
      <c r="A42" s="9" t="s">
        <v>981</v>
      </c>
      <c r="B42" s="10">
        <v>45204.570138888892</v>
      </c>
      <c r="C42" s="11" t="s">
        <v>985</v>
      </c>
      <c r="D42" s="4">
        <v>13</v>
      </c>
      <c r="E42" s="11" t="s">
        <v>740</v>
      </c>
      <c r="F42" s="11" t="e">
        <v>#N/A</v>
      </c>
      <c r="G42" s="11" t="e">
        <v>#N/A</v>
      </c>
      <c r="H42" s="11" t="e">
        <v>#N/A</v>
      </c>
      <c r="I42" s="11" t="e">
        <v>#N/A</v>
      </c>
      <c r="J42" s="12" t="e">
        <v>#N/A</v>
      </c>
    </row>
    <row r="43" spans="1:10" x14ac:dyDescent="0.35">
      <c r="A43" s="13" t="s">
        <v>1063</v>
      </c>
      <c r="B43" s="14">
        <v>45212.626388888893</v>
      </c>
      <c r="C43" s="15" t="s">
        <v>1074</v>
      </c>
      <c r="D43" s="3">
        <v>107</v>
      </c>
      <c r="E43" s="15" t="s">
        <v>738</v>
      </c>
      <c r="F43" s="15" t="e">
        <v>#N/A</v>
      </c>
      <c r="G43" s="15" t="e">
        <v>#N/A</v>
      </c>
      <c r="H43" s="15" t="e">
        <v>#N/A</v>
      </c>
      <c r="I43" s="15" t="e">
        <v>#N/A</v>
      </c>
      <c r="J43" s="16" t="e">
        <v>#N/A</v>
      </c>
    </row>
    <row r="44" spans="1:10" x14ac:dyDescent="0.35">
      <c r="A44" s="9" t="s">
        <v>1267</v>
      </c>
      <c r="B44" s="10">
        <v>45210.30972222222</v>
      </c>
      <c r="C44" s="11" t="s">
        <v>1074</v>
      </c>
      <c r="D44" s="4">
        <v>47</v>
      </c>
      <c r="E44" s="11" t="s">
        <v>738</v>
      </c>
      <c r="F44" s="11" t="e">
        <v>#N/A</v>
      </c>
      <c r="G44" s="11" t="e">
        <v>#N/A</v>
      </c>
      <c r="H44" s="11" t="e">
        <v>#N/A</v>
      </c>
      <c r="I44" s="11" t="e">
        <v>#N/A</v>
      </c>
      <c r="J44" s="12" t="e">
        <v>#N/A</v>
      </c>
    </row>
    <row r="45" spans="1:10" x14ac:dyDescent="0.35">
      <c r="A45" s="13" t="s">
        <v>981</v>
      </c>
      <c r="B45" s="14">
        <v>45213.334722222222</v>
      </c>
      <c r="C45" s="15" t="s">
        <v>987</v>
      </c>
      <c r="D45" s="3">
        <v>62</v>
      </c>
      <c r="E45" s="15" t="s">
        <v>735</v>
      </c>
      <c r="F45" s="15" t="e">
        <v>#N/A</v>
      </c>
      <c r="G45" s="15" t="e">
        <v>#N/A</v>
      </c>
      <c r="H45" s="15" t="e">
        <v>#N/A</v>
      </c>
      <c r="I45" s="15" t="e">
        <v>#N/A</v>
      </c>
      <c r="J45" s="16" t="e">
        <v>#N/A</v>
      </c>
    </row>
    <row r="46" spans="1:10" x14ac:dyDescent="0.35">
      <c r="A46" s="9" t="s">
        <v>1171</v>
      </c>
      <c r="B46" s="10">
        <v>45226.656944444447</v>
      </c>
      <c r="C46" s="11" t="s">
        <v>987</v>
      </c>
      <c r="D46" s="4">
        <v>7</v>
      </c>
      <c r="E46" s="11" t="s">
        <v>735</v>
      </c>
      <c r="F46" s="11" t="e">
        <v>#N/A</v>
      </c>
      <c r="G46" s="11" t="e">
        <v>#N/A</v>
      </c>
      <c r="H46" s="11" t="e">
        <v>#N/A</v>
      </c>
      <c r="I46" s="11" t="e">
        <v>#N/A</v>
      </c>
      <c r="J46" s="12" t="e">
        <v>#N/A</v>
      </c>
    </row>
    <row r="47" spans="1:10" x14ac:dyDescent="0.35">
      <c r="A47" s="13" t="s">
        <v>1267</v>
      </c>
      <c r="B47" s="14">
        <v>45203.324305555558</v>
      </c>
      <c r="C47" s="15" t="s">
        <v>1283</v>
      </c>
      <c r="D47" s="3">
        <v>34</v>
      </c>
      <c r="E47" s="15" t="s">
        <v>735</v>
      </c>
      <c r="F47" s="15" t="e">
        <v>#N/A</v>
      </c>
      <c r="G47" s="15" t="e">
        <v>#N/A</v>
      </c>
      <c r="H47" s="15" t="e">
        <v>#N/A</v>
      </c>
      <c r="I47" s="15" t="e">
        <v>#N/A</v>
      </c>
      <c r="J47" s="16" t="e">
        <v>#N/A</v>
      </c>
    </row>
    <row r="48" spans="1:10" x14ac:dyDescent="0.35">
      <c r="A48" s="9" t="s">
        <v>1120</v>
      </c>
      <c r="B48" s="10">
        <v>45219.633333333331</v>
      </c>
      <c r="C48" s="11" t="s">
        <v>1138</v>
      </c>
      <c r="D48" s="4">
        <v>18</v>
      </c>
      <c r="E48" s="11" t="s">
        <v>740</v>
      </c>
      <c r="F48" s="11" t="e">
        <v>#N/A</v>
      </c>
      <c r="G48" s="11" t="e">
        <v>#N/A</v>
      </c>
      <c r="H48" s="11" t="e">
        <v>#N/A</v>
      </c>
      <c r="I48" s="11" t="e">
        <v>#N/A</v>
      </c>
      <c r="J48" s="12" t="e">
        <v>#N/A</v>
      </c>
    </row>
    <row r="49" spans="1:10" x14ac:dyDescent="0.35">
      <c r="A49" s="13" t="s">
        <v>782</v>
      </c>
      <c r="B49" s="14">
        <v>45206.273611111108</v>
      </c>
      <c r="C49" s="15" t="s">
        <v>792</v>
      </c>
      <c r="D49" s="3">
        <v>117</v>
      </c>
      <c r="E49" s="15" t="s">
        <v>740</v>
      </c>
      <c r="F49" s="15" t="e">
        <v>#N/A</v>
      </c>
      <c r="G49" s="15" t="e">
        <v>#N/A</v>
      </c>
      <c r="H49" s="15" t="e">
        <v>#N/A</v>
      </c>
      <c r="I49" s="15" t="e">
        <v>#N/A</v>
      </c>
      <c r="J49" s="16" t="e">
        <v>#N/A</v>
      </c>
    </row>
    <row r="50" spans="1:10" x14ac:dyDescent="0.35">
      <c r="A50" s="9" t="s">
        <v>1267</v>
      </c>
      <c r="B50" s="10">
        <v>45227.010416666657</v>
      </c>
      <c r="C50" s="11" t="s">
        <v>1285</v>
      </c>
      <c r="D50" s="4">
        <v>49</v>
      </c>
      <c r="E50" s="11" t="s">
        <v>740</v>
      </c>
      <c r="F50" s="11" t="e">
        <v>#N/A</v>
      </c>
      <c r="G50" s="11" t="e">
        <v>#N/A</v>
      </c>
      <c r="H50" s="11" t="e">
        <v>#N/A</v>
      </c>
      <c r="I50" s="11" t="e">
        <v>#N/A</v>
      </c>
      <c r="J50" s="12" t="e">
        <v>#N/A</v>
      </c>
    </row>
    <row r="51" spans="1:10" x14ac:dyDescent="0.35">
      <c r="A51" s="13" t="s">
        <v>942</v>
      </c>
      <c r="B51" s="14">
        <v>45215.047222222223</v>
      </c>
      <c r="C51" s="15" t="s">
        <v>949</v>
      </c>
      <c r="D51" s="3">
        <v>35</v>
      </c>
      <c r="E51" s="15" t="s">
        <v>735</v>
      </c>
      <c r="F51" s="15" t="e">
        <v>#N/A</v>
      </c>
      <c r="G51" s="15" t="e">
        <v>#N/A</v>
      </c>
      <c r="H51" s="15" t="e">
        <v>#N/A</v>
      </c>
      <c r="I51" s="15" t="e">
        <v>#N/A</v>
      </c>
      <c r="J51" s="16" t="e">
        <v>#N/A</v>
      </c>
    </row>
    <row r="52" spans="1:10" x14ac:dyDescent="0.35">
      <c r="A52" s="9" t="s">
        <v>1091</v>
      </c>
      <c r="B52" s="10">
        <v>45222.944444444453</v>
      </c>
      <c r="C52" s="11" t="s">
        <v>949</v>
      </c>
      <c r="D52" s="4">
        <v>87</v>
      </c>
      <c r="E52" s="11" t="s">
        <v>738</v>
      </c>
      <c r="F52" s="11" t="e">
        <v>#N/A</v>
      </c>
      <c r="G52" s="11" t="e">
        <v>#N/A</v>
      </c>
      <c r="H52" s="11" t="e">
        <v>#N/A</v>
      </c>
      <c r="I52" s="11" t="e">
        <v>#N/A</v>
      </c>
      <c r="J52" s="12" t="e">
        <v>#N/A</v>
      </c>
    </row>
    <row r="53" spans="1:10" x14ac:dyDescent="0.35">
      <c r="A53" s="13" t="s">
        <v>1314</v>
      </c>
      <c r="B53" s="14">
        <v>45229.801388888889</v>
      </c>
      <c r="C53" s="15" t="s">
        <v>949</v>
      </c>
      <c r="D53" s="3">
        <v>89</v>
      </c>
      <c r="E53" s="15" t="s">
        <v>735</v>
      </c>
      <c r="F53" s="15" t="e">
        <v>#N/A</v>
      </c>
      <c r="G53" s="15" t="e">
        <v>#N/A</v>
      </c>
      <c r="H53" s="15" t="e">
        <v>#N/A</v>
      </c>
      <c r="I53" s="15" t="e">
        <v>#N/A</v>
      </c>
      <c r="J53" s="16" t="e">
        <v>#N/A</v>
      </c>
    </row>
    <row r="54" spans="1:10" x14ac:dyDescent="0.35">
      <c r="A54" s="9" t="s">
        <v>981</v>
      </c>
      <c r="B54" s="10">
        <v>45227.005555555559</v>
      </c>
      <c r="C54" s="11" t="s">
        <v>999</v>
      </c>
      <c r="D54" s="4">
        <v>66</v>
      </c>
      <c r="E54" s="11" t="s">
        <v>740</v>
      </c>
      <c r="F54" s="11" t="e">
        <v>#N/A</v>
      </c>
      <c r="G54" s="11" t="e">
        <v>#N/A</v>
      </c>
      <c r="H54" s="11" t="e">
        <v>#N/A</v>
      </c>
      <c r="I54" s="11" t="e">
        <v>#N/A</v>
      </c>
      <c r="J54" s="12" t="e">
        <v>#N/A</v>
      </c>
    </row>
    <row r="55" spans="1:10" x14ac:dyDescent="0.35">
      <c r="A55" s="13" t="s">
        <v>1351</v>
      </c>
      <c r="B55" s="14">
        <v>45225.088888888888</v>
      </c>
      <c r="C55" s="15" t="s">
        <v>1363</v>
      </c>
      <c r="D55" s="3">
        <v>51</v>
      </c>
      <c r="E55" s="15" t="s">
        <v>735</v>
      </c>
      <c r="F55" s="15" t="e">
        <v>#N/A</v>
      </c>
      <c r="G55" s="15" t="e">
        <v>#N/A</v>
      </c>
      <c r="H55" s="15" t="e">
        <v>#N/A</v>
      </c>
      <c r="I55" s="15" t="e">
        <v>#N/A</v>
      </c>
      <c r="J55" s="16" t="e">
        <v>#N/A</v>
      </c>
    </row>
    <row r="56" spans="1:10" x14ac:dyDescent="0.35">
      <c r="A56" s="9" t="s">
        <v>1225</v>
      </c>
      <c r="B56" s="10">
        <v>45214.136111111111</v>
      </c>
      <c r="C56" s="11" t="s">
        <v>1241</v>
      </c>
      <c r="D56" s="4">
        <v>92</v>
      </c>
      <c r="E56" s="11" t="s">
        <v>735</v>
      </c>
      <c r="F56" s="11" t="e">
        <v>#N/A</v>
      </c>
      <c r="G56" s="11" t="e">
        <v>#N/A</v>
      </c>
      <c r="H56" s="11" t="e">
        <v>#N/A</v>
      </c>
      <c r="I56" s="11" t="e">
        <v>#N/A</v>
      </c>
      <c r="J56" s="12" t="e">
        <v>#N/A</v>
      </c>
    </row>
    <row r="57" spans="1:10" x14ac:dyDescent="0.35">
      <c r="A57" s="13" t="s">
        <v>1336</v>
      </c>
      <c r="B57" s="14">
        <v>45219.821527777778</v>
      </c>
      <c r="C57" s="15" t="s">
        <v>1241</v>
      </c>
      <c r="D57" s="3">
        <v>31</v>
      </c>
      <c r="E57" s="15" t="s">
        <v>738</v>
      </c>
      <c r="F57" s="15" t="e">
        <v>#N/A</v>
      </c>
      <c r="G57" s="15" t="e">
        <v>#N/A</v>
      </c>
      <c r="H57" s="15" t="e">
        <v>#N/A</v>
      </c>
      <c r="I57" s="15" t="e">
        <v>#N/A</v>
      </c>
      <c r="J57" s="16" t="e">
        <v>#N/A</v>
      </c>
    </row>
    <row r="58" spans="1:10" x14ac:dyDescent="0.35">
      <c r="A58" s="9" t="s">
        <v>1351</v>
      </c>
      <c r="B58" s="10">
        <v>45211.380555555559</v>
      </c>
      <c r="C58" s="11" t="s">
        <v>1366</v>
      </c>
      <c r="D58" s="4">
        <v>84</v>
      </c>
      <c r="E58" s="11" t="s">
        <v>735</v>
      </c>
      <c r="F58" s="11" t="e">
        <v>#N/A</v>
      </c>
      <c r="G58" s="11" t="e">
        <v>#N/A</v>
      </c>
      <c r="H58" s="11" t="e">
        <v>#N/A</v>
      </c>
      <c r="I58" s="11" t="e">
        <v>#N/A</v>
      </c>
      <c r="J58" s="12" t="e">
        <v>#N/A</v>
      </c>
    </row>
    <row r="59" spans="1:10" x14ac:dyDescent="0.35">
      <c r="A59" s="13" t="s">
        <v>733</v>
      </c>
      <c r="B59" s="14">
        <v>45225.238888888889</v>
      </c>
      <c r="C59" s="15" t="s">
        <v>750</v>
      </c>
      <c r="D59" s="3">
        <v>16</v>
      </c>
      <c r="E59" s="15" t="s">
        <v>738</v>
      </c>
      <c r="F59" s="15" t="e">
        <v>#N/A</v>
      </c>
      <c r="G59" s="15" t="e">
        <v>#N/A</v>
      </c>
      <c r="H59" s="15" t="e">
        <v>#N/A</v>
      </c>
      <c r="I59" s="15" t="e">
        <v>#N/A</v>
      </c>
      <c r="J59" s="16" t="e">
        <v>#N/A</v>
      </c>
    </row>
    <row r="60" spans="1:10" x14ac:dyDescent="0.35">
      <c r="A60" s="9" t="s">
        <v>733</v>
      </c>
      <c r="B60" s="10">
        <v>45225.238888888889</v>
      </c>
      <c r="C60" s="11" t="s">
        <v>750</v>
      </c>
      <c r="D60" s="4">
        <v>16</v>
      </c>
      <c r="E60" s="11" t="s">
        <v>738</v>
      </c>
      <c r="F60" s="11" t="e">
        <v>#N/A</v>
      </c>
      <c r="G60" s="11" t="e">
        <v>#N/A</v>
      </c>
      <c r="H60" s="11" t="e">
        <v>#N/A</v>
      </c>
      <c r="I60" s="11" t="e">
        <v>#N/A</v>
      </c>
      <c r="J60" s="12" t="e">
        <v>#N/A</v>
      </c>
    </row>
    <row r="61" spans="1:10" x14ac:dyDescent="0.35">
      <c r="A61" s="13" t="s">
        <v>1002</v>
      </c>
      <c r="B61" s="14">
        <v>45200.115972222222</v>
      </c>
      <c r="C61" s="15" t="s">
        <v>750</v>
      </c>
      <c r="D61" s="3">
        <v>111</v>
      </c>
      <c r="E61" s="15" t="s">
        <v>740</v>
      </c>
      <c r="F61" s="15" t="e">
        <v>#N/A</v>
      </c>
      <c r="G61" s="15" t="e">
        <v>#N/A</v>
      </c>
      <c r="H61" s="15" t="e">
        <v>#N/A</v>
      </c>
      <c r="I61" s="15" t="e">
        <v>#N/A</v>
      </c>
      <c r="J61" s="16" t="e">
        <v>#N/A</v>
      </c>
    </row>
    <row r="62" spans="1:10" x14ac:dyDescent="0.35">
      <c r="A62" s="9" t="s">
        <v>981</v>
      </c>
      <c r="B62" s="10">
        <v>45207.713888888888</v>
      </c>
      <c r="C62" s="11" t="s">
        <v>982</v>
      </c>
      <c r="D62" s="4">
        <v>99</v>
      </c>
      <c r="E62" s="11" t="s">
        <v>738</v>
      </c>
      <c r="F62" s="11" t="e">
        <v>#N/A</v>
      </c>
      <c r="G62" s="11" t="e">
        <v>#N/A</v>
      </c>
      <c r="H62" s="11" t="e">
        <v>#N/A</v>
      </c>
      <c r="I62" s="11" t="e">
        <v>#N/A</v>
      </c>
      <c r="J62" s="12" t="e">
        <v>#N/A</v>
      </c>
    </row>
    <row r="63" spans="1:10" x14ac:dyDescent="0.35">
      <c r="A63" s="13" t="s">
        <v>1336</v>
      </c>
      <c r="B63" s="14">
        <v>45226.574305555558</v>
      </c>
      <c r="C63" s="15" t="s">
        <v>982</v>
      </c>
      <c r="D63" s="3">
        <v>81</v>
      </c>
      <c r="E63" s="15" t="s">
        <v>738</v>
      </c>
      <c r="F63" s="15" t="e">
        <v>#N/A</v>
      </c>
      <c r="G63" s="15" t="e">
        <v>#N/A</v>
      </c>
      <c r="H63" s="15" t="e">
        <v>#N/A</v>
      </c>
      <c r="I63" s="15" t="e">
        <v>#N/A</v>
      </c>
      <c r="J63" s="16" t="e">
        <v>#N/A</v>
      </c>
    </row>
    <row r="64" spans="1:10" x14ac:dyDescent="0.35">
      <c r="A64" s="9" t="s">
        <v>733</v>
      </c>
      <c r="B64" s="10">
        <v>45205.599999999999</v>
      </c>
      <c r="C64" s="11" t="s">
        <v>771</v>
      </c>
      <c r="D64" s="4">
        <v>19</v>
      </c>
      <c r="E64" s="11" t="s">
        <v>738</v>
      </c>
      <c r="F64" s="11" t="e">
        <v>#N/A</v>
      </c>
      <c r="G64" s="11" t="e">
        <v>#N/A</v>
      </c>
      <c r="H64" s="11" t="e">
        <v>#N/A</v>
      </c>
      <c r="I64" s="11" t="e">
        <v>#N/A</v>
      </c>
      <c r="J64" s="12" t="e">
        <v>#N/A</v>
      </c>
    </row>
    <row r="65" spans="1:10" x14ac:dyDescent="0.35">
      <c r="A65" s="13" t="s">
        <v>782</v>
      </c>
      <c r="B65" s="14">
        <v>45201.770833333343</v>
      </c>
      <c r="C65" s="15" t="s">
        <v>771</v>
      </c>
      <c r="D65" s="3">
        <v>18</v>
      </c>
      <c r="E65" s="15" t="s">
        <v>740</v>
      </c>
      <c r="F65" s="15" t="e">
        <v>#N/A</v>
      </c>
      <c r="G65" s="15" t="e">
        <v>#N/A</v>
      </c>
      <c r="H65" s="15" t="e">
        <v>#N/A</v>
      </c>
      <c r="I65" s="15" t="e">
        <v>#N/A</v>
      </c>
      <c r="J65" s="16" t="e">
        <v>#N/A</v>
      </c>
    </row>
    <row r="66" spans="1:10" x14ac:dyDescent="0.35">
      <c r="A66" s="9" t="s">
        <v>1144</v>
      </c>
      <c r="B66" s="10">
        <v>45204.68472222222</v>
      </c>
      <c r="C66" s="11" t="s">
        <v>1167</v>
      </c>
      <c r="D66" s="4">
        <v>92</v>
      </c>
      <c r="E66" s="11" t="s">
        <v>735</v>
      </c>
      <c r="F66" s="11" t="e">
        <v>#N/A</v>
      </c>
      <c r="G66" s="11" t="e">
        <v>#N/A</v>
      </c>
      <c r="H66" s="11" t="e">
        <v>#N/A</v>
      </c>
      <c r="I66" s="11" t="e">
        <v>#N/A</v>
      </c>
      <c r="J66" s="12" t="e">
        <v>#N/A</v>
      </c>
    </row>
    <row r="67" spans="1:10" x14ac:dyDescent="0.35">
      <c r="A67" s="13" t="s">
        <v>1225</v>
      </c>
      <c r="B67" s="14">
        <v>45225.921527777777</v>
      </c>
      <c r="C67" s="15" t="s">
        <v>1167</v>
      </c>
      <c r="D67" s="3">
        <v>45</v>
      </c>
      <c r="E67" s="15" t="s">
        <v>735</v>
      </c>
      <c r="F67" s="15" t="e">
        <v>#N/A</v>
      </c>
      <c r="G67" s="15" t="e">
        <v>#N/A</v>
      </c>
      <c r="H67" s="15" t="e">
        <v>#N/A</v>
      </c>
      <c r="I67" s="15" t="e">
        <v>#N/A</v>
      </c>
      <c r="J67" s="16" t="e">
        <v>#N/A</v>
      </c>
    </row>
    <row r="68" spans="1:10" x14ac:dyDescent="0.35">
      <c r="A68" s="9" t="s">
        <v>1247</v>
      </c>
      <c r="B68" s="10">
        <v>45224.310416666667</v>
      </c>
      <c r="C68" s="11" t="s">
        <v>1167</v>
      </c>
      <c r="D68" s="4">
        <v>98</v>
      </c>
      <c r="E68" s="11" t="s">
        <v>738</v>
      </c>
      <c r="F68" s="11" t="e">
        <v>#N/A</v>
      </c>
      <c r="G68" s="11" t="e">
        <v>#N/A</v>
      </c>
      <c r="H68" s="11" t="e">
        <v>#N/A</v>
      </c>
      <c r="I68" s="11" t="e">
        <v>#N/A</v>
      </c>
      <c r="J68" s="12" t="e">
        <v>#N/A</v>
      </c>
    </row>
    <row r="69" spans="1:10" x14ac:dyDescent="0.35">
      <c r="A69" s="13" t="s">
        <v>981</v>
      </c>
      <c r="B69" s="14">
        <v>45210.007638888892</v>
      </c>
      <c r="C69" s="15" t="s">
        <v>1001</v>
      </c>
      <c r="D69" s="3">
        <v>59</v>
      </c>
      <c r="E69" s="15" t="s">
        <v>738</v>
      </c>
      <c r="F69" s="15" t="e">
        <v>#N/A</v>
      </c>
      <c r="G69" s="15" t="e">
        <v>#N/A</v>
      </c>
      <c r="H69" s="15" t="e">
        <v>#N/A</v>
      </c>
      <c r="I69" s="15" t="e">
        <v>#N/A</v>
      </c>
      <c r="J69" s="16" t="e">
        <v>#N/A</v>
      </c>
    </row>
    <row r="70" spans="1:10" x14ac:dyDescent="0.35">
      <c r="A70" s="9" t="s">
        <v>1002</v>
      </c>
      <c r="B70" s="10">
        <v>45209.462500000001</v>
      </c>
      <c r="C70" s="11" t="s">
        <v>1001</v>
      </c>
      <c r="D70" s="4">
        <v>102</v>
      </c>
      <c r="E70" s="11" t="s">
        <v>740</v>
      </c>
      <c r="F70" s="11" t="e">
        <v>#N/A</v>
      </c>
      <c r="G70" s="11" t="e">
        <v>#N/A</v>
      </c>
      <c r="H70" s="11" t="e">
        <v>#N/A</v>
      </c>
      <c r="I70" s="11" t="e">
        <v>#N/A</v>
      </c>
      <c r="J70" s="12" t="e">
        <v>#N/A</v>
      </c>
    </row>
    <row r="71" spans="1:10" x14ac:dyDescent="0.35">
      <c r="A71" s="13" t="s">
        <v>1414</v>
      </c>
      <c r="B71" s="14">
        <v>45200.836111111108</v>
      </c>
      <c r="C71" s="15" t="s">
        <v>1001</v>
      </c>
      <c r="D71" s="3">
        <v>6</v>
      </c>
      <c r="E71" s="15" t="s">
        <v>735</v>
      </c>
      <c r="F71" s="15" t="e">
        <v>#N/A</v>
      </c>
      <c r="G71" s="15" t="e">
        <v>#N/A</v>
      </c>
      <c r="H71" s="15" t="e">
        <v>#N/A</v>
      </c>
      <c r="I71" s="15" t="e">
        <v>#N/A</v>
      </c>
      <c r="J71" s="16" t="e">
        <v>#N/A</v>
      </c>
    </row>
    <row r="72" spans="1:10" x14ac:dyDescent="0.35">
      <c r="A72" s="9" t="s">
        <v>905</v>
      </c>
      <c r="B72" s="10">
        <v>45230.629861111112</v>
      </c>
      <c r="C72" s="11" t="s">
        <v>907</v>
      </c>
      <c r="D72" s="4">
        <v>91</v>
      </c>
      <c r="E72" s="11" t="s">
        <v>735</v>
      </c>
      <c r="F72" s="11" t="e">
        <v>#N/A</v>
      </c>
      <c r="G72" s="11" t="e">
        <v>#N/A</v>
      </c>
      <c r="H72" s="11" t="e">
        <v>#N/A</v>
      </c>
      <c r="I72" s="11" t="e">
        <v>#N/A</v>
      </c>
      <c r="J72" s="12" t="e">
        <v>#N/A</v>
      </c>
    </row>
    <row r="73" spans="1:10" x14ac:dyDescent="0.35">
      <c r="A73" s="13" t="s">
        <v>1351</v>
      </c>
      <c r="B73" s="14">
        <v>45225.432638888888</v>
      </c>
      <c r="C73" s="15" t="s">
        <v>907</v>
      </c>
      <c r="D73" s="3">
        <v>50</v>
      </c>
      <c r="E73" s="15" t="s">
        <v>738</v>
      </c>
      <c r="F73" s="15" t="e">
        <v>#N/A</v>
      </c>
      <c r="G73" s="15" t="e">
        <v>#N/A</v>
      </c>
      <c r="H73" s="15" t="e">
        <v>#N/A</v>
      </c>
      <c r="I73" s="15" t="e">
        <v>#N/A</v>
      </c>
      <c r="J73" s="16" t="e">
        <v>#N/A</v>
      </c>
    </row>
    <row r="74" spans="1:10" x14ac:dyDescent="0.35">
      <c r="A74" s="9" t="s">
        <v>905</v>
      </c>
      <c r="B74" s="10">
        <v>45214.929861111108</v>
      </c>
      <c r="C74" s="11" t="s">
        <v>936</v>
      </c>
      <c r="D74" s="4">
        <v>89</v>
      </c>
      <c r="E74" s="11" t="s">
        <v>740</v>
      </c>
      <c r="F74" s="11" t="e">
        <v>#N/A</v>
      </c>
      <c r="G74" s="11" t="e">
        <v>#N/A</v>
      </c>
      <c r="H74" s="11" t="e">
        <v>#N/A</v>
      </c>
      <c r="I74" s="11" t="e">
        <v>#N/A</v>
      </c>
      <c r="J74" s="12" t="e">
        <v>#N/A</v>
      </c>
    </row>
    <row r="75" spans="1:10" x14ac:dyDescent="0.35">
      <c r="A75" s="13" t="s">
        <v>1091</v>
      </c>
      <c r="B75" s="14">
        <v>45202.912499999999</v>
      </c>
      <c r="C75" s="15" t="s">
        <v>1092</v>
      </c>
      <c r="D75" s="3">
        <v>68</v>
      </c>
      <c r="E75" s="15" t="s">
        <v>740</v>
      </c>
      <c r="F75" s="15" t="e">
        <v>#N/A</v>
      </c>
      <c r="G75" s="15" t="e">
        <v>#N/A</v>
      </c>
      <c r="H75" s="15" t="e">
        <v>#N/A</v>
      </c>
      <c r="I75" s="15" t="e">
        <v>#N/A</v>
      </c>
      <c r="J75" s="16" t="e">
        <v>#N/A</v>
      </c>
    </row>
    <row r="76" spans="1:10" x14ac:dyDescent="0.35">
      <c r="A76" s="9" t="s">
        <v>1351</v>
      </c>
      <c r="B76" s="10">
        <v>45218.794444444437</v>
      </c>
      <c r="C76" s="11" t="s">
        <v>1355</v>
      </c>
      <c r="D76" s="4">
        <v>108</v>
      </c>
      <c r="E76" s="11" t="s">
        <v>735</v>
      </c>
      <c r="F76" s="11" t="e">
        <v>#N/A</v>
      </c>
      <c r="G76" s="11" t="e">
        <v>#N/A</v>
      </c>
      <c r="H76" s="11" t="e">
        <v>#N/A</v>
      </c>
      <c r="I76" s="11" t="e">
        <v>#N/A</v>
      </c>
      <c r="J76" s="12" t="e">
        <v>#N/A</v>
      </c>
    </row>
    <row r="77" spans="1:10" x14ac:dyDescent="0.35">
      <c r="A77" s="13" t="s">
        <v>1028</v>
      </c>
      <c r="B77" s="14">
        <v>45207.17291666667</v>
      </c>
      <c r="C77" s="15" t="s">
        <v>1060</v>
      </c>
      <c r="D77" s="3">
        <v>73</v>
      </c>
      <c r="E77" s="15" t="s">
        <v>740</v>
      </c>
      <c r="F77" s="15" t="e">
        <v>#N/A</v>
      </c>
      <c r="G77" s="15" t="e">
        <v>#N/A</v>
      </c>
      <c r="H77" s="15" t="e">
        <v>#N/A</v>
      </c>
      <c r="I77" s="15" t="e">
        <v>#N/A</v>
      </c>
      <c r="J77" s="16" t="e">
        <v>#N/A</v>
      </c>
    </row>
    <row r="78" spans="1:10" x14ac:dyDescent="0.35">
      <c r="A78" s="9" t="s">
        <v>981</v>
      </c>
      <c r="B78" s="10">
        <v>45228.848611111112</v>
      </c>
      <c r="C78" s="11" t="s">
        <v>991</v>
      </c>
      <c r="D78" s="4">
        <v>18</v>
      </c>
      <c r="E78" s="11" t="s">
        <v>740</v>
      </c>
      <c r="F78" s="11" t="e">
        <v>#N/A</v>
      </c>
      <c r="G78" s="11" t="e">
        <v>#N/A</v>
      </c>
      <c r="H78" s="11" t="e">
        <v>#N/A</v>
      </c>
      <c r="I78" s="11" t="e">
        <v>#N/A</v>
      </c>
      <c r="J78" s="12" t="e">
        <v>#N/A</v>
      </c>
    </row>
    <row r="79" spans="1:10" x14ac:dyDescent="0.35">
      <c r="A79" s="13" t="s">
        <v>1063</v>
      </c>
      <c r="B79" s="14">
        <v>45208.074999999997</v>
      </c>
      <c r="C79" s="15" t="s">
        <v>991</v>
      </c>
      <c r="D79" s="3">
        <v>82</v>
      </c>
      <c r="E79" s="15" t="s">
        <v>740</v>
      </c>
      <c r="F79" s="15" t="e">
        <v>#N/A</v>
      </c>
      <c r="G79" s="15" t="e">
        <v>#N/A</v>
      </c>
      <c r="H79" s="15" t="e">
        <v>#N/A</v>
      </c>
      <c r="I79" s="15" t="e">
        <v>#N/A</v>
      </c>
      <c r="J79" s="16" t="e">
        <v>#N/A</v>
      </c>
    </row>
    <row r="80" spans="1:10" x14ac:dyDescent="0.35">
      <c r="A80" s="9" t="s">
        <v>905</v>
      </c>
      <c r="B80" s="10">
        <v>45203.718055555553</v>
      </c>
      <c r="C80" s="11" t="s">
        <v>931</v>
      </c>
      <c r="D80" s="4">
        <v>114</v>
      </c>
      <c r="E80" s="11" t="s">
        <v>738</v>
      </c>
      <c r="F80" s="11" t="e">
        <v>#N/A</v>
      </c>
      <c r="G80" s="11" t="e">
        <v>#N/A</v>
      </c>
      <c r="H80" s="11" t="e">
        <v>#N/A</v>
      </c>
      <c r="I80" s="11" t="e">
        <v>#N/A</v>
      </c>
      <c r="J80" s="12" t="e">
        <v>#N/A</v>
      </c>
    </row>
    <row r="81" spans="1:10" x14ac:dyDescent="0.35">
      <c r="A81" s="13" t="s">
        <v>942</v>
      </c>
      <c r="B81" s="14">
        <v>45230.444444444453</v>
      </c>
      <c r="C81" s="15" t="s">
        <v>931</v>
      </c>
      <c r="D81" s="3">
        <v>40</v>
      </c>
      <c r="E81" s="15" t="s">
        <v>735</v>
      </c>
      <c r="F81" s="15" t="e">
        <v>#N/A</v>
      </c>
      <c r="G81" s="15" t="e">
        <v>#N/A</v>
      </c>
      <c r="H81" s="15" t="e">
        <v>#N/A</v>
      </c>
      <c r="I81" s="15" t="e">
        <v>#N/A</v>
      </c>
      <c r="J81" s="16" t="e">
        <v>#N/A</v>
      </c>
    </row>
    <row r="82" spans="1:10" x14ac:dyDescent="0.35">
      <c r="A82" s="9" t="s">
        <v>1267</v>
      </c>
      <c r="B82" s="10">
        <v>45212.174305555563</v>
      </c>
      <c r="C82" s="11" t="s">
        <v>1286</v>
      </c>
      <c r="D82" s="4">
        <v>112</v>
      </c>
      <c r="E82" s="11" t="s">
        <v>740</v>
      </c>
      <c r="F82" s="11" t="e">
        <v>#N/A</v>
      </c>
      <c r="G82" s="11" t="e">
        <v>#N/A</v>
      </c>
      <c r="H82" s="11" t="e">
        <v>#N/A</v>
      </c>
      <c r="I82" s="11" t="e">
        <v>#N/A</v>
      </c>
      <c r="J82" s="12" t="e">
        <v>#N/A</v>
      </c>
    </row>
    <row r="83" spans="1:10" x14ac:dyDescent="0.35">
      <c r="A83" s="13" t="s">
        <v>942</v>
      </c>
      <c r="B83" s="14">
        <v>45222.51666666667</v>
      </c>
      <c r="C83" s="15" t="s">
        <v>947</v>
      </c>
      <c r="D83" s="3">
        <v>66</v>
      </c>
      <c r="E83" s="15" t="s">
        <v>735</v>
      </c>
      <c r="F83" s="15" t="e">
        <v>#N/A</v>
      </c>
      <c r="G83" s="15" t="e">
        <v>#N/A</v>
      </c>
      <c r="H83" s="15" t="e">
        <v>#N/A</v>
      </c>
      <c r="I83" s="15" t="e">
        <v>#N/A</v>
      </c>
      <c r="J83" s="16" t="e">
        <v>#N/A</v>
      </c>
    </row>
    <row r="84" spans="1:10" x14ac:dyDescent="0.35">
      <c r="A84" s="9" t="s">
        <v>1120</v>
      </c>
      <c r="B84" s="10">
        <v>45219.636111111111</v>
      </c>
      <c r="C84" s="11" t="s">
        <v>947</v>
      </c>
      <c r="D84" s="4">
        <v>49</v>
      </c>
      <c r="E84" s="11" t="s">
        <v>735</v>
      </c>
      <c r="F84" s="11" t="e">
        <v>#N/A</v>
      </c>
      <c r="G84" s="11" t="e">
        <v>#N/A</v>
      </c>
      <c r="H84" s="11" t="e">
        <v>#N/A</v>
      </c>
      <c r="I84" s="11" t="e">
        <v>#N/A</v>
      </c>
      <c r="J84" s="12" t="e">
        <v>#N/A</v>
      </c>
    </row>
    <row r="85" spans="1:10" x14ac:dyDescent="0.35">
      <c r="A85" s="13" t="s">
        <v>1351</v>
      </c>
      <c r="B85" s="14">
        <v>45210.675000000003</v>
      </c>
      <c r="C85" s="15" t="s">
        <v>947</v>
      </c>
      <c r="D85" s="3">
        <v>86</v>
      </c>
      <c r="E85" s="15" t="s">
        <v>740</v>
      </c>
      <c r="F85" s="15" t="e">
        <v>#N/A</v>
      </c>
      <c r="G85" s="15" t="e">
        <v>#N/A</v>
      </c>
      <c r="H85" s="15" t="e">
        <v>#N/A</v>
      </c>
      <c r="I85" s="15" t="e">
        <v>#N/A</v>
      </c>
      <c r="J85" s="16" t="e">
        <v>#N/A</v>
      </c>
    </row>
    <row r="86" spans="1:10" x14ac:dyDescent="0.35">
      <c r="A86" s="9" t="s">
        <v>1091</v>
      </c>
      <c r="B86" s="10">
        <v>45209.239583333343</v>
      </c>
      <c r="C86" s="11" t="s">
        <v>1093</v>
      </c>
      <c r="D86" s="4">
        <v>42</v>
      </c>
      <c r="E86" s="11" t="s">
        <v>740</v>
      </c>
      <c r="F86" s="11" t="e">
        <v>#N/A</v>
      </c>
      <c r="G86" s="11" t="e">
        <v>#N/A</v>
      </c>
      <c r="H86" s="11" t="e">
        <v>#N/A</v>
      </c>
      <c r="I86" s="11" t="e">
        <v>#N/A</v>
      </c>
      <c r="J86" s="12" t="e">
        <v>#N/A</v>
      </c>
    </row>
    <row r="87" spans="1:10" x14ac:dyDescent="0.35">
      <c r="A87" s="13" t="s">
        <v>1267</v>
      </c>
      <c r="B87" s="14">
        <v>45204.916666666657</v>
      </c>
      <c r="C87" s="15" t="s">
        <v>1272</v>
      </c>
      <c r="D87" s="3">
        <v>64</v>
      </c>
      <c r="E87" s="15" t="s">
        <v>740</v>
      </c>
      <c r="F87" s="15" t="e">
        <v>#N/A</v>
      </c>
      <c r="G87" s="15" t="e">
        <v>#N/A</v>
      </c>
      <c r="H87" s="15" t="e">
        <v>#N/A</v>
      </c>
      <c r="I87" s="15" t="e">
        <v>#N/A</v>
      </c>
      <c r="J87" s="16" t="e">
        <v>#N/A</v>
      </c>
    </row>
    <row r="88" spans="1:10" x14ac:dyDescent="0.35">
      <c r="A88" s="9" t="s">
        <v>1294</v>
      </c>
      <c r="B88" s="10">
        <v>45227.421527777777</v>
      </c>
      <c r="C88" s="11" t="s">
        <v>1272</v>
      </c>
      <c r="D88" s="4">
        <v>25</v>
      </c>
      <c r="E88" s="11" t="s">
        <v>738</v>
      </c>
      <c r="F88" s="11" t="e">
        <v>#N/A</v>
      </c>
      <c r="G88" s="11" t="e">
        <v>#N/A</v>
      </c>
      <c r="H88" s="11" t="e">
        <v>#N/A</v>
      </c>
      <c r="I88" s="11" t="e">
        <v>#N/A</v>
      </c>
      <c r="J88" s="12" t="e">
        <v>#N/A</v>
      </c>
    </row>
    <row r="89" spans="1:10" x14ac:dyDescent="0.35">
      <c r="A89" s="13" t="s">
        <v>782</v>
      </c>
      <c r="B89" s="14">
        <v>45208.505555555559</v>
      </c>
      <c r="C89" s="15" t="s">
        <v>821</v>
      </c>
      <c r="D89" s="3">
        <v>31</v>
      </c>
      <c r="E89" s="15" t="s">
        <v>740</v>
      </c>
      <c r="F89" s="15" t="e">
        <v>#N/A</v>
      </c>
      <c r="G89" s="15" t="e">
        <v>#N/A</v>
      </c>
      <c r="H89" s="15" t="e">
        <v>#N/A</v>
      </c>
      <c r="I89" s="15" t="e">
        <v>#N/A</v>
      </c>
      <c r="J89" s="16" t="e">
        <v>#N/A</v>
      </c>
    </row>
    <row r="90" spans="1:10" x14ac:dyDescent="0.35">
      <c r="A90" s="9" t="s">
        <v>981</v>
      </c>
      <c r="B90" s="10">
        <v>45227.462500000001</v>
      </c>
      <c r="C90" s="11" t="s">
        <v>821</v>
      </c>
      <c r="D90" s="4">
        <v>70</v>
      </c>
      <c r="E90" s="11" t="s">
        <v>740</v>
      </c>
      <c r="F90" s="11" t="e">
        <v>#N/A</v>
      </c>
      <c r="G90" s="11" t="e">
        <v>#N/A</v>
      </c>
      <c r="H90" s="11" t="e">
        <v>#N/A</v>
      </c>
      <c r="I90" s="11" t="e">
        <v>#N/A</v>
      </c>
      <c r="J90" s="12" t="e">
        <v>#N/A</v>
      </c>
    </row>
    <row r="91" spans="1:10" x14ac:dyDescent="0.35">
      <c r="A91" s="13" t="s">
        <v>1314</v>
      </c>
      <c r="B91" s="14">
        <v>45223.030555555553</v>
      </c>
      <c r="C91" s="15" t="s">
        <v>1316</v>
      </c>
      <c r="D91" s="3">
        <v>59</v>
      </c>
      <c r="E91" s="15" t="s">
        <v>735</v>
      </c>
      <c r="F91" s="15" t="e">
        <v>#N/A</v>
      </c>
      <c r="G91" s="15" t="e">
        <v>#N/A</v>
      </c>
      <c r="H91" s="15" t="e">
        <v>#N/A</v>
      </c>
      <c r="I91" s="15" t="e">
        <v>#N/A</v>
      </c>
      <c r="J91" s="16" t="e">
        <v>#N/A</v>
      </c>
    </row>
    <row r="92" spans="1:10" x14ac:dyDescent="0.35">
      <c r="A92" s="9" t="s">
        <v>733</v>
      </c>
      <c r="B92" s="10">
        <v>45217.411805555559</v>
      </c>
      <c r="C92" s="11" t="s">
        <v>758</v>
      </c>
      <c r="D92" s="4">
        <v>92</v>
      </c>
      <c r="E92" s="11" t="s">
        <v>740</v>
      </c>
      <c r="F92" s="11" t="e">
        <v>#N/A</v>
      </c>
      <c r="G92" s="11" t="e">
        <v>#N/A</v>
      </c>
      <c r="H92" s="11" t="e">
        <v>#N/A</v>
      </c>
      <c r="I92" s="11" t="e">
        <v>#N/A</v>
      </c>
      <c r="J92" s="12" t="e">
        <v>#N/A</v>
      </c>
    </row>
    <row r="93" spans="1:10" x14ac:dyDescent="0.35">
      <c r="A93" s="13" t="s">
        <v>1351</v>
      </c>
      <c r="B93" s="14">
        <v>45206.43472222222</v>
      </c>
      <c r="C93" s="15" t="s">
        <v>758</v>
      </c>
      <c r="D93" s="3">
        <v>98</v>
      </c>
      <c r="E93" s="15" t="s">
        <v>735</v>
      </c>
      <c r="F93" s="15" t="e">
        <v>#N/A</v>
      </c>
      <c r="G93" s="15" t="e">
        <v>#N/A</v>
      </c>
      <c r="H93" s="15" t="e">
        <v>#N/A</v>
      </c>
      <c r="I93" s="15" t="e">
        <v>#N/A</v>
      </c>
      <c r="J93" s="16" t="e">
        <v>#N/A</v>
      </c>
    </row>
    <row r="94" spans="1:10" x14ac:dyDescent="0.35">
      <c r="A94" s="9" t="s">
        <v>1389</v>
      </c>
      <c r="B94" s="10">
        <v>45206.259027777778</v>
      </c>
      <c r="C94" s="11" t="s">
        <v>1400</v>
      </c>
      <c r="D94" s="4">
        <v>104</v>
      </c>
      <c r="E94" s="11" t="s">
        <v>735</v>
      </c>
      <c r="F94" s="11" t="e">
        <v>#N/A</v>
      </c>
      <c r="G94" s="11" t="e">
        <v>#N/A</v>
      </c>
      <c r="H94" s="11" t="e">
        <v>#N/A</v>
      </c>
      <c r="I94" s="11" t="e">
        <v>#N/A</v>
      </c>
      <c r="J94" s="12" t="e">
        <v>#N/A</v>
      </c>
    </row>
    <row r="95" spans="1:10" x14ac:dyDescent="0.35">
      <c r="A95" s="13" t="s">
        <v>826</v>
      </c>
      <c r="B95" s="14">
        <v>45221.555555555547</v>
      </c>
      <c r="C95" s="15" t="s">
        <v>844</v>
      </c>
      <c r="D95" s="3">
        <v>103</v>
      </c>
      <c r="E95" s="15" t="s">
        <v>738</v>
      </c>
      <c r="F95" s="15" t="e">
        <v>#N/A</v>
      </c>
      <c r="G95" s="15" t="e">
        <v>#N/A</v>
      </c>
      <c r="H95" s="15" t="e">
        <v>#N/A</v>
      </c>
      <c r="I95" s="15" t="e">
        <v>#N/A</v>
      </c>
      <c r="J95" s="16" t="e">
        <v>#N/A</v>
      </c>
    </row>
    <row r="96" spans="1:10" x14ac:dyDescent="0.35">
      <c r="A96" s="9" t="s">
        <v>905</v>
      </c>
      <c r="B96" s="10">
        <v>45227.775694444441</v>
      </c>
      <c r="C96" s="11" t="s">
        <v>844</v>
      </c>
      <c r="D96" s="4">
        <v>45</v>
      </c>
      <c r="E96" s="11" t="s">
        <v>740</v>
      </c>
      <c r="F96" s="11" t="e">
        <v>#N/A</v>
      </c>
      <c r="G96" s="11" t="e">
        <v>#N/A</v>
      </c>
      <c r="H96" s="11" t="e">
        <v>#N/A</v>
      </c>
      <c r="I96" s="11" t="e">
        <v>#N/A</v>
      </c>
      <c r="J96" s="12" t="e">
        <v>#N/A</v>
      </c>
    </row>
    <row r="97" spans="1:10" x14ac:dyDescent="0.35">
      <c r="A97" s="13" t="s">
        <v>942</v>
      </c>
      <c r="B97" s="14">
        <v>45208.594444444447</v>
      </c>
      <c r="C97" s="15" t="s">
        <v>975</v>
      </c>
      <c r="D97" s="3">
        <v>50</v>
      </c>
      <c r="E97" s="15" t="s">
        <v>735</v>
      </c>
      <c r="F97" s="15" t="e">
        <v>#N/A</v>
      </c>
      <c r="G97" s="15" t="e">
        <v>#N/A</v>
      </c>
      <c r="H97" s="15" t="e">
        <v>#N/A</v>
      </c>
      <c r="I97" s="15" t="e">
        <v>#N/A</v>
      </c>
      <c r="J97" s="16" t="e">
        <v>#N/A</v>
      </c>
    </row>
    <row r="98" spans="1:10" x14ac:dyDescent="0.35">
      <c r="A98" s="9" t="s">
        <v>1002</v>
      </c>
      <c r="B98" s="10">
        <v>45218.647916666669</v>
      </c>
      <c r="C98" s="11" t="s">
        <v>1025</v>
      </c>
      <c r="D98" s="4">
        <v>78</v>
      </c>
      <c r="E98" s="11" t="s">
        <v>735</v>
      </c>
      <c r="F98" s="11" t="e">
        <v>#N/A</v>
      </c>
      <c r="G98" s="11" t="e">
        <v>#N/A</v>
      </c>
      <c r="H98" s="11" t="e">
        <v>#N/A</v>
      </c>
      <c r="I98" s="11" t="e">
        <v>#N/A</v>
      </c>
      <c r="J98" s="12" t="e">
        <v>#N/A</v>
      </c>
    </row>
    <row r="99" spans="1:10" x14ac:dyDescent="0.35">
      <c r="A99" s="13" t="s">
        <v>1225</v>
      </c>
      <c r="B99" s="14">
        <v>45200.629166666673</v>
      </c>
      <c r="C99" s="15" t="s">
        <v>1025</v>
      </c>
      <c r="D99" s="3">
        <v>73</v>
      </c>
      <c r="E99" s="15" t="s">
        <v>738</v>
      </c>
      <c r="F99" s="15" t="e">
        <v>#N/A</v>
      </c>
      <c r="G99" s="15" t="e">
        <v>#N/A</v>
      </c>
      <c r="H99" s="15" t="e">
        <v>#N/A</v>
      </c>
      <c r="I99" s="15" t="e">
        <v>#N/A</v>
      </c>
      <c r="J99" s="16" t="e">
        <v>#N/A</v>
      </c>
    </row>
    <row r="100" spans="1:10" x14ac:dyDescent="0.35">
      <c r="A100" s="9" t="s">
        <v>1002</v>
      </c>
      <c r="B100" s="10">
        <v>45203.35833333333</v>
      </c>
      <c r="C100" s="11" t="s">
        <v>1007</v>
      </c>
      <c r="D100" s="4">
        <v>5</v>
      </c>
      <c r="E100" s="11" t="s">
        <v>735</v>
      </c>
      <c r="F100" s="11" t="e">
        <v>#N/A</v>
      </c>
      <c r="G100" s="11" t="e">
        <v>#N/A</v>
      </c>
      <c r="H100" s="11" t="e">
        <v>#N/A</v>
      </c>
      <c r="I100" s="11" t="e">
        <v>#N/A</v>
      </c>
      <c r="J100" s="12" t="e">
        <v>#N/A</v>
      </c>
    </row>
    <row r="101" spans="1:10" x14ac:dyDescent="0.35">
      <c r="A101" s="13" t="s">
        <v>1414</v>
      </c>
      <c r="B101" s="14">
        <v>45206.902777777781</v>
      </c>
      <c r="C101" s="15" t="s">
        <v>1415</v>
      </c>
      <c r="D101" s="3">
        <v>75</v>
      </c>
      <c r="E101" s="15" t="s">
        <v>740</v>
      </c>
      <c r="F101" s="15" t="e">
        <v>#N/A</v>
      </c>
      <c r="G101" s="15" t="e">
        <v>#N/A</v>
      </c>
      <c r="H101" s="15" t="e">
        <v>#N/A</v>
      </c>
      <c r="I101" s="15" t="e">
        <v>#N/A</v>
      </c>
      <c r="J101" s="16" t="e">
        <v>#N/A</v>
      </c>
    </row>
    <row r="102" spans="1:10" x14ac:dyDescent="0.35">
      <c r="A102" s="9" t="s">
        <v>1389</v>
      </c>
      <c r="B102" s="10">
        <v>45217.324305555558</v>
      </c>
      <c r="C102" s="11" t="s">
        <v>1412</v>
      </c>
      <c r="D102" s="4">
        <v>14</v>
      </c>
      <c r="E102" s="11" t="s">
        <v>738</v>
      </c>
      <c r="F102" s="11" t="e">
        <v>#N/A</v>
      </c>
      <c r="G102" s="11" t="e">
        <v>#N/A</v>
      </c>
      <c r="H102" s="11" t="e">
        <v>#N/A</v>
      </c>
      <c r="I102" s="11" t="e">
        <v>#N/A</v>
      </c>
      <c r="J102" s="12" t="e">
        <v>#N/A</v>
      </c>
    </row>
    <row r="103" spans="1:10" x14ac:dyDescent="0.35">
      <c r="A103" s="13" t="s">
        <v>905</v>
      </c>
      <c r="B103" s="14">
        <v>45203.277777777781</v>
      </c>
      <c r="C103" s="15" t="s">
        <v>921</v>
      </c>
      <c r="D103" s="3">
        <v>79</v>
      </c>
      <c r="E103" s="15" t="s">
        <v>738</v>
      </c>
      <c r="F103" s="15" t="e">
        <v>#N/A</v>
      </c>
      <c r="G103" s="15" t="e">
        <v>#N/A</v>
      </c>
      <c r="H103" s="15" t="e">
        <v>#N/A</v>
      </c>
      <c r="I103" s="15" t="e">
        <v>#N/A</v>
      </c>
      <c r="J103" s="16" t="e">
        <v>#N/A</v>
      </c>
    </row>
    <row r="104" spans="1:10" x14ac:dyDescent="0.35">
      <c r="A104" s="9" t="s">
        <v>1294</v>
      </c>
      <c r="B104" s="10">
        <v>45226.975694444453</v>
      </c>
      <c r="C104" s="11" t="s">
        <v>921</v>
      </c>
      <c r="D104" s="4">
        <v>89</v>
      </c>
      <c r="E104" s="11" t="s">
        <v>740</v>
      </c>
      <c r="F104" s="11" t="e">
        <v>#N/A</v>
      </c>
      <c r="G104" s="11" t="e">
        <v>#N/A</v>
      </c>
      <c r="H104" s="11" t="e">
        <v>#N/A</v>
      </c>
      <c r="I104" s="11" t="e">
        <v>#N/A</v>
      </c>
      <c r="J104" s="12" t="e">
        <v>#N/A</v>
      </c>
    </row>
    <row r="105" spans="1:10" x14ac:dyDescent="0.35">
      <c r="A105" s="13" t="s">
        <v>1336</v>
      </c>
      <c r="B105" s="14">
        <v>45215.811111111107</v>
      </c>
      <c r="C105" s="15" t="s">
        <v>921</v>
      </c>
      <c r="D105" s="3">
        <v>49</v>
      </c>
      <c r="E105" s="15" t="s">
        <v>738</v>
      </c>
      <c r="F105" s="15" t="e">
        <v>#N/A</v>
      </c>
      <c r="G105" s="15" t="e">
        <v>#N/A</v>
      </c>
      <c r="H105" s="15" t="e">
        <v>#N/A</v>
      </c>
      <c r="I105" s="15" t="e">
        <v>#N/A</v>
      </c>
      <c r="J105" s="16" t="e">
        <v>#N/A</v>
      </c>
    </row>
    <row r="106" spans="1:10" x14ac:dyDescent="0.35">
      <c r="A106" s="9" t="s">
        <v>864</v>
      </c>
      <c r="B106" s="10">
        <v>45210.270138888889</v>
      </c>
      <c r="C106" s="11" t="s">
        <v>874</v>
      </c>
      <c r="D106" s="4">
        <v>104</v>
      </c>
      <c r="E106" s="11" t="s">
        <v>740</v>
      </c>
      <c r="F106" s="11" t="e">
        <v>#N/A</v>
      </c>
      <c r="G106" s="11" t="e">
        <v>#N/A</v>
      </c>
      <c r="H106" s="11" t="e">
        <v>#N/A</v>
      </c>
      <c r="I106" s="11" t="e">
        <v>#N/A</v>
      </c>
      <c r="J106" s="12" t="e">
        <v>#N/A</v>
      </c>
    </row>
    <row r="107" spans="1:10" x14ac:dyDescent="0.35">
      <c r="A107" s="13" t="s">
        <v>1171</v>
      </c>
      <c r="B107" s="14">
        <v>45203.991666666669</v>
      </c>
      <c r="C107" s="15" t="s">
        <v>1185</v>
      </c>
      <c r="D107" s="3">
        <v>5</v>
      </c>
      <c r="E107" s="15" t="s">
        <v>740</v>
      </c>
      <c r="F107" s="15" t="e">
        <v>#N/A</v>
      </c>
      <c r="G107" s="15" t="e">
        <v>#N/A</v>
      </c>
      <c r="H107" s="15" t="e">
        <v>#N/A</v>
      </c>
      <c r="I107" s="15" t="e">
        <v>#N/A</v>
      </c>
      <c r="J107" s="16" t="e">
        <v>#N/A</v>
      </c>
    </row>
    <row r="108" spans="1:10" x14ac:dyDescent="0.35">
      <c r="A108" s="9" t="s">
        <v>1028</v>
      </c>
      <c r="B108" s="10">
        <v>45201.623611111107</v>
      </c>
      <c r="C108" s="11" t="s">
        <v>1034</v>
      </c>
      <c r="D108" s="4">
        <v>9</v>
      </c>
      <c r="E108" s="11" t="s">
        <v>735</v>
      </c>
      <c r="F108" s="11" t="e">
        <v>#N/A</v>
      </c>
      <c r="G108" s="11" t="e">
        <v>#N/A</v>
      </c>
      <c r="H108" s="11" t="e">
        <v>#N/A</v>
      </c>
      <c r="I108" s="11" t="e">
        <v>#N/A</v>
      </c>
      <c r="J108" s="12" t="e">
        <v>#N/A</v>
      </c>
    </row>
    <row r="109" spans="1:10" x14ac:dyDescent="0.35">
      <c r="A109" s="13" t="s">
        <v>1414</v>
      </c>
      <c r="B109" s="14">
        <v>45230.731944444437</v>
      </c>
      <c r="C109" s="15" t="s">
        <v>1034</v>
      </c>
      <c r="D109" s="3">
        <v>52</v>
      </c>
      <c r="E109" s="15" t="s">
        <v>735</v>
      </c>
      <c r="F109" s="15" t="e">
        <v>#N/A</v>
      </c>
      <c r="G109" s="15" t="e">
        <v>#N/A</v>
      </c>
      <c r="H109" s="15" t="e">
        <v>#N/A</v>
      </c>
      <c r="I109" s="15" t="e">
        <v>#N/A</v>
      </c>
      <c r="J109" s="16" t="e">
        <v>#N/A</v>
      </c>
    </row>
    <row r="110" spans="1:10" x14ac:dyDescent="0.35">
      <c r="A110" s="9" t="s">
        <v>1414</v>
      </c>
      <c r="B110" s="10">
        <v>45224.984027777777</v>
      </c>
      <c r="C110" s="11" t="s">
        <v>1418</v>
      </c>
      <c r="D110" s="4">
        <v>49</v>
      </c>
      <c r="E110" s="11" t="s">
        <v>735</v>
      </c>
      <c r="F110" s="11" t="e">
        <v>#N/A</v>
      </c>
      <c r="G110" s="11" t="e">
        <v>#N/A</v>
      </c>
      <c r="H110" s="11" t="e">
        <v>#N/A</v>
      </c>
      <c r="I110" s="11" t="e">
        <v>#N/A</v>
      </c>
      <c r="J110" s="12" t="e">
        <v>#N/A</v>
      </c>
    </row>
    <row r="111" spans="1:10" x14ac:dyDescent="0.35">
      <c r="A111" s="13" t="s">
        <v>733</v>
      </c>
      <c r="B111" s="14">
        <v>45229.503472222219</v>
      </c>
      <c r="C111" s="15" t="s">
        <v>757</v>
      </c>
      <c r="D111" s="3">
        <v>106</v>
      </c>
      <c r="E111" s="15" t="s">
        <v>738</v>
      </c>
      <c r="F111" s="15" t="e">
        <v>#N/A</v>
      </c>
      <c r="G111" s="15" t="e">
        <v>#N/A</v>
      </c>
      <c r="H111" s="15" t="e">
        <v>#N/A</v>
      </c>
      <c r="I111" s="15" t="e">
        <v>#N/A</v>
      </c>
      <c r="J111" s="16" t="e">
        <v>#N/A</v>
      </c>
    </row>
    <row r="112" spans="1:10" x14ac:dyDescent="0.35">
      <c r="A112" s="9" t="s">
        <v>1199</v>
      </c>
      <c r="B112" s="10">
        <v>45213.607638888891</v>
      </c>
      <c r="C112" s="11" t="s">
        <v>1215</v>
      </c>
      <c r="D112" s="4">
        <v>22</v>
      </c>
      <c r="E112" s="11" t="s">
        <v>735</v>
      </c>
      <c r="F112" s="11" t="e">
        <v>#N/A</v>
      </c>
      <c r="G112" s="11" t="e">
        <v>#N/A</v>
      </c>
      <c r="H112" s="11" t="e">
        <v>#N/A</v>
      </c>
      <c r="I112" s="11" t="e">
        <v>#N/A</v>
      </c>
      <c r="J112" s="12" t="e">
        <v>#N/A</v>
      </c>
    </row>
    <row r="113" spans="1:10" x14ac:dyDescent="0.35">
      <c r="A113" s="13" t="s">
        <v>1091</v>
      </c>
      <c r="B113" s="14">
        <v>45206.768055555563</v>
      </c>
      <c r="C113" s="15" t="s">
        <v>1118</v>
      </c>
      <c r="D113" s="3">
        <v>35</v>
      </c>
      <c r="E113" s="15" t="s">
        <v>740</v>
      </c>
      <c r="F113" s="15" t="e">
        <v>#N/A</v>
      </c>
      <c r="G113" s="15" t="e">
        <v>#N/A</v>
      </c>
      <c r="H113" s="15" t="e">
        <v>#N/A</v>
      </c>
      <c r="I113" s="15" t="e">
        <v>#N/A</v>
      </c>
      <c r="J113" s="16" t="e">
        <v>#N/A</v>
      </c>
    </row>
    <row r="114" spans="1:10" x14ac:dyDescent="0.35">
      <c r="A114" s="9" t="s">
        <v>864</v>
      </c>
      <c r="B114" s="10">
        <v>45229.4</v>
      </c>
      <c r="C114" s="11" t="s">
        <v>890</v>
      </c>
      <c r="D114" s="4">
        <v>77</v>
      </c>
      <c r="E114" s="11" t="s">
        <v>735</v>
      </c>
      <c r="F114" s="11" t="e">
        <v>#N/A</v>
      </c>
      <c r="G114" s="11" t="e">
        <v>#N/A</v>
      </c>
      <c r="H114" s="11" t="e">
        <v>#N/A</v>
      </c>
      <c r="I114" s="11" t="e">
        <v>#N/A</v>
      </c>
      <c r="J114" s="12" t="e">
        <v>#N/A</v>
      </c>
    </row>
    <row r="115" spans="1:10" x14ac:dyDescent="0.35">
      <c r="A115" s="13" t="s">
        <v>1002</v>
      </c>
      <c r="B115" s="14">
        <v>45224.671527777777</v>
      </c>
      <c r="C115" s="15" t="s">
        <v>890</v>
      </c>
      <c r="D115" s="3">
        <v>14</v>
      </c>
      <c r="E115" s="15" t="s">
        <v>740</v>
      </c>
      <c r="F115" s="15" t="e">
        <v>#N/A</v>
      </c>
      <c r="G115" s="15" t="e">
        <v>#N/A</v>
      </c>
      <c r="H115" s="15" t="e">
        <v>#N/A</v>
      </c>
      <c r="I115" s="15" t="e">
        <v>#N/A</v>
      </c>
      <c r="J115" s="16" t="e">
        <v>#N/A</v>
      </c>
    </row>
    <row r="116" spans="1:10" x14ac:dyDescent="0.35">
      <c r="A116" s="9" t="s">
        <v>1225</v>
      </c>
      <c r="B116" s="10">
        <v>45212.617361111108</v>
      </c>
      <c r="C116" s="11" t="s">
        <v>1226</v>
      </c>
      <c r="D116" s="4">
        <v>28</v>
      </c>
      <c r="E116" s="11" t="s">
        <v>735</v>
      </c>
      <c r="F116" s="11" t="e">
        <v>#N/A</v>
      </c>
      <c r="G116" s="11" t="e">
        <v>#N/A</v>
      </c>
      <c r="H116" s="11" t="e">
        <v>#N/A</v>
      </c>
      <c r="I116" s="11" t="e">
        <v>#N/A</v>
      </c>
      <c r="J116" s="12" t="e">
        <v>#N/A</v>
      </c>
    </row>
    <row r="117" spans="1:10" x14ac:dyDescent="0.35">
      <c r="A117" s="13" t="s">
        <v>1314</v>
      </c>
      <c r="B117" s="14">
        <v>45207.919444444437</v>
      </c>
      <c r="C117" s="15" t="s">
        <v>1322</v>
      </c>
      <c r="D117" s="3">
        <v>42</v>
      </c>
      <c r="E117" s="15" t="s">
        <v>735</v>
      </c>
      <c r="F117" s="15" t="e">
        <v>#N/A</v>
      </c>
      <c r="G117" s="15" t="e">
        <v>#N/A</v>
      </c>
      <c r="H117" s="15" t="e">
        <v>#N/A</v>
      </c>
      <c r="I117" s="15" t="e">
        <v>#N/A</v>
      </c>
      <c r="J117" s="16" t="e">
        <v>#N/A</v>
      </c>
    </row>
    <row r="118" spans="1:10" x14ac:dyDescent="0.35">
      <c r="A118" s="9" t="s">
        <v>1063</v>
      </c>
      <c r="B118" s="10">
        <v>45211.079861111109</v>
      </c>
      <c r="C118" s="11" t="s">
        <v>1089</v>
      </c>
      <c r="D118" s="4">
        <v>59</v>
      </c>
      <c r="E118" s="11" t="s">
        <v>738</v>
      </c>
      <c r="F118" s="11" t="e">
        <v>#N/A</v>
      </c>
      <c r="G118" s="11" t="e">
        <v>#N/A</v>
      </c>
      <c r="H118" s="11" t="e">
        <v>#N/A</v>
      </c>
      <c r="I118" s="11" t="e">
        <v>#N/A</v>
      </c>
      <c r="J118" s="12" t="e">
        <v>#N/A</v>
      </c>
    </row>
    <row r="119" spans="1:10" x14ac:dyDescent="0.35">
      <c r="A119" s="13" t="s">
        <v>1314</v>
      </c>
      <c r="B119" s="14">
        <v>45212.240277777782</v>
      </c>
      <c r="C119" s="15" t="s">
        <v>1089</v>
      </c>
      <c r="D119" s="3">
        <v>54</v>
      </c>
      <c r="E119" s="15" t="s">
        <v>738</v>
      </c>
      <c r="F119" s="15" t="e">
        <v>#N/A</v>
      </c>
      <c r="G119" s="15" t="e">
        <v>#N/A</v>
      </c>
      <c r="H119" s="15" t="e">
        <v>#N/A</v>
      </c>
      <c r="I119" s="15" t="e">
        <v>#N/A</v>
      </c>
      <c r="J119" s="16" t="e">
        <v>#N/A</v>
      </c>
    </row>
    <row r="120" spans="1:10" x14ac:dyDescent="0.35">
      <c r="A120" s="9" t="s">
        <v>1267</v>
      </c>
      <c r="B120" s="10">
        <v>45209.388888888891</v>
      </c>
      <c r="C120" s="11" t="s">
        <v>1292</v>
      </c>
      <c r="D120" s="4">
        <v>44</v>
      </c>
      <c r="E120" s="11" t="s">
        <v>735</v>
      </c>
      <c r="F120" s="11" t="e">
        <v>#N/A</v>
      </c>
      <c r="G120" s="11" t="e">
        <v>#N/A</v>
      </c>
      <c r="H120" s="11" t="e">
        <v>#N/A</v>
      </c>
      <c r="I120" s="11" t="e">
        <v>#N/A</v>
      </c>
      <c r="J120" s="12" t="e">
        <v>#N/A</v>
      </c>
    </row>
    <row r="121" spans="1:10" x14ac:dyDescent="0.35">
      <c r="A121" s="13" t="s">
        <v>1267</v>
      </c>
      <c r="B121" s="14">
        <v>45207.124305555553</v>
      </c>
      <c r="C121" s="15" t="s">
        <v>1268</v>
      </c>
      <c r="D121" s="3">
        <v>77</v>
      </c>
      <c r="E121" s="15" t="s">
        <v>740</v>
      </c>
      <c r="F121" s="15" t="e">
        <v>#N/A</v>
      </c>
      <c r="G121" s="15" t="e">
        <v>#N/A</v>
      </c>
      <c r="H121" s="15" t="e">
        <v>#N/A</v>
      </c>
      <c r="I121" s="15" t="e">
        <v>#N/A</v>
      </c>
      <c r="J121" s="16" t="e">
        <v>#N/A</v>
      </c>
    </row>
    <row r="122" spans="1:10" x14ac:dyDescent="0.35">
      <c r="A122" s="9" t="s">
        <v>733</v>
      </c>
      <c r="B122" s="10">
        <v>45230.788888888892</v>
      </c>
      <c r="C122" s="11" t="s">
        <v>777</v>
      </c>
      <c r="D122" s="4">
        <v>87</v>
      </c>
      <c r="E122" s="11" t="s">
        <v>738</v>
      </c>
      <c r="F122" s="11" t="e">
        <v>#N/A</v>
      </c>
      <c r="G122" s="11" t="e">
        <v>#N/A</v>
      </c>
      <c r="H122" s="11" t="e">
        <v>#N/A</v>
      </c>
      <c r="I122" s="11" t="e">
        <v>#N/A</v>
      </c>
      <c r="J122" s="12" t="e">
        <v>#N/A</v>
      </c>
    </row>
    <row r="123" spans="1:10" x14ac:dyDescent="0.35">
      <c r="A123" s="13" t="s">
        <v>905</v>
      </c>
      <c r="B123" s="14">
        <v>45200.093055555553</v>
      </c>
      <c r="C123" s="15" t="s">
        <v>777</v>
      </c>
      <c r="D123" s="3">
        <v>63</v>
      </c>
      <c r="E123" s="15" t="s">
        <v>738</v>
      </c>
      <c r="F123" s="15" t="e">
        <v>#N/A</v>
      </c>
      <c r="G123" s="15" t="e">
        <v>#N/A</v>
      </c>
      <c r="H123" s="15" t="e">
        <v>#N/A</v>
      </c>
      <c r="I123" s="15" t="e">
        <v>#N/A</v>
      </c>
      <c r="J123" s="16" t="e">
        <v>#N/A</v>
      </c>
    </row>
    <row r="124" spans="1:10" x14ac:dyDescent="0.35">
      <c r="A124" s="9" t="s">
        <v>1247</v>
      </c>
      <c r="B124" s="10">
        <v>45228.840277777781</v>
      </c>
      <c r="C124" s="11" t="s">
        <v>777</v>
      </c>
      <c r="D124" s="4">
        <v>101</v>
      </c>
      <c r="E124" s="11" t="s">
        <v>735</v>
      </c>
      <c r="F124" s="11" t="e">
        <v>#N/A</v>
      </c>
      <c r="G124" s="11" t="e">
        <v>#N/A</v>
      </c>
      <c r="H124" s="11" t="e">
        <v>#N/A</v>
      </c>
      <c r="I124" s="11" t="e">
        <v>#N/A</v>
      </c>
      <c r="J124" s="12" t="e">
        <v>#N/A</v>
      </c>
    </row>
    <row r="125" spans="1:10" x14ac:dyDescent="0.35">
      <c r="A125" s="13" t="s">
        <v>733</v>
      </c>
      <c r="B125" s="14">
        <v>45220.642361111109</v>
      </c>
      <c r="C125" s="15" t="s">
        <v>779</v>
      </c>
      <c r="D125" s="3">
        <v>19</v>
      </c>
      <c r="E125" s="15" t="s">
        <v>735</v>
      </c>
      <c r="F125" s="15" t="e">
        <v>#N/A</v>
      </c>
      <c r="G125" s="15" t="e">
        <v>#N/A</v>
      </c>
      <c r="H125" s="15" t="e">
        <v>#N/A</v>
      </c>
      <c r="I125" s="15" t="e">
        <v>#N/A</v>
      </c>
      <c r="J125" s="16" t="e">
        <v>#N/A</v>
      </c>
    </row>
    <row r="126" spans="1:10" x14ac:dyDescent="0.35">
      <c r="A126" s="9" t="s">
        <v>864</v>
      </c>
      <c r="B126" s="10">
        <v>45230.834722222222</v>
      </c>
      <c r="C126" s="11" t="s">
        <v>779</v>
      </c>
      <c r="D126" s="4">
        <v>46</v>
      </c>
      <c r="E126" s="11" t="s">
        <v>738</v>
      </c>
      <c r="F126" s="11" t="e">
        <v>#N/A</v>
      </c>
      <c r="G126" s="11" t="e">
        <v>#N/A</v>
      </c>
      <c r="H126" s="11" t="e">
        <v>#N/A</v>
      </c>
      <c r="I126" s="11" t="e">
        <v>#N/A</v>
      </c>
      <c r="J126" s="12" t="e">
        <v>#N/A</v>
      </c>
    </row>
    <row r="127" spans="1:10" x14ac:dyDescent="0.35">
      <c r="A127" s="13" t="s">
        <v>1091</v>
      </c>
      <c r="B127" s="14">
        <v>45218.361805555563</v>
      </c>
      <c r="C127" s="15" t="s">
        <v>779</v>
      </c>
      <c r="D127" s="3">
        <v>45</v>
      </c>
      <c r="E127" s="15" t="s">
        <v>740</v>
      </c>
      <c r="F127" s="15" t="e">
        <v>#N/A</v>
      </c>
      <c r="G127" s="15" t="e">
        <v>#N/A</v>
      </c>
      <c r="H127" s="15" t="e">
        <v>#N/A</v>
      </c>
      <c r="I127" s="15" t="e">
        <v>#N/A</v>
      </c>
      <c r="J127" s="16" t="e">
        <v>#N/A</v>
      </c>
    </row>
    <row r="128" spans="1:10" x14ac:dyDescent="0.35">
      <c r="A128" s="9" t="s">
        <v>1171</v>
      </c>
      <c r="B128" s="10">
        <v>45229.282638888893</v>
      </c>
      <c r="C128" s="11" t="s">
        <v>779</v>
      </c>
      <c r="D128" s="4">
        <v>102</v>
      </c>
      <c r="E128" s="11" t="s">
        <v>738</v>
      </c>
      <c r="F128" s="11" t="e">
        <v>#N/A</v>
      </c>
      <c r="G128" s="11" t="e">
        <v>#N/A</v>
      </c>
      <c r="H128" s="11" t="e">
        <v>#N/A</v>
      </c>
      <c r="I128" s="11" t="e">
        <v>#N/A</v>
      </c>
      <c r="J128" s="12" t="e">
        <v>#N/A</v>
      </c>
    </row>
    <row r="129" spans="1:10" x14ac:dyDescent="0.35">
      <c r="A129" s="13" t="s">
        <v>1247</v>
      </c>
      <c r="B129" s="14">
        <v>45220.114583333343</v>
      </c>
      <c r="C129" s="15" t="s">
        <v>779</v>
      </c>
      <c r="D129" s="3">
        <v>54</v>
      </c>
      <c r="E129" s="15" t="s">
        <v>738</v>
      </c>
      <c r="F129" s="15" t="e">
        <v>#N/A</v>
      </c>
      <c r="G129" s="15" t="e">
        <v>#N/A</v>
      </c>
      <c r="H129" s="15" t="e">
        <v>#N/A</v>
      </c>
      <c r="I129" s="15" t="e">
        <v>#N/A</v>
      </c>
      <c r="J129" s="16" t="e">
        <v>#N/A</v>
      </c>
    </row>
    <row r="130" spans="1:10" x14ac:dyDescent="0.35">
      <c r="A130" s="9" t="s">
        <v>1336</v>
      </c>
      <c r="B130" s="10">
        <v>45226.920138888891</v>
      </c>
      <c r="C130" s="11" t="s">
        <v>779</v>
      </c>
      <c r="D130" s="4">
        <v>64</v>
      </c>
      <c r="E130" s="11" t="s">
        <v>740</v>
      </c>
      <c r="F130" s="11" t="e">
        <v>#N/A</v>
      </c>
      <c r="G130" s="11" t="e">
        <v>#N/A</v>
      </c>
      <c r="H130" s="11" t="e">
        <v>#N/A</v>
      </c>
      <c r="I130" s="11" t="e">
        <v>#N/A</v>
      </c>
      <c r="J130" s="12" t="e">
        <v>#N/A</v>
      </c>
    </row>
    <row r="131" spans="1:10" x14ac:dyDescent="0.35">
      <c r="A131" s="13" t="s">
        <v>826</v>
      </c>
      <c r="B131" s="14">
        <v>45226.013194444437</v>
      </c>
      <c r="C131" s="15" t="s">
        <v>851</v>
      </c>
      <c r="D131" s="3">
        <v>107</v>
      </c>
      <c r="E131" s="15" t="s">
        <v>738</v>
      </c>
      <c r="F131" s="15" t="e">
        <v>#N/A</v>
      </c>
      <c r="G131" s="15" t="e">
        <v>#N/A</v>
      </c>
      <c r="H131" s="15" t="e">
        <v>#N/A</v>
      </c>
      <c r="I131" s="15" t="e">
        <v>#N/A</v>
      </c>
      <c r="J131" s="16" t="e">
        <v>#N/A</v>
      </c>
    </row>
    <row r="132" spans="1:10" x14ac:dyDescent="0.35">
      <c r="A132" s="9" t="s">
        <v>1091</v>
      </c>
      <c r="B132" s="10">
        <v>45217.414583333331</v>
      </c>
      <c r="C132" s="11" t="s">
        <v>851</v>
      </c>
      <c r="D132" s="4">
        <v>74</v>
      </c>
      <c r="E132" s="11" t="s">
        <v>740</v>
      </c>
      <c r="F132" s="11" t="e">
        <v>#N/A</v>
      </c>
      <c r="G132" s="11" t="e">
        <v>#N/A</v>
      </c>
      <c r="H132" s="11" t="e">
        <v>#N/A</v>
      </c>
      <c r="I132" s="11" t="e">
        <v>#N/A</v>
      </c>
      <c r="J132" s="12" t="e">
        <v>#N/A</v>
      </c>
    </row>
    <row r="133" spans="1:10" x14ac:dyDescent="0.35">
      <c r="A133" s="13" t="s">
        <v>1144</v>
      </c>
      <c r="B133" s="14">
        <v>45211.123611111107</v>
      </c>
      <c r="C133" s="15" t="s">
        <v>851</v>
      </c>
      <c r="D133" s="3">
        <v>87</v>
      </c>
      <c r="E133" s="15" t="s">
        <v>735</v>
      </c>
      <c r="F133" s="15" t="e">
        <v>#N/A</v>
      </c>
      <c r="G133" s="15" t="e">
        <v>#N/A</v>
      </c>
      <c r="H133" s="15" t="e">
        <v>#N/A</v>
      </c>
      <c r="I133" s="15" t="e">
        <v>#N/A</v>
      </c>
      <c r="J133" s="16" t="e">
        <v>#N/A</v>
      </c>
    </row>
    <row r="134" spans="1:10" x14ac:dyDescent="0.35">
      <c r="A134" s="9" t="s">
        <v>1225</v>
      </c>
      <c r="B134" s="10">
        <v>45211.495833333327</v>
      </c>
      <c r="C134" s="11" t="s">
        <v>851</v>
      </c>
      <c r="D134" s="4">
        <v>61</v>
      </c>
      <c r="E134" s="11" t="s">
        <v>738</v>
      </c>
      <c r="F134" s="11" t="e">
        <v>#N/A</v>
      </c>
      <c r="G134" s="11" t="e">
        <v>#N/A</v>
      </c>
      <c r="H134" s="11" t="e">
        <v>#N/A</v>
      </c>
      <c r="I134" s="11" t="e">
        <v>#N/A</v>
      </c>
      <c r="J134" s="12" t="e">
        <v>#N/A</v>
      </c>
    </row>
    <row r="135" spans="1:10" x14ac:dyDescent="0.35">
      <c r="A135" s="13" t="s">
        <v>905</v>
      </c>
      <c r="B135" s="14">
        <v>45215.597916666673</v>
      </c>
      <c r="C135" s="15" t="s">
        <v>906</v>
      </c>
      <c r="D135" s="3">
        <v>7</v>
      </c>
      <c r="E135" s="15" t="s">
        <v>740</v>
      </c>
      <c r="F135" s="15" t="e">
        <v>#N/A</v>
      </c>
      <c r="G135" s="15" t="e">
        <v>#N/A</v>
      </c>
      <c r="H135" s="15" t="e">
        <v>#N/A</v>
      </c>
      <c r="I135" s="15" t="e">
        <v>#N/A</v>
      </c>
      <c r="J135" s="16" t="e">
        <v>#N/A</v>
      </c>
    </row>
    <row r="136" spans="1:10" x14ac:dyDescent="0.35">
      <c r="A136" s="9" t="s">
        <v>1171</v>
      </c>
      <c r="B136" s="10">
        <v>45212.315972222219</v>
      </c>
      <c r="C136" s="11" t="s">
        <v>906</v>
      </c>
      <c r="D136" s="4">
        <v>112</v>
      </c>
      <c r="E136" s="11" t="s">
        <v>735</v>
      </c>
      <c r="F136" s="11" t="e">
        <v>#N/A</v>
      </c>
      <c r="G136" s="11" t="e">
        <v>#N/A</v>
      </c>
      <c r="H136" s="11" t="e">
        <v>#N/A</v>
      </c>
      <c r="I136" s="11" t="e">
        <v>#N/A</v>
      </c>
      <c r="J136" s="12" t="e">
        <v>#N/A</v>
      </c>
    </row>
    <row r="137" spans="1:10" x14ac:dyDescent="0.35">
      <c r="A137" s="13" t="s">
        <v>1199</v>
      </c>
      <c r="B137" s="14">
        <v>45220.651388888888</v>
      </c>
      <c r="C137" s="15" t="s">
        <v>906</v>
      </c>
      <c r="D137" s="3">
        <v>36</v>
      </c>
      <c r="E137" s="15" t="s">
        <v>735</v>
      </c>
      <c r="F137" s="15" t="e">
        <v>#N/A</v>
      </c>
      <c r="G137" s="15" t="e">
        <v>#N/A</v>
      </c>
      <c r="H137" s="15" t="e">
        <v>#N/A</v>
      </c>
      <c r="I137" s="15" t="e">
        <v>#N/A</v>
      </c>
      <c r="J137" s="16" t="e">
        <v>#N/A</v>
      </c>
    </row>
    <row r="138" spans="1:10" x14ac:dyDescent="0.35">
      <c r="A138" s="9" t="s">
        <v>1351</v>
      </c>
      <c r="B138" s="10">
        <v>45203.89166666667</v>
      </c>
      <c r="C138" s="11" t="s">
        <v>906</v>
      </c>
      <c r="D138" s="4">
        <v>7</v>
      </c>
      <c r="E138" s="11" t="s">
        <v>738</v>
      </c>
      <c r="F138" s="11" t="e">
        <v>#N/A</v>
      </c>
      <c r="G138" s="11" t="e">
        <v>#N/A</v>
      </c>
      <c r="H138" s="11" t="e">
        <v>#N/A</v>
      </c>
      <c r="I138" s="11" t="e">
        <v>#N/A</v>
      </c>
      <c r="J138" s="12" t="e">
        <v>#N/A</v>
      </c>
    </row>
    <row r="139" spans="1:10" x14ac:dyDescent="0.35">
      <c r="A139" s="13" t="s">
        <v>1389</v>
      </c>
      <c r="B139" s="14">
        <v>45207.350694444453</v>
      </c>
      <c r="C139" s="15" t="s">
        <v>1398</v>
      </c>
      <c r="D139" s="3">
        <v>75</v>
      </c>
      <c r="E139" s="15" t="s">
        <v>740</v>
      </c>
      <c r="F139" s="15" t="e">
        <v>#N/A</v>
      </c>
      <c r="G139" s="15" t="e">
        <v>#N/A</v>
      </c>
      <c r="H139" s="15" t="e">
        <v>#N/A</v>
      </c>
      <c r="I139" s="15" t="e">
        <v>#N/A</v>
      </c>
      <c r="J139" s="16" t="e">
        <v>#N/A</v>
      </c>
    </row>
    <row r="140" spans="1:10" x14ac:dyDescent="0.35">
      <c r="A140" s="9" t="s">
        <v>826</v>
      </c>
      <c r="B140" s="10">
        <v>45205.816666666673</v>
      </c>
      <c r="C140" s="11" t="s">
        <v>849</v>
      </c>
      <c r="D140" s="4">
        <v>33</v>
      </c>
      <c r="E140" s="11" t="s">
        <v>740</v>
      </c>
      <c r="F140" s="11" t="e">
        <v>#N/A</v>
      </c>
      <c r="G140" s="11" t="e">
        <v>#N/A</v>
      </c>
      <c r="H140" s="11" t="e">
        <v>#N/A</v>
      </c>
      <c r="I140" s="11" t="e">
        <v>#N/A</v>
      </c>
      <c r="J140" s="12" t="e">
        <v>#N/A</v>
      </c>
    </row>
    <row r="141" spans="1:10" x14ac:dyDescent="0.35">
      <c r="A141" s="13" t="s">
        <v>782</v>
      </c>
      <c r="B141" s="14">
        <v>45200.511111111111</v>
      </c>
      <c r="C141" s="15" t="s">
        <v>801</v>
      </c>
      <c r="D141" s="3">
        <v>108</v>
      </c>
      <c r="E141" s="15" t="s">
        <v>740</v>
      </c>
      <c r="F141" s="15" t="e">
        <v>#N/A</v>
      </c>
      <c r="G141" s="15" t="e">
        <v>#N/A</v>
      </c>
      <c r="H141" s="15" t="e">
        <v>#N/A</v>
      </c>
      <c r="I141" s="15" t="e">
        <v>#N/A</v>
      </c>
      <c r="J141" s="16" t="e">
        <v>#N/A</v>
      </c>
    </row>
    <row r="142" spans="1:10" x14ac:dyDescent="0.35">
      <c r="A142" s="9" t="s">
        <v>905</v>
      </c>
      <c r="B142" s="10">
        <v>45225.859027777777</v>
      </c>
      <c r="C142" s="11" t="s">
        <v>929</v>
      </c>
      <c r="D142" s="4">
        <v>90</v>
      </c>
      <c r="E142" s="11" t="s">
        <v>738</v>
      </c>
      <c r="F142" s="11" t="e">
        <v>#N/A</v>
      </c>
      <c r="G142" s="11" t="e">
        <v>#N/A</v>
      </c>
      <c r="H142" s="11" t="e">
        <v>#N/A</v>
      </c>
      <c r="I142" s="11" t="e">
        <v>#N/A</v>
      </c>
      <c r="J142" s="12" t="e">
        <v>#N/A</v>
      </c>
    </row>
    <row r="143" spans="1:10" x14ac:dyDescent="0.35">
      <c r="A143" s="13" t="s">
        <v>1091</v>
      </c>
      <c r="B143" s="14">
        <v>45210.890277777777</v>
      </c>
      <c r="C143" s="15" t="s">
        <v>929</v>
      </c>
      <c r="D143" s="3">
        <v>118</v>
      </c>
      <c r="E143" s="15" t="s">
        <v>735</v>
      </c>
      <c r="F143" s="15" t="e">
        <v>#N/A</v>
      </c>
      <c r="G143" s="15" t="e">
        <v>#N/A</v>
      </c>
      <c r="H143" s="15" t="e">
        <v>#N/A</v>
      </c>
      <c r="I143" s="15" t="e">
        <v>#N/A</v>
      </c>
      <c r="J143" s="16" t="e">
        <v>#N/A</v>
      </c>
    </row>
    <row r="144" spans="1:10" x14ac:dyDescent="0.35">
      <c r="A144" s="9" t="s">
        <v>1171</v>
      </c>
      <c r="B144" s="10">
        <v>45211.386111111111</v>
      </c>
      <c r="C144" s="11" t="s">
        <v>929</v>
      </c>
      <c r="D144" s="4">
        <v>13</v>
      </c>
      <c r="E144" s="11" t="s">
        <v>738</v>
      </c>
      <c r="F144" s="11" t="e">
        <v>#N/A</v>
      </c>
      <c r="G144" s="11" t="e">
        <v>#N/A</v>
      </c>
      <c r="H144" s="11" t="e">
        <v>#N/A</v>
      </c>
      <c r="I144" s="11" t="e">
        <v>#N/A</v>
      </c>
      <c r="J144" s="12" t="e">
        <v>#N/A</v>
      </c>
    </row>
    <row r="145" spans="1:10" x14ac:dyDescent="0.35">
      <c r="A145" s="13" t="s">
        <v>1225</v>
      </c>
      <c r="B145" s="14">
        <v>45205.96875</v>
      </c>
      <c r="C145" s="15" t="s">
        <v>1234</v>
      </c>
      <c r="D145" s="3">
        <v>84</v>
      </c>
      <c r="E145" s="15" t="s">
        <v>738</v>
      </c>
      <c r="F145" s="15" t="e">
        <v>#N/A</v>
      </c>
      <c r="G145" s="15" t="e">
        <v>#N/A</v>
      </c>
      <c r="H145" s="15" t="e">
        <v>#N/A</v>
      </c>
      <c r="I145" s="15" t="e">
        <v>#N/A</v>
      </c>
      <c r="J145" s="16" t="e">
        <v>#N/A</v>
      </c>
    </row>
    <row r="146" spans="1:10" x14ac:dyDescent="0.35">
      <c r="A146" s="9" t="s">
        <v>942</v>
      </c>
      <c r="B146" s="10">
        <v>45229.756249999999</v>
      </c>
      <c r="C146" s="11" t="s">
        <v>974</v>
      </c>
      <c r="D146" s="4">
        <v>82</v>
      </c>
      <c r="E146" s="11" t="s">
        <v>740</v>
      </c>
      <c r="F146" s="11" t="e">
        <v>#N/A</v>
      </c>
      <c r="G146" s="11" t="e">
        <v>#N/A</v>
      </c>
      <c r="H146" s="11" t="e">
        <v>#N/A</v>
      </c>
      <c r="I146" s="11" t="e">
        <v>#N/A</v>
      </c>
      <c r="J146" s="12" t="e">
        <v>#N/A</v>
      </c>
    </row>
    <row r="147" spans="1:10" x14ac:dyDescent="0.35">
      <c r="A147" s="13" t="s">
        <v>1389</v>
      </c>
      <c r="B147" s="14" t="s">
        <v>1395</v>
      </c>
      <c r="C147" s="15" t="s">
        <v>1396</v>
      </c>
      <c r="D147" s="3">
        <v>11</v>
      </c>
      <c r="E147" s="15" t="s">
        <v>735</v>
      </c>
      <c r="F147" s="15" t="e">
        <v>#N/A</v>
      </c>
      <c r="G147" s="15" t="e">
        <v>#N/A</v>
      </c>
      <c r="H147" s="15" t="e">
        <v>#N/A</v>
      </c>
      <c r="I147" s="15" t="e">
        <v>#N/A</v>
      </c>
      <c r="J147" s="16" t="e">
        <v>#N/A</v>
      </c>
    </row>
    <row r="148" spans="1:10" x14ac:dyDescent="0.35">
      <c r="A148" s="9" t="s">
        <v>1028</v>
      </c>
      <c r="B148" s="10">
        <v>45222.602777777778</v>
      </c>
      <c r="C148" s="11" t="s">
        <v>1040</v>
      </c>
      <c r="D148" s="4">
        <v>53</v>
      </c>
      <c r="E148" s="11" t="s">
        <v>738</v>
      </c>
      <c r="F148" s="11" t="e">
        <v>#N/A</v>
      </c>
      <c r="G148" s="11" t="e">
        <v>#N/A</v>
      </c>
      <c r="H148" s="11" t="e">
        <v>#N/A</v>
      </c>
      <c r="I148" s="11" t="e">
        <v>#N/A</v>
      </c>
      <c r="J148" s="12" t="e">
        <v>#N/A</v>
      </c>
    </row>
    <row r="149" spans="1:10" x14ac:dyDescent="0.35">
      <c r="A149" s="13" t="s">
        <v>1336</v>
      </c>
      <c r="B149" s="14">
        <v>45223.568055555559</v>
      </c>
      <c r="C149" s="15" t="s">
        <v>1344</v>
      </c>
      <c r="D149" s="3">
        <v>21</v>
      </c>
      <c r="E149" s="15" t="s">
        <v>735</v>
      </c>
      <c r="F149" s="15" t="e">
        <v>#N/A</v>
      </c>
      <c r="G149" s="15" t="e">
        <v>#N/A</v>
      </c>
      <c r="H149" s="15" t="e">
        <v>#N/A</v>
      </c>
      <c r="I149" s="15" t="e">
        <v>#N/A</v>
      </c>
      <c r="J149" s="16" t="e">
        <v>#N/A</v>
      </c>
    </row>
    <row r="150" spans="1:10" x14ac:dyDescent="0.35">
      <c r="A150" s="9" t="s">
        <v>1351</v>
      </c>
      <c r="B150" s="10">
        <v>45223.693055555559</v>
      </c>
      <c r="C150" s="11" t="s">
        <v>1344</v>
      </c>
      <c r="D150" s="4">
        <v>18</v>
      </c>
      <c r="E150" s="11" t="s">
        <v>738</v>
      </c>
      <c r="F150" s="11" t="e">
        <v>#N/A</v>
      </c>
      <c r="G150" s="11" t="e">
        <v>#N/A</v>
      </c>
      <c r="H150" s="11" t="e">
        <v>#N/A</v>
      </c>
      <c r="I150" s="11" t="e">
        <v>#N/A</v>
      </c>
      <c r="J150" s="12" t="e">
        <v>#N/A</v>
      </c>
    </row>
    <row r="151" spans="1:10" x14ac:dyDescent="0.35">
      <c r="A151" s="13" t="s">
        <v>1225</v>
      </c>
      <c r="B151" s="14">
        <v>45216.181944444441</v>
      </c>
      <c r="C151" s="15" t="s">
        <v>1227</v>
      </c>
      <c r="D151" s="3">
        <v>86</v>
      </c>
      <c r="E151" s="15" t="s">
        <v>738</v>
      </c>
      <c r="F151" s="15" t="e">
        <v>#N/A</v>
      </c>
      <c r="G151" s="15" t="e">
        <v>#N/A</v>
      </c>
      <c r="H151" s="15" t="e">
        <v>#N/A</v>
      </c>
      <c r="I151" s="15" t="e">
        <v>#N/A</v>
      </c>
      <c r="J151" s="16" t="e">
        <v>#N/A</v>
      </c>
    </row>
    <row r="152" spans="1:10" x14ac:dyDescent="0.35">
      <c r="A152" s="9" t="s">
        <v>1199</v>
      </c>
      <c r="B152" s="10">
        <v>45211.711805555547</v>
      </c>
      <c r="C152" s="11" t="s">
        <v>1217</v>
      </c>
      <c r="D152" s="4">
        <v>82</v>
      </c>
      <c r="E152" s="11" t="s">
        <v>738</v>
      </c>
      <c r="F152" s="11" t="e">
        <v>#N/A</v>
      </c>
      <c r="G152" s="11" t="e">
        <v>#N/A</v>
      </c>
      <c r="H152" s="11" t="e">
        <v>#N/A</v>
      </c>
      <c r="I152" s="11" t="e">
        <v>#N/A</v>
      </c>
      <c r="J152" s="12" t="e">
        <v>#N/A</v>
      </c>
    </row>
    <row r="153" spans="1:10" x14ac:dyDescent="0.35">
      <c r="A153" s="13" t="s">
        <v>1267</v>
      </c>
      <c r="B153" s="14">
        <v>45202.728472222218</v>
      </c>
      <c r="C153" s="15" t="s">
        <v>1217</v>
      </c>
      <c r="D153" s="3">
        <v>18</v>
      </c>
      <c r="E153" s="15" t="s">
        <v>735</v>
      </c>
      <c r="F153" s="15" t="e">
        <v>#N/A</v>
      </c>
      <c r="G153" s="15" t="e">
        <v>#N/A</v>
      </c>
      <c r="H153" s="15" t="e">
        <v>#N/A</v>
      </c>
      <c r="I153" s="15" t="e">
        <v>#N/A</v>
      </c>
      <c r="J153" s="16" t="e">
        <v>#N/A</v>
      </c>
    </row>
    <row r="154" spans="1:10" x14ac:dyDescent="0.35">
      <c r="A154" s="9" t="s">
        <v>942</v>
      </c>
      <c r="B154" s="10">
        <v>45202.319444444453</v>
      </c>
      <c r="C154" s="11" t="s">
        <v>961</v>
      </c>
      <c r="D154" s="4">
        <v>115</v>
      </c>
      <c r="E154" s="11" t="s">
        <v>738</v>
      </c>
      <c r="F154" s="11" t="e">
        <v>#N/A</v>
      </c>
      <c r="G154" s="11" t="e">
        <v>#N/A</v>
      </c>
      <c r="H154" s="11" t="e">
        <v>#N/A</v>
      </c>
      <c r="I154" s="11" t="e">
        <v>#N/A</v>
      </c>
      <c r="J154" s="12" t="e">
        <v>#N/A</v>
      </c>
    </row>
    <row r="155" spans="1:10" x14ac:dyDescent="0.35">
      <c r="A155" s="13" t="s">
        <v>1247</v>
      </c>
      <c r="B155" s="14">
        <v>45203.227777777778</v>
      </c>
      <c r="C155" s="15" t="s">
        <v>961</v>
      </c>
      <c r="D155" s="3">
        <v>61</v>
      </c>
      <c r="E155" s="15" t="s">
        <v>738</v>
      </c>
      <c r="F155" s="15" t="e">
        <v>#N/A</v>
      </c>
      <c r="G155" s="15" t="e">
        <v>#N/A</v>
      </c>
      <c r="H155" s="15" t="e">
        <v>#N/A</v>
      </c>
      <c r="I155" s="15" t="e">
        <v>#N/A</v>
      </c>
      <c r="J155" s="16" t="e">
        <v>#N/A</v>
      </c>
    </row>
    <row r="156" spans="1:10" x14ac:dyDescent="0.35">
      <c r="A156" s="9" t="s">
        <v>1225</v>
      </c>
      <c r="B156" s="10">
        <v>45214.799305555563</v>
      </c>
      <c r="C156" s="11" t="s">
        <v>1243</v>
      </c>
      <c r="D156" s="4">
        <v>67</v>
      </c>
      <c r="E156" s="11" t="s">
        <v>735</v>
      </c>
      <c r="F156" s="11" t="e">
        <v>#N/A</v>
      </c>
      <c r="G156" s="11" t="e">
        <v>#N/A</v>
      </c>
      <c r="H156" s="11" t="e">
        <v>#N/A</v>
      </c>
      <c r="I156" s="11" t="e">
        <v>#N/A</v>
      </c>
      <c r="J156" s="12" t="e">
        <v>#N/A</v>
      </c>
    </row>
    <row r="157" spans="1:10" x14ac:dyDescent="0.35">
      <c r="A157" s="13" t="s">
        <v>733</v>
      </c>
      <c r="B157" s="14">
        <v>45210.128472222219</v>
      </c>
      <c r="C157" s="15" t="s">
        <v>753</v>
      </c>
      <c r="D157" s="3">
        <v>115</v>
      </c>
      <c r="E157" s="15" t="s">
        <v>735</v>
      </c>
      <c r="F157" s="15" t="e">
        <v>#N/A</v>
      </c>
      <c r="G157" s="15" t="e">
        <v>#N/A</v>
      </c>
      <c r="H157" s="15" t="e">
        <v>#N/A</v>
      </c>
      <c r="I157" s="15" t="e">
        <v>#N/A</v>
      </c>
      <c r="J157" s="16" t="e">
        <v>#N/A</v>
      </c>
    </row>
    <row r="158" spans="1:10" x14ac:dyDescent="0.35">
      <c r="A158" s="9" t="s">
        <v>1144</v>
      </c>
      <c r="B158" s="10">
        <v>45219.301388888889</v>
      </c>
      <c r="C158" s="11" t="s">
        <v>753</v>
      </c>
      <c r="D158" s="4">
        <v>65</v>
      </c>
      <c r="E158" s="11" t="s">
        <v>735</v>
      </c>
      <c r="F158" s="11" t="e">
        <v>#N/A</v>
      </c>
      <c r="G158" s="11" t="e">
        <v>#N/A</v>
      </c>
      <c r="H158" s="11" t="e">
        <v>#N/A</v>
      </c>
      <c r="I158" s="11" t="e">
        <v>#N/A</v>
      </c>
      <c r="J158" s="12" t="e">
        <v>#N/A</v>
      </c>
    </row>
    <row r="159" spans="1:10" x14ac:dyDescent="0.35">
      <c r="A159" s="13" t="s">
        <v>1336</v>
      </c>
      <c r="B159" s="14">
        <v>45220.091666666667</v>
      </c>
      <c r="C159" s="15" t="s">
        <v>753</v>
      </c>
      <c r="D159" s="3">
        <v>87</v>
      </c>
      <c r="E159" s="15" t="s">
        <v>738</v>
      </c>
      <c r="F159" s="15" t="e">
        <v>#N/A</v>
      </c>
      <c r="G159" s="15" t="e">
        <v>#N/A</v>
      </c>
      <c r="H159" s="15" t="e">
        <v>#N/A</v>
      </c>
      <c r="I159" s="15" t="e">
        <v>#N/A</v>
      </c>
      <c r="J159" s="16" t="e">
        <v>#N/A</v>
      </c>
    </row>
    <row r="160" spans="1:10" x14ac:dyDescent="0.35">
      <c r="A160" s="9" t="s">
        <v>1336</v>
      </c>
      <c r="B160" s="10">
        <v>45200.307638888888</v>
      </c>
      <c r="C160" s="11" t="s">
        <v>753</v>
      </c>
      <c r="D160" s="4">
        <v>114</v>
      </c>
      <c r="E160" s="11" t="s">
        <v>738</v>
      </c>
      <c r="F160" s="11" t="e">
        <v>#N/A</v>
      </c>
      <c r="G160" s="11" t="e">
        <v>#N/A</v>
      </c>
      <c r="H160" s="11" t="e">
        <v>#N/A</v>
      </c>
      <c r="I160" s="11" t="e">
        <v>#N/A</v>
      </c>
      <c r="J160" s="12" t="e">
        <v>#N/A</v>
      </c>
    </row>
    <row r="161" spans="1:10" x14ac:dyDescent="0.35">
      <c r="A161" s="13" t="s">
        <v>1314</v>
      </c>
      <c r="B161" s="14">
        <v>45202.443055555559</v>
      </c>
      <c r="C161" s="15" t="s">
        <v>1328</v>
      </c>
      <c r="D161" s="3">
        <v>52</v>
      </c>
      <c r="E161" s="15" t="s">
        <v>738</v>
      </c>
      <c r="F161" s="15" t="e">
        <v>#N/A</v>
      </c>
      <c r="G161" s="15" t="e">
        <v>#N/A</v>
      </c>
      <c r="H161" s="15" t="e">
        <v>#N/A</v>
      </c>
      <c r="I161" s="15" t="e">
        <v>#N/A</v>
      </c>
      <c r="J161" s="16" t="e">
        <v>#N/A</v>
      </c>
    </row>
    <row r="162" spans="1:10" x14ac:dyDescent="0.35">
      <c r="A162" s="9" t="s">
        <v>1171</v>
      </c>
      <c r="B162" s="10">
        <v>45207.525000000001</v>
      </c>
      <c r="C162" s="11" t="s">
        <v>1195</v>
      </c>
      <c r="D162" s="4">
        <v>83</v>
      </c>
      <c r="E162" s="11" t="s">
        <v>735</v>
      </c>
      <c r="F162" s="11" t="e">
        <v>#N/A</v>
      </c>
      <c r="G162" s="11" t="e">
        <v>#N/A</v>
      </c>
      <c r="H162" s="11" t="e">
        <v>#N/A</v>
      </c>
      <c r="I162" s="11" t="e">
        <v>#N/A</v>
      </c>
      <c r="J162" s="12" t="e">
        <v>#N/A</v>
      </c>
    </row>
    <row r="163" spans="1:10" x14ac:dyDescent="0.35">
      <c r="A163" s="13" t="s">
        <v>1247</v>
      </c>
      <c r="B163" s="14">
        <v>45230.577777777777</v>
      </c>
      <c r="C163" s="15" t="s">
        <v>1251</v>
      </c>
      <c r="D163" s="3">
        <v>97</v>
      </c>
      <c r="E163" s="15" t="s">
        <v>735</v>
      </c>
      <c r="F163" s="15" t="e">
        <v>#N/A</v>
      </c>
      <c r="G163" s="15" t="e">
        <v>#N/A</v>
      </c>
      <c r="H163" s="15" t="e">
        <v>#N/A</v>
      </c>
      <c r="I163" s="15" t="e">
        <v>#N/A</v>
      </c>
      <c r="J163" s="16" t="e">
        <v>#N/A</v>
      </c>
    </row>
    <row r="164" spans="1:10" x14ac:dyDescent="0.35">
      <c r="A164" s="9" t="s">
        <v>1351</v>
      </c>
      <c r="B164" s="10">
        <v>45200.595138888893</v>
      </c>
      <c r="C164" s="11" t="s">
        <v>1251</v>
      </c>
      <c r="D164" s="4">
        <v>69</v>
      </c>
      <c r="E164" s="11" t="s">
        <v>740</v>
      </c>
      <c r="F164" s="11" t="e">
        <v>#N/A</v>
      </c>
      <c r="G164" s="11" t="e">
        <v>#N/A</v>
      </c>
      <c r="H164" s="11" t="e">
        <v>#N/A</v>
      </c>
      <c r="I164" s="11" t="e">
        <v>#N/A</v>
      </c>
      <c r="J164" s="12" t="e">
        <v>#N/A</v>
      </c>
    </row>
    <row r="165" spans="1:10" x14ac:dyDescent="0.35">
      <c r="A165" s="13" t="s">
        <v>1389</v>
      </c>
      <c r="B165" s="14">
        <v>45228.720833333333</v>
      </c>
      <c r="C165" s="15" t="s">
        <v>1404</v>
      </c>
      <c r="D165" s="3">
        <v>101</v>
      </c>
      <c r="E165" s="15" t="s">
        <v>738</v>
      </c>
      <c r="F165" s="15" t="e">
        <v>#N/A</v>
      </c>
      <c r="G165" s="15" t="e">
        <v>#N/A</v>
      </c>
      <c r="H165" s="15" t="e">
        <v>#N/A</v>
      </c>
      <c r="I165" s="15" t="e">
        <v>#N/A</v>
      </c>
      <c r="J165" s="16" t="e">
        <v>#N/A</v>
      </c>
    </row>
    <row r="166" spans="1:10" x14ac:dyDescent="0.35">
      <c r="A166" s="9" t="s">
        <v>1199</v>
      </c>
      <c r="B166" s="10">
        <v>45202.469444444447</v>
      </c>
      <c r="C166" s="11" t="s">
        <v>1224</v>
      </c>
      <c r="D166" s="4">
        <v>78</v>
      </c>
      <c r="E166" s="11" t="s">
        <v>735</v>
      </c>
      <c r="F166" s="11" t="e">
        <v>#N/A</v>
      </c>
      <c r="G166" s="11" t="e">
        <v>#N/A</v>
      </c>
      <c r="H166" s="11" t="e">
        <v>#N/A</v>
      </c>
      <c r="I166" s="11" t="e">
        <v>#N/A</v>
      </c>
      <c r="J166" s="12" t="e">
        <v>#N/A</v>
      </c>
    </row>
    <row r="167" spans="1:10" x14ac:dyDescent="0.35">
      <c r="A167" s="13" t="s">
        <v>1368</v>
      </c>
      <c r="B167" s="14">
        <v>45213.770833333343</v>
      </c>
      <c r="C167" s="15" t="s">
        <v>1376</v>
      </c>
      <c r="D167" s="3">
        <v>11</v>
      </c>
      <c r="E167" s="15" t="s">
        <v>740</v>
      </c>
      <c r="F167" s="15" t="e">
        <v>#N/A</v>
      </c>
      <c r="G167" s="15" t="e">
        <v>#N/A</v>
      </c>
      <c r="H167" s="15" t="e">
        <v>#N/A</v>
      </c>
      <c r="I167" s="15" t="e">
        <v>#N/A</v>
      </c>
      <c r="J167" s="16" t="e">
        <v>#N/A</v>
      </c>
    </row>
    <row r="168" spans="1:10" x14ac:dyDescent="0.35">
      <c r="A168" s="9" t="s">
        <v>864</v>
      </c>
      <c r="B168" s="10">
        <v>45226.84375</v>
      </c>
      <c r="C168" s="11" t="s">
        <v>894</v>
      </c>
      <c r="D168" s="4">
        <v>48</v>
      </c>
      <c r="E168" s="11" t="s">
        <v>735</v>
      </c>
      <c r="F168" s="11" t="e">
        <v>#N/A</v>
      </c>
      <c r="G168" s="11" t="e">
        <v>#N/A</v>
      </c>
      <c r="H168" s="11" t="e">
        <v>#N/A</v>
      </c>
      <c r="I168" s="11" t="e">
        <v>#N/A</v>
      </c>
      <c r="J168" s="12" t="e">
        <v>#N/A</v>
      </c>
    </row>
    <row r="169" spans="1:10" x14ac:dyDescent="0.35">
      <c r="A169" s="13" t="s">
        <v>782</v>
      </c>
      <c r="B169" s="14">
        <v>45214.816666666673</v>
      </c>
      <c r="C169" s="15" t="s">
        <v>825</v>
      </c>
      <c r="D169" s="3">
        <v>92</v>
      </c>
      <c r="E169" s="15" t="s">
        <v>740</v>
      </c>
      <c r="F169" s="15" t="e">
        <v>#N/A</v>
      </c>
      <c r="G169" s="15" t="e">
        <v>#N/A</v>
      </c>
      <c r="H169" s="15" t="e">
        <v>#N/A</v>
      </c>
      <c r="I169" s="15" t="e">
        <v>#N/A</v>
      </c>
      <c r="J169" s="16" t="e">
        <v>#N/A</v>
      </c>
    </row>
    <row r="170" spans="1:10" x14ac:dyDescent="0.35">
      <c r="A170" s="9" t="s">
        <v>1091</v>
      </c>
      <c r="B170" s="10">
        <v>45209.81527777778</v>
      </c>
      <c r="C170" s="11" t="s">
        <v>825</v>
      </c>
      <c r="D170" s="4">
        <v>115</v>
      </c>
      <c r="E170" s="11" t="s">
        <v>740</v>
      </c>
      <c r="F170" s="11" t="e">
        <v>#N/A</v>
      </c>
      <c r="G170" s="11" t="e">
        <v>#N/A</v>
      </c>
      <c r="H170" s="11" t="e">
        <v>#N/A</v>
      </c>
      <c r="I170" s="11" t="e">
        <v>#N/A</v>
      </c>
      <c r="J170" s="12" t="e">
        <v>#N/A</v>
      </c>
    </row>
    <row r="171" spans="1:10" x14ac:dyDescent="0.35">
      <c r="A171" s="13" t="s">
        <v>942</v>
      </c>
      <c r="B171" s="14">
        <v>45223.18472222222</v>
      </c>
      <c r="C171" s="15" t="s">
        <v>952</v>
      </c>
      <c r="D171" s="3">
        <v>42</v>
      </c>
      <c r="E171" s="15" t="s">
        <v>738</v>
      </c>
      <c r="F171" s="15" t="e">
        <v>#N/A</v>
      </c>
      <c r="G171" s="15" t="e">
        <v>#N/A</v>
      </c>
      <c r="H171" s="15" t="e">
        <v>#N/A</v>
      </c>
      <c r="I171" s="15" t="e">
        <v>#N/A</v>
      </c>
      <c r="J171" s="16" t="e">
        <v>#N/A</v>
      </c>
    </row>
    <row r="172" spans="1:10" x14ac:dyDescent="0.35">
      <c r="A172" s="9" t="s">
        <v>1294</v>
      </c>
      <c r="B172" s="10">
        <v>45207.845833333333</v>
      </c>
      <c r="C172" s="11" t="s">
        <v>952</v>
      </c>
      <c r="D172" s="4">
        <v>12</v>
      </c>
      <c r="E172" s="11" t="s">
        <v>740</v>
      </c>
      <c r="F172" s="11" t="e">
        <v>#N/A</v>
      </c>
      <c r="G172" s="11" t="e">
        <v>#N/A</v>
      </c>
      <c r="H172" s="11" t="e">
        <v>#N/A</v>
      </c>
      <c r="I172" s="11" t="e">
        <v>#N/A</v>
      </c>
      <c r="J172" s="12" t="e">
        <v>#N/A</v>
      </c>
    </row>
    <row r="173" spans="1:10" x14ac:dyDescent="0.35">
      <c r="A173" s="13" t="s">
        <v>1002</v>
      </c>
      <c r="B173" s="14">
        <v>45214.893750000003</v>
      </c>
      <c r="C173" s="15" t="s">
        <v>1023</v>
      </c>
      <c r="D173" s="3">
        <v>60</v>
      </c>
      <c r="E173" s="15" t="s">
        <v>738</v>
      </c>
      <c r="F173" s="15" t="e">
        <v>#N/A</v>
      </c>
      <c r="G173" s="15" t="e">
        <v>#N/A</v>
      </c>
      <c r="H173" s="15" t="e">
        <v>#N/A</v>
      </c>
      <c r="I173" s="15" t="e">
        <v>#N/A</v>
      </c>
      <c r="J173" s="16" t="e">
        <v>#N/A</v>
      </c>
    </row>
    <row r="174" spans="1:10" x14ac:dyDescent="0.35">
      <c r="A174" s="9" t="s">
        <v>1091</v>
      </c>
      <c r="B174" s="10">
        <v>45230.185416666667</v>
      </c>
      <c r="C174" s="11" t="s">
        <v>1107</v>
      </c>
      <c r="D174" s="4">
        <v>31</v>
      </c>
      <c r="E174" s="11" t="s">
        <v>738</v>
      </c>
      <c r="F174" s="11" t="e">
        <v>#N/A</v>
      </c>
      <c r="G174" s="11" t="e">
        <v>#N/A</v>
      </c>
      <c r="H174" s="11" t="e">
        <v>#N/A</v>
      </c>
      <c r="I174" s="11" t="e">
        <v>#N/A</v>
      </c>
      <c r="J174" s="12" t="e">
        <v>#N/A</v>
      </c>
    </row>
    <row r="175" spans="1:10" x14ac:dyDescent="0.35">
      <c r="A175" s="13" t="s">
        <v>826</v>
      </c>
      <c r="B175" s="14">
        <v>45218.334722222222</v>
      </c>
      <c r="C175" s="15" t="s">
        <v>829</v>
      </c>
      <c r="D175" s="3">
        <v>85</v>
      </c>
      <c r="E175" s="15" t="s">
        <v>740</v>
      </c>
      <c r="F175" s="15" t="e">
        <v>#N/A</v>
      </c>
      <c r="G175" s="15" t="e">
        <v>#N/A</v>
      </c>
      <c r="H175" s="15" t="e">
        <v>#N/A</v>
      </c>
      <c r="I175" s="15" t="e">
        <v>#N/A</v>
      </c>
      <c r="J175" s="16" t="e">
        <v>#N/A</v>
      </c>
    </row>
    <row r="176" spans="1:10" x14ac:dyDescent="0.35">
      <c r="A176" s="9" t="s">
        <v>1247</v>
      </c>
      <c r="B176" s="10">
        <v>45225.129166666673</v>
      </c>
      <c r="C176" s="11" t="s">
        <v>829</v>
      </c>
      <c r="D176" s="4">
        <v>36</v>
      </c>
      <c r="E176" s="11" t="s">
        <v>740</v>
      </c>
      <c r="F176" s="11" t="e">
        <v>#N/A</v>
      </c>
      <c r="G176" s="11" t="e">
        <v>#N/A</v>
      </c>
      <c r="H176" s="11" t="e">
        <v>#N/A</v>
      </c>
      <c r="I176" s="11" t="e">
        <v>#N/A</v>
      </c>
      <c r="J176" s="12" t="e">
        <v>#N/A</v>
      </c>
    </row>
    <row r="177" spans="1:10" x14ac:dyDescent="0.35">
      <c r="A177" s="13" t="s">
        <v>1294</v>
      </c>
      <c r="B177" s="14">
        <v>45230.537499999999</v>
      </c>
      <c r="C177" s="15" t="s">
        <v>1295</v>
      </c>
      <c r="D177" s="3">
        <v>33</v>
      </c>
      <c r="E177" s="15" t="s">
        <v>738</v>
      </c>
      <c r="F177" s="15" t="e">
        <v>#N/A</v>
      </c>
      <c r="G177" s="15" t="e">
        <v>#N/A</v>
      </c>
      <c r="H177" s="15" t="e">
        <v>#N/A</v>
      </c>
      <c r="I177" s="15" t="e">
        <v>#N/A</v>
      </c>
      <c r="J177" s="16" t="e">
        <v>#N/A</v>
      </c>
    </row>
    <row r="178" spans="1:10" x14ac:dyDescent="0.35">
      <c r="A178" s="9" t="s">
        <v>1389</v>
      </c>
      <c r="B178" s="10">
        <v>45225.384027777778</v>
      </c>
      <c r="C178" s="11" t="s">
        <v>1295</v>
      </c>
      <c r="D178" s="4">
        <v>42</v>
      </c>
      <c r="E178" s="11" t="s">
        <v>735</v>
      </c>
      <c r="F178" s="11" t="e">
        <v>#N/A</v>
      </c>
      <c r="G178" s="11" t="e">
        <v>#N/A</v>
      </c>
      <c r="H178" s="11" t="e">
        <v>#N/A</v>
      </c>
      <c r="I178" s="11" t="e">
        <v>#N/A</v>
      </c>
      <c r="J178" s="12" t="e">
        <v>#N/A</v>
      </c>
    </row>
    <row r="179" spans="1:10" x14ac:dyDescent="0.35">
      <c r="A179" s="13" t="s">
        <v>1120</v>
      </c>
      <c r="B179" s="14">
        <v>45216.513888888891</v>
      </c>
      <c r="C179" s="15" t="s">
        <v>1136</v>
      </c>
      <c r="D179" s="3">
        <v>73</v>
      </c>
      <c r="E179" s="15" t="s">
        <v>738</v>
      </c>
      <c r="F179" s="15" t="e">
        <v>#N/A</v>
      </c>
      <c r="G179" s="15" t="e">
        <v>#N/A</v>
      </c>
      <c r="H179" s="15" t="e">
        <v>#N/A</v>
      </c>
      <c r="I179" s="15" t="e">
        <v>#N/A</v>
      </c>
      <c r="J179" s="16" t="e">
        <v>#N/A</v>
      </c>
    </row>
    <row r="180" spans="1:10" x14ac:dyDescent="0.35">
      <c r="A180" s="9" t="s">
        <v>981</v>
      </c>
      <c r="B180" s="10">
        <v>45222.467361111107</v>
      </c>
      <c r="C180" s="11" t="s">
        <v>988</v>
      </c>
      <c r="D180" s="4">
        <v>104</v>
      </c>
      <c r="E180" s="11" t="s">
        <v>740</v>
      </c>
      <c r="F180" s="11" t="e">
        <v>#N/A</v>
      </c>
      <c r="G180" s="11" t="e">
        <v>#N/A</v>
      </c>
      <c r="H180" s="11" t="e">
        <v>#N/A</v>
      </c>
      <c r="I180" s="11" t="e">
        <v>#N/A</v>
      </c>
      <c r="J180" s="12" t="e">
        <v>#N/A</v>
      </c>
    </row>
    <row r="181" spans="1:10" x14ac:dyDescent="0.35">
      <c r="A181" s="13" t="s">
        <v>1389</v>
      </c>
      <c r="B181" s="14">
        <v>45221.498611111107</v>
      </c>
      <c r="C181" s="15" t="s">
        <v>1402</v>
      </c>
      <c r="D181" s="3">
        <v>116</v>
      </c>
      <c r="E181" s="15" t="s">
        <v>738</v>
      </c>
      <c r="F181" s="15" t="e">
        <v>#N/A</v>
      </c>
      <c r="G181" s="15" t="e">
        <v>#N/A</v>
      </c>
      <c r="H181" s="15" t="e">
        <v>#N/A</v>
      </c>
      <c r="I181" s="15" t="e">
        <v>#N/A</v>
      </c>
      <c r="J181" s="16" t="e">
        <v>#N/A</v>
      </c>
    </row>
    <row r="182" spans="1:10" x14ac:dyDescent="0.35">
      <c r="A182" s="9" t="s">
        <v>981</v>
      </c>
      <c r="B182" s="10">
        <v>45204.759027777778</v>
      </c>
      <c r="C182" s="11" t="s">
        <v>995</v>
      </c>
      <c r="D182" s="4">
        <v>105</v>
      </c>
      <c r="E182" s="11" t="s">
        <v>740</v>
      </c>
      <c r="F182" s="11" t="e">
        <v>#N/A</v>
      </c>
      <c r="G182" s="11" t="e">
        <v>#N/A</v>
      </c>
      <c r="H182" s="11" t="e">
        <v>#N/A</v>
      </c>
      <c r="I182" s="11" t="e">
        <v>#N/A</v>
      </c>
      <c r="J182" s="12" t="e">
        <v>#N/A</v>
      </c>
    </row>
    <row r="183" spans="1:10" x14ac:dyDescent="0.35">
      <c r="A183" s="13" t="s">
        <v>1002</v>
      </c>
      <c r="B183" s="14">
        <v>45227.724305555559</v>
      </c>
      <c r="C183" s="15" t="s">
        <v>995</v>
      </c>
      <c r="D183" s="3">
        <v>20</v>
      </c>
      <c r="E183" s="15" t="s">
        <v>735</v>
      </c>
      <c r="F183" s="15" t="e">
        <v>#N/A</v>
      </c>
      <c r="G183" s="15" t="e">
        <v>#N/A</v>
      </c>
      <c r="H183" s="15" t="e">
        <v>#N/A</v>
      </c>
      <c r="I183" s="15" t="e">
        <v>#N/A</v>
      </c>
      <c r="J183" s="16" t="e">
        <v>#N/A</v>
      </c>
    </row>
    <row r="184" spans="1:10" x14ac:dyDescent="0.35">
      <c r="A184" s="9" t="s">
        <v>1336</v>
      </c>
      <c r="B184" s="10">
        <v>45227.705555555563</v>
      </c>
      <c r="C184" s="11" t="s">
        <v>995</v>
      </c>
      <c r="D184" s="4">
        <v>108</v>
      </c>
      <c r="E184" s="11" t="s">
        <v>738</v>
      </c>
      <c r="F184" s="11" t="e">
        <v>#N/A</v>
      </c>
      <c r="G184" s="11" t="e">
        <v>#N/A</v>
      </c>
      <c r="H184" s="11" t="e">
        <v>#N/A</v>
      </c>
      <c r="I184" s="11" t="e">
        <v>#N/A</v>
      </c>
      <c r="J184" s="12" t="e">
        <v>#N/A</v>
      </c>
    </row>
    <row r="185" spans="1:10" x14ac:dyDescent="0.35">
      <c r="A185" s="13" t="s">
        <v>1199</v>
      </c>
      <c r="B185" s="14">
        <v>45224.963888888888</v>
      </c>
      <c r="C185" s="15" t="s">
        <v>1200</v>
      </c>
      <c r="D185" s="3">
        <v>83</v>
      </c>
      <c r="E185" s="15" t="s">
        <v>738</v>
      </c>
      <c r="F185" s="15" t="e">
        <v>#N/A</v>
      </c>
      <c r="G185" s="15" t="e">
        <v>#N/A</v>
      </c>
      <c r="H185" s="15" t="e">
        <v>#N/A</v>
      </c>
      <c r="I185" s="15" t="e">
        <v>#N/A</v>
      </c>
      <c r="J185" s="16" t="e">
        <v>#N/A</v>
      </c>
    </row>
    <row r="186" spans="1:10" x14ac:dyDescent="0.35">
      <c r="A186" s="9" t="s">
        <v>942</v>
      </c>
      <c r="B186" s="10">
        <v>45221.384722222218</v>
      </c>
      <c r="C186" s="11" t="s">
        <v>962</v>
      </c>
      <c r="D186" s="4">
        <v>92</v>
      </c>
      <c r="E186" s="11" t="s">
        <v>738</v>
      </c>
      <c r="F186" s="11" t="e">
        <v>#N/A</v>
      </c>
      <c r="G186" s="11" t="e">
        <v>#N/A</v>
      </c>
      <c r="H186" s="11" t="e">
        <v>#N/A</v>
      </c>
      <c r="I186" s="11" t="e">
        <v>#N/A</v>
      </c>
      <c r="J186" s="12" t="e">
        <v>#N/A</v>
      </c>
    </row>
    <row r="187" spans="1:10" x14ac:dyDescent="0.35">
      <c r="A187" s="13" t="s">
        <v>1091</v>
      </c>
      <c r="B187" s="14">
        <v>45214.613194444442</v>
      </c>
      <c r="C187" s="15" t="s">
        <v>1105</v>
      </c>
      <c r="D187" s="3">
        <v>61</v>
      </c>
      <c r="E187" s="15" t="s">
        <v>740</v>
      </c>
      <c r="F187" s="15" t="e">
        <v>#N/A</v>
      </c>
      <c r="G187" s="15" t="e">
        <v>#N/A</v>
      </c>
      <c r="H187" s="15" t="e">
        <v>#N/A</v>
      </c>
      <c r="I187" s="15" t="e">
        <v>#N/A</v>
      </c>
      <c r="J187" s="16" t="e">
        <v>#N/A</v>
      </c>
    </row>
    <row r="188" spans="1:10" x14ac:dyDescent="0.35">
      <c r="A188" s="9" t="s">
        <v>1368</v>
      </c>
      <c r="B188" s="10">
        <v>45203.570833333331</v>
      </c>
      <c r="C188" s="11" t="s">
        <v>1386</v>
      </c>
      <c r="D188" s="4">
        <v>68</v>
      </c>
      <c r="E188" s="11" t="s">
        <v>740</v>
      </c>
      <c r="F188" s="11" t="e">
        <v>#N/A</v>
      </c>
      <c r="G188" s="11" t="e">
        <v>#N/A</v>
      </c>
      <c r="H188" s="11" t="e">
        <v>#N/A</v>
      </c>
      <c r="I188" s="11" t="e">
        <v>#N/A</v>
      </c>
      <c r="J188" s="12" t="e">
        <v>#N/A</v>
      </c>
    </row>
    <row r="189" spans="1:10" x14ac:dyDescent="0.35">
      <c r="A189" s="13" t="s">
        <v>782</v>
      </c>
      <c r="B189" s="14">
        <v>45229.298611111109</v>
      </c>
      <c r="C189" s="15" t="s">
        <v>797</v>
      </c>
      <c r="D189" s="3">
        <v>74</v>
      </c>
      <c r="E189" s="15" t="s">
        <v>740</v>
      </c>
      <c r="F189" s="15" t="e">
        <v>#N/A</v>
      </c>
      <c r="G189" s="15" t="e">
        <v>#N/A</v>
      </c>
      <c r="H189" s="15" t="e">
        <v>#N/A</v>
      </c>
      <c r="I189" s="15" t="e">
        <v>#N/A</v>
      </c>
      <c r="J189" s="16" t="e">
        <v>#N/A</v>
      </c>
    </row>
    <row r="190" spans="1:10" x14ac:dyDescent="0.35">
      <c r="A190" s="9" t="s">
        <v>1002</v>
      </c>
      <c r="B190" s="10">
        <v>45211.546527777777</v>
      </c>
      <c r="C190" s="11" t="s">
        <v>797</v>
      </c>
      <c r="D190" s="4">
        <v>115</v>
      </c>
      <c r="E190" s="11" t="s">
        <v>735</v>
      </c>
      <c r="F190" s="11" t="e">
        <v>#N/A</v>
      </c>
      <c r="G190" s="11" t="e">
        <v>#N/A</v>
      </c>
      <c r="H190" s="11" t="e">
        <v>#N/A</v>
      </c>
      <c r="I190" s="11" t="e">
        <v>#N/A</v>
      </c>
      <c r="J190" s="12" t="e">
        <v>#N/A</v>
      </c>
    </row>
    <row r="191" spans="1:10" x14ac:dyDescent="0.35">
      <c r="A191" s="13" t="s">
        <v>1336</v>
      </c>
      <c r="B191" s="14">
        <v>45225.211111111108</v>
      </c>
      <c r="C191" s="15" t="s">
        <v>1346</v>
      </c>
      <c r="D191" s="3">
        <v>33</v>
      </c>
      <c r="E191" s="15" t="s">
        <v>738</v>
      </c>
      <c r="F191" s="15" t="e">
        <v>#N/A</v>
      </c>
      <c r="G191" s="15" t="e">
        <v>#N/A</v>
      </c>
      <c r="H191" s="15" t="e">
        <v>#N/A</v>
      </c>
      <c r="I191" s="15" t="e">
        <v>#N/A</v>
      </c>
      <c r="J191" s="16" t="e">
        <v>#N/A</v>
      </c>
    </row>
    <row r="192" spans="1:10" x14ac:dyDescent="0.35">
      <c r="A192" s="9" t="s">
        <v>1368</v>
      </c>
      <c r="B192" s="10">
        <v>45202.361805555563</v>
      </c>
      <c r="C192" s="11" t="s">
        <v>1384</v>
      </c>
      <c r="D192" s="4">
        <v>15</v>
      </c>
      <c r="E192" s="11" t="s">
        <v>738</v>
      </c>
      <c r="F192" s="11" t="e">
        <v>#N/A</v>
      </c>
      <c r="G192" s="11" t="e">
        <v>#N/A</v>
      </c>
      <c r="H192" s="11" t="e">
        <v>#N/A</v>
      </c>
      <c r="I192" s="11" t="e">
        <v>#N/A</v>
      </c>
      <c r="J192" s="12" t="e">
        <v>#N/A</v>
      </c>
    </row>
    <row r="193" spans="1:10" x14ac:dyDescent="0.35">
      <c r="A193" s="13" t="s">
        <v>1144</v>
      </c>
      <c r="B193" s="14">
        <v>45226.747916666667</v>
      </c>
      <c r="C193" s="15" t="s">
        <v>1161</v>
      </c>
      <c r="D193" s="3">
        <v>52</v>
      </c>
      <c r="E193" s="15" t="s">
        <v>738</v>
      </c>
      <c r="F193" s="15" t="e">
        <v>#N/A</v>
      </c>
      <c r="G193" s="15" t="e">
        <v>#N/A</v>
      </c>
      <c r="H193" s="15" t="e">
        <v>#N/A</v>
      </c>
      <c r="I193" s="15" t="e">
        <v>#N/A</v>
      </c>
      <c r="J193" s="16" t="e">
        <v>#N/A</v>
      </c>
    </row>
    <row r="194" spans="1:10" x14ac:dyDescent="0.35">
      <c r="A194" s="9" t="s">
        <v>1063</v>
      </c>
      <c r="B194" s="10">
        <v>45201.30972222222</v>
      </c>
      <c r="C194" s="11" t="s">
        <v>1064</v>
      </c>
      <c r="D194" s="4">
        <v>56</v>
      </c>
      <c r="E194" s="11" t="s">
        <v>740</v>
      </c>
      <c r="F194" s="11" t="e">
        <v>#N/A</v>
      </c>
      <c r="G194" s="11" t="e">
        <v>#N/A</v>
      </c>
      <c r="H194" s="11" t="e">
        <v>#N/A</v>
      </c>
      <c r="I194" s="11" t="e">
        <v>#N/A</v>
      </c>
      <c r="J194" s="12" t="e">
        <v>#N/A</v>
      </c>
    </row>
    <row r="195" spans="1:10" x14ac:dyDescent="0.35">
      <c r="A195" s="13" t="s">
        <v>1294</v>
      </c>
      <c r="B195" s="14">
        <v>45208.084027777782</v>
      </c>
      <c r="C195" s="15" t="s">
        <v>1301</v>
      </c>
      <c r="D195" s="3">
        <v>50</v>
      </c>
      <c r="E195" s="15" t="s">
        <v>738</v>
      </c>
      <c r="F195" s="15" t="e">
        <v>#N/A</v>
      </c>
      <c r="G195" s="15" t="e">
        <v>#N/A</v>
      </c>
      <c r="H195" s="15" t="e">
        <v>#N/A</v>
      </c>
      <c r="I195" s="15" t="e">
        <v>#N/A</v>
      </c>
      <c r="J195" s="16" t="e">
        <v>#N/A</v>
      </c>
    </row>
    <row r="196" spans="1:10" x14ac:dyDescent="0.35">
      <c r="A196" s="9" t="s">
        <v>1414</v>
      </c>
      <c r="B196" s="10">
        <v>45224.6</v>
      </c>
      <c r="C196" s="11" t="s">
        <v>1422</v>
      </c>
      <c r="D196" s="4">
        <v>70</v>
      </c>
      <c r="E196" s="11" t="s">
        <v>740</v>
      </c>
      <c r="F196" s="11" t="e">
        <v>#N/A</v>
      </c>
      <c r="G196" s="11" t="e">
        <v>#N/A</v>
      </c>
      <c r="H196" s="11" t="e">
        <v>#N/A</v>
      </c>
      <c r="I196" s="11" t="e">
        <v>#N/A</v>
      </c>
      <c r="J196" s="12" t="e">
        <v>#N/A</v>
      </c>
    </row>
    <row r="197" spans="1:10" x14ac:dyDescent="0.35">
      <c r="A197" s="13" t="s">
        <v>1389</v>
      </c>
      <c r="B197" s="14">
        <v>45206.366666666669</v>
      </c>
      <c r="C197" s="15" t="s">
        <v>1406</v>
      </c>
      <c r="D197" s="3">
        <v>30</v>
      </c>
      <c r="E197" s="15" t="s">
        <v>740</v>
      </c>
      <c r="F197" s="15" t="e">
        <v>#N/A</v>
      </c>
      <c r="G197" s="15" t="e">
        <v>#N/A</v>
      </c>
      <c r="H197" s="15" t="e">
        <v>#N/A</v>
      </c>
      <c r="I197" s="15" t="e">
        <v>#N/A</v>
      </c>
      <c r="J197" s="16" t="e">
        <v>#N/A</v>
      </c>
    </row>
    <row r="198" spans="1:10" x14ac:dyDescent="0.35">
      <c r="A198" s="9" t="s">
        <v>733</v>
      </c>
      <c r="B198" s="10">
        <v>45217.321527777778</v>
      </c>
      <c r="C198" s="11" t="s">
        <v>773</v>
      </c>
      <c r="D198" s="4">
        <v>118</v>
      </c>
      <c r="E198" s="11" t="s">
        <v>738</v>
      </c>
      <c r="F198" s="11" t="e">
        <v>#N/A</v>
      </c>
      <c r="G198" s="11" t="e">
        <v>#N/A</v>
      </c>
      <c r="H198" s="11" t="e">
        <v>#N/A</v>
      </c>
      <c r="I198" s="11" t="e">
        <v>#N/A</v>
      </c>
      <c r="J198" s="12" t="e">
        <v>#N/A</v>
      </c>
    </row>
    <row r="199" spans="1:10" x14ac:dyDescent="0.35">
      <c r="A199" s="13" t="s">
        <v>942</v>
      </c>
      <c r="B199" s="14">
        <v>45202.45416666667</v>
      </c>
      <c r="C199" s="15" t="s">
        <v>957</v>
      </c>
      <c r="D199" s="3">
        <v>89</v>
      </c>
      <c r="E199" s="15" t="s">
        <v>740</v>
      </c>
      <c r="F199" s="15" t="e">
        <v>#N/A</v>
      </c>
      <c r="G199" s="15" t="e">
        <v>#N/A</v>
      </c>
      <c r="H199" s="15" t="e">
        <v>#N/A</v>
      </c>
      <c r="I199" s="15" t="e">
        <v>#N/A</v>
      </c>
      <c r="J199" s="16" t="e">
        <v>#N/A</v>
      </c>
    </row>
    <row r="200" spans="1:10" x14ac:dyDescent="0.35">
      <c r="A200" s="9" t="s">
        <v>1199</v>
      </c>
      <c r="B200" s="10">
        <v>45224.818055555559</v>
      </c>
      <c r="C200" s="11" t="s">
        <v>957</v>
      </c>
      <c r="D200" s="4">
        <v>5</v>
      </c>
      <c r="E200" s="11" t="s">
        <v>740</v>
      </c>
      <c r="F200" s="11" t="e">
        <v>#N/A</v>
      </c>
      <c r="G200" s="11" t="e">
        <v>#N/A</v>
      </c>
      <c r="H200" s="11" t="e">
        <v>#N/A</v>
      </c>
      <c r="I200" s="11" t="e">
        <v>#N/A</v>
      </c>
      <c r="J200" s="12" t="e">
        <v>#N/A</v>
      </c>
    </row>
    <row r="201" spans="1:10" x14ac:dyDescent="0.35">
      <c r="A201" s="13" t="s">
        <v>1225</v>
      </c>
      <c r="B201" s="14">
        <v>45225.527777777781</v>
      </c>
      <c r="C201" s="15" t="s">
        <v>1237</v>
      </c>
      <c r="D201" s="3">
        <v>6</v>
      </c>
      <c r="E201" s="15" t="s">
        <v>738</v>
      </c>
      <c r="F201" s="15" t="e">
        <v>#N/A</v>
      </c>
      <c r="G201" s="15" t="e">
        <v>#N/A</v>
      </c>
      <c r="H201" s="15" t="e">
        <v>#N/A</v>
      </c>
      <c r="I201" s="15" t="e">
        <v>#N/A</v>
      </c>
      <c r="J201" s="16" t="e">
        <v>#N/A</v>
      </c>
    </row>
    <row r="202" spans="1:10" x14ac:dyDescent="0.35">
      <c r="A202" s="9" t="s">
        <v>1028</v>
      </c>
      <c r="B202" s="10">
        <v>45225.77847222222</v>
      </c>
      <c r="C202" s="11" t="s">
        <v>1035</v>
      </c>
      <c r="D202" s="4">
        <v>89</v>
      </c>
      <c r="E202" s="11" t="s">
        <v>735</v>
      </c>
      <c r="F202" s="11" t="e">
        <v>#N/A</v>
      </c>
      <c r="G202" s="11" t="e">
        <v>#N/A</v>
      </c>
      <c r="H202" s="11" t="e">
        <v>#N/A</v>
      </c>
      <c r="I202" s="11" t="e">
        <v>#N/A</v>
      </c>
      <c r="J202" s="12" t="e">
        <v>#N/A</v>
      </c>
    </row>
    <row r="203" spans="1:10" x14ac:dyDescent="0.35">
      <c r="A203" s="13" t="s">
        <v>864</v>
      </c>
      <c r="B203" s="14">
        <v>45225.159722222219</v>
      </c>
      <c r="C203" s="15" t="s">
        <v>897</v>
      </c>
      <c r="D203" s="3">
        <v>113</v>
      </c>
      <c r="E203" s="15" t="s">
        <v>735</v>
      </c>
      <c r="F203" s="15" t="e">
        <v>#N/A</v>
      </c>
      <c r="G203" s="15" t="e">
        <v>#N/A</v>
      </c>
      <c r="H203" s="15" t="e">
        <v>#N/A</v>
      </c>
      <c r="I203" s="15" t="e">
        <v>#N/A</v>
      </c>
      <c r="J203" s="16" t="e">
        <v>#N/A</v>
      </c>
    </row>
    <row r="204" spans="1:10" x14ac:dyDescent="0.35">
      <c r="A204" s="9" t="s">
        <v>1267</v>
      </c>
      <c r="B204" s="10">
        <v>45215.756944444453</v>
      </c>
      <c r="C204" s="11" t="s">
        <v>1280</v>
      </c>
      <c r="D204" s="4">
        <v>24</v>
      </c>
      <c r="E204" s="11" t="s">
        <v>740</v>
      </c>
      <c r="F204" s="11" t="e">
        <v>#N/A</v>
      </c>
      <c r="G204" s="11" t="e">
        <v>#N/A</v>
      </c>
      <c r="H204" s="11" t="e">
        <v>#N/A</v>
      </c>
      <c r="I204" s="11" t="e">
        <v>#N/A</v>
      </c>
      <c r="J204" s="12" t="e">
        <v>#N/A</v>
      </c>
    </row>
    <row r="205" spans="1:10" x14ac:dyDescent="0.35">
      <c r="A205" s="13" t="s">
        <v>733</v>
      </c>
      <c r="B205" s="14">
        <v>45220.830555555556</v>
      </c>
      <c r="C205" s="15" t="s">
        <v>759</v>
      </c>
      <c r="D205" s="3">
        <v>59</v>
      </c>
      <c r="E205" s="15" t="s">
        <v>740</v>
      </c>
      <c r="F205" s="15" t="e">
        <v>#N/A</v>
      </c>
      <c r="G205" s="15" t="e">
        <v>#N/A</v>
      </c>
      <c r="H205" s="15" t="e">
        <v>#N/A</v>
      </c>
      <c r="I205" s="15" t="e">
        <v>#N/A</v>
      </c>
      <c r="J205" s="16" t="e">
        <v>#N/A</v>
      </c>
    </row>
    <row r="206" spans="1:10" x14ac:dyDescent="0.35">
      <c r="A206" s="9" t="s">
        <v>1171</v>
      </c>
      <c r="B206" s="10">
        <v>45224.456944444442</v>
      </c>
      <c r="C206" s="11" t="s">
        <v>759</v>
      </c>
      <c r="D206" s="4">
        <v>32</v>
      </c>
      <c r="E206" s="11" t="s">
        <v>735</v>
      </c>
      <c r="F206" s="11" t="e">
        <v>#N/A</v>
      </c>
      <c r="G206" s="11" t="e">
        <v>#N/A</v>
      </c>
      <c r="H206" s="11" t="e">
        <v>#N/A</v>
      </c>
      <c r="I206" s="11" t="e">
        <v>#N/A</v>
      </c>
      <c r="J206" s="12" t="e">
        <v>#N/A</v>
      </c>
    </row>
    <row r="207" spans="1:10" x14ac:dyDescent="0.35">
      <c r="A207" s="13" t="s">
        <v>1336</v>
      </c>
      <c r="B207" s="14">
        <v>45208.662499999999</v>
      </c>
      <c r="C207" s="15" t="s">
        <v>1342</v>
      </c>
      <c r="D207" s="3">
        <v>104</v>
      </c>
      <c r="E207" s="15" t="s">
        <v>740</v>
      </c>
      <c r="F207" s="15" t="e">
        <v>#N/A</v>
      </c>
      <c r="G207" s="15" t="e">
        <v>#N/A</v>
      </c>
      <c r="H207" s="15" t="e">
        <v>#N/A</v>
      </c>
      <c r="I207" s="15" t="e">
        <v>#N/A</v>
      </c>
      <c r="J207" s="16" t="e">
        <v>#N/A</v>
      </c>
    </row>
    <row r="208" spans="1:10" x14ac:dyDescent="0.35">
      <c r="A208" s="9" t="s">
        <v>1144</v>
      </c>
      <c r="B208" s="10">
        <v>45207.908333333333</v>
      </c>
      <c r="C208" s="11" t="s">
        <v>1158</v>
      </c>
      <c r="D208" s="4">
        <v>103</v>
      </c>
      <c r="E208" s="11" t="s">
        <v>735</v>
      </c>
      <c r="F208" s="11" t="e">
        <v>#N/A</v>
      </c>
      <c r="G208" s="11" t="e">
        <v>#N/A</v>
      </c>
      <c r="H208" s="11" t="e">
        <v>#N/A</v>
      </c>
      <c r="I208" s="11" t="e">
        <v>#N/A</v>
      </c>
      <c r="J208" s="12" t="e">
        <v>#N/A</v>
      </c>
    </row>
    <row r="209" spans="1:10" x14ac:dyDescent="0.35">
      <c r="A209" s="13" t="s">
        <v>1351</v>
      </c>
      <c r="B209" s="14">
        <v>45201.859027777777</v>
      </c>
      <c r="C209" s="15" t="s">
        <v>1354</v>
      </c>
      <c r="D209" s="3">
        <v>26</v>
      </c>
      <c r="E209" s="15" t="s">
        <v>738</v>
      </c>
      <c r="F209" s="15" t="e">
        <v>#N/A</v>
      </c>
      <c r="G209" s="15" t="e">
        <v>#N/A</v>
      </c>
      <c r="H209" s="15" t="e">
        <v>#N/A</v>
      </c>
      <c r="I209" s="15" t="e">
        <v>#N/A</v>
      </c>
      <c r="J209" s="16" t="e">
        <v>#N/A</v>
      </c>
    </row>
    <row r="210" spans="1:10" x14ac:dyDescent="0.35">
      <c r="A210" s="9" t="s">
        <v>1247</v>
      </c>
      <c r="B210" s="10">
        <v>45209.988888888889</v>
      </c>
      <c r="C210" s="11" t="s">
        <v>1260</v>
      </c>
      <c r="D210" s="4">
        <v>80</v>
      </c>
      <c r="E210" s="11" t="s">
        <v>738</v>
      </c>
      <c r="F210" s="11" t="e">
        <v>#N/A</v>
      </c>
      <c r="G210" s="11" t="e">
        <v>#N/A</v>
      </c>
      <c r="H210" s="11" t="e">
        <v>#N/A</v>
      </c>
      <c r="I210" s="11" t="e">
        <v>#N/A</v>
      </c>
      <c r="J210" s="12" t="e">
        <v>#N/A</v>
      </c>
    </row>
    <row r="211" spans="1:10" x14ac:dyDescent="0.35">
      <c r="A211" s="13" t="s">
        <v>1247</v>
      </c>
      <c r="B211" s="14">
        <v>45209.183333333327</v>
      </c>
      <c r="C211" s="15" t="s">
        <v>1265</v>
      </c>
      <c r="D211" s="3">
        <v>81</v>
      </c>
      <c r="E211" s="15" t="s">
        <v>738</v>
      </c>
      <c r="F211" s="15" t="e">
        <v>#N/A</v>
      </c>
      <c r="G211" s="15" t="e">
        <v>#N/A</v>
      </c>
      <c r="H211" s="15" t="e">
        <v>#N/A</v>
      </c>
      <c r="I211" s="15" t="e">
        <v>#N/A</v>
      </c>
      <c r="J211" s="16" t="e">
        <v>#N/A</v>
      </c>
    </row>
    <row r="212" spans="1:10" x14ac:dyDescent="0.35">
      <c r="A212" s="9" t="s">
        <v>1314</v>
      </c>
      <c r="B212" s="10">
        <v>45223.548611111109</v>
      </c>
      <c r="C212" s="11" t="s">
        <v>1265</v>
      </c>
      <c r="D212" s="4">
        <v>19</v>
      </c>
      <c r="E212" s="11" t="s">
        <v>738</v>
      </c>
      <c r="F212" s="11" t="e">
        <v>#N/A</v>
      </c>
      <c r="G212" s="11" t="e">
        <v>#N/A</v>
      </c>
      <c r="H212" s="11" t="e">
        <v>#N/A</v>
      </c>
      <c r="I212" s="11" t="e">
        <v>#N/A</v>
      </c>
      <c r="J212" s="12" t="e">
        <v>#N/A</v>
      </c>
    </row>
    <row r="213" spans="1:10" x14ac:dyDescent="0.35">
      <c r="A213" s="13" t="s">
        <v>1091</v>
      </c>
      <c r="B213" s="14">
        <v>45219.453472222223</v>
      </c>
      <c r="C213" s="15" t="s">
        <v>1115</v>
      </c>
      <c r="D213" s="3">
        <v>52</v>
      </c>
      <c r="E213" s="15" t="s">
        <v>738</v>
      </c>
      <c r="F213" s="15" t="e">
        <v>#N/A</v>
      </c>
      <c r="G213" s="15" t="e">
        <v>#N/A</v>
      </c>
      <c r="H213" s="15" t="e">
        <v>#N/A</v>
      </c>
      <c r="I213" s="15" t="e">
        <v>#N/A</v>
      </c>
      <c r="J213" s="16" t="e">
        <v>#N/A</v>
      </c>
    </row>
    <row r="214" spans="1:10" x14ac:dyDescent="0.35">
      <c r="A214" s="9" t="s">
        <v>1144</v>
      </c>
      <c r="B214" s="10">
        <v>45209.781944444447</v>
      </c>
      <c r="C214" s="11" t="s">
        <v>1115</v>
      </c>
      <c r="D214" s="4">
        <v>10</v>
      </c>
      <c r="E214" s="11" t="s">
        <v>738</v>
      </c>
      <c r="F214" s="11" t="e">
        <v>#N/A</v>
      </c>
      <c r="G214" s="11" t="e">
        <v>#N/A</v>
      </c>
      <c r="H214" s="11" t="e">
        <v>#N/A</v>
      </c>
      <c r="I214" s="11" t="e">
        <v>#N/A</v>
      </c>
      <c r="J214" s="12" t="e">
        <v>#N/A</v>
      </c>
    </row>
    <row r="215" spans="1:10" x14ac:dyDescent="0.35">
      <c r="A215" s="13" t="s">
        <v>1199</v>
      </c>
      <c r="B215" s="14">
        <v>45202.443055555559</v>
      </c>
      <c r="C215" s="15" t="s">
        <v>1115</v>
      </c>
      <c r="D215" s="3">
        <v>43</v>
      </c>
      <c r="E215" s="15" t="s">
        <v>735</v>
      </c>
      <c r="F215" s="15" t="e">
        <v>#N/A</v>
      </c>
      <c r="G215" s="15" t="e">
        <v>#N/A</v>
      </c>
      <c r="H215" s="15" t="e">
        <v>#N/A</v>
      </c>
      <c r="I215" s="15" t="e">
        <v>#N/A</v>
      </c>
      <c r="J215" s="16" t="e">
        <v>#N/A</v>
      </c>
    </row>
    <row r="216" spans="1:10" x14ac:dyDescent="0.35">
      <c r="A216" s="9" t="s">
        <v>1267</v>
      </c>
      <c r="B216" s="10">
        <v>45220.551388888889</v>
      </c>
      <c r="C216" s="11" t="s">
        <v>1288</v>
      </c>
      <c r="D216" s="4">
        <v>6</v>
      </c>
      <c r="E216" s="11" t="s">
        <v>735</v>
      </c>
      <c r="F216" s="11" t="e">
        <v>#N/A</v>
      </c>
      <c r="G216" s="11" t="e">
        <v>#N/A</v>
      </c>
      <c r="H216" s="11" t="e">
        <v>#N/A</v>
      </c>
      <c r="I216" s="11" t="e">
        <v>#N/A</v>
      </c>
      <c r="J216" s="12" t="e">
        <v>#N/A</v>
      </c>
    </row>
    <row r="217" spans="1:10" x14ac:dyDescent="0.35">
      <c r="A217" s="13" t="s">
        <v>1002</v>
      </c>
      <c r="B217" s="14">
        <v>45205.793749999997</v>
      </c>
      <c r="C217" s="15" t="s">
        <v>1021</v>
      </c>
      <c r="D217" s="3">
        <v>99</v>
      </c>
      <c r="E217" s="15" t="s">
        <v>738</v>
      </c>
      <c r="F217" s="15" t="e">
        <v>#N/A</v>
      </c>
      <c r="G217" s="15" t="e">
        <v>#N/A</v>
      </c>
      <c r="H217" s="15" t="e">
        <v>#N/A</v>
      </c>
      <c r="I217" s="15" t="e">
        <v>#N/A</v>
      </c>
      <c r="J217" s="16" t="e">
        <v>#N/A</v>
      </c>
    </row>
    <row r="218" spans="1:10" x14ac:dyDescent="0.35">
      <c r="A218" s="9" t="s">
        <v>1171</v>
      </c>
      <c r="B218" s="10">
        <v>45212.680555555547</v>
      </c>
      <c r="C218" s="11" t="s">
        <v>1173</v>
      </c>
      <c r="D218" s="4">
        <v>63</v>
      </c>
      <c r="E218" s="11" t="s">
        <v>735</v>
      </c>
      <c r="F218" s="11" t="e">
        <v>#N/A</v>
      </c>
      <c r="G218" s="11" t="e">
        <v>#N/A</v>
      </c>
      <c r="H218" s="11" t="e">
        <v>#N/A</v>
      </c>
      <c r="I218" s="11" t="e">
        <v>#N/A</v>
      </c>
      <c r="J218" s="12" t="e">
        <v>#N/A</v>
      </c>
    </row>
    <row r="219" spans="1:10" x14ac:dyDescent="0.35">
      <c r="A219" s="13" t="s">
        <v>942</v>
      </c>
      <c r="B219" s="14">
        <v>45203.864583333343</v>
      </c>
      <c r="C219" s="15" t="s">
        <v>964</v>
      </c>
      <c r="D219" s="3">
        <v>100</v>
      </c>
      <c r="E219" s="15" t="s">
        <v>740</v>
      </c>
      <c r="F219" s="15" t="e">
        <v>#N/A</v>
      </c>
      <c r="G219" s="15" t="e">
        <v>#N/A</v>
      </c>
      <c r="H219" s="15" t="e">
        <v>#N/A</v>
      </c>
      <c r="I219" s="15" t="e">
        <v>#N/A</v>
      </c>
      <c r="J219" s="16" t="e">
        <v>#N/A</v>
      </c>
    </row>
    <row r="220" spans="1:10" x14ac:dyDescent="0.35">
      <c r="A220" s="9" t="s">
        <v>1351</v>
      </c>
      <c r="B220" s="10">
        <v>45208.762499999997</v>
      </c>
      <c r="C220" s="11" t="s">
        <v>1353</v>
      </c>
      <c r="D220" s="4">
        <v>101</v>
      </c>
      <c r="E220" s="11" t="s">
        <v>735</v>
      </c>
      <c r="F220" s="11" t="e">
        <v>#N/A</v>
      </c>
      <c r="G220" s="11" t="e">
        <v>#N/A</v>
      </c>
      <c r="H220" s="11" t="e">
        <v>#N/A</v>
      </c>
      <c r="I220" s="11" t="e">
        <v>#N/A</v>
      </c>
      <c r="J220" s="12" t="e">
        <v>#N/A</v>
      </c>
    </row>
    <row r="221" spans="1:10" x14ac:dyDescent="0.35">
      <c r="A221" s="13" t="s">
        <v>1002</v>
      </c>
      <c r="B221" s="14">
        <v>45213.960416666669</v>
      </c>
      <c r="C221" s="15" t="s">
        <v>1004</v>
      </c>
      <c r="D221" s="3">
        <v>103</v>
      </c>
      <c r="E221" s="15" t="s">
        <v>738</v>
      </c>
      <c r="F221" s="15" t="e">
        <v>#N/A</v>
      </c>
      <c r="G221" s="15" t="e">
        <v>#N/A</v>
      </c>
      <c r="H221" s="15" t="e">
        <v>#N/A</v>
      </c>
      <c r="I221" s="15" t="e">
        <v>#N/A</v>
      </c>
      <c r="J221" s="16" t="e">
        <v>#N/A</v>
      </c>
    </row>
    <row r="222" spans="1:10" x14ac:dyDescent="0.35">
      <c r="A222" s="9" t="s">
        <v>1028</v>
      </c>
      <c r="B222" s="10">
        <v>45219.076388888891</v>
      </c>
      <c r="C222" s="11" t="s">
        <v>1044</v>
      </c>
      <c r="D222" s="4">
        <v>93</v>
      </c>
      <c r="E222" s="11" t="s">
        <v>740</v>
      </c>
      <c r="F222" s="11" t="e">
        <v>#N/A</v>
      </c>
      <c r="G222" s="11" t="e">
        <v>#N/A</v>
      </c>
      <c r="H222" s="11" t="e">
        <v>#N/A</v>
      </c>
      <c r="I222" s="11" t="e">
        <v>#N/A</v>
      </c>
      <c r="J222" s="12" t="e">
        <v>#N/A</v>
      </c>
    </row>
    <row r="223" spans="1:10" x14ac:dyDescent="0.35">
      <c r="A223" s="13" t="s">
        <v>1091</v>
      </c>
      <c r="B223" s="14">
        <v>45217.193749999999</v>
      </c>
      <c r="C223" s="15" t="s">
        <v>1044</v>
      </c>
      <c r="D223" s="3">
        <v>56</v>
      </c>
      <c r="E223" s="15" t="s">
        <v>735</v>
      </c>
      <c r="F223" s="15" t="e">
        <v>#N/A</v>
      </c>
      <c r="G223" s="15" t="e">
        <v>#N/A</v>
      </c>
      <c r="H223" s="15" t="e">
        <v>#N/A</v>
      </c>
      <c r="I223" s="15" t="e">
        <v>#N/A</v>
      </c>
      <c r="J223" s="16" t="e">
        <v>#N/A</v>
      </c>
    </row>
    <row r="224" spans="1:10" x14ac:dyDescent="0.35">
      <c r="A224" s="9" t="s">
        <v>1314</v>
      </c>
      <c r="B224" s="10">
        <v>45217.504166666673</v>
      </c>
      <c r="C224" s="11" t="s">
        <v>1044</v>
      </c>
      <c r="D224" s="4">
        <v>55</v>
      </c>
      <c r="E224" s="11" t="s">
        <v>740</v>
      </c>
      <c r="F224" s="11" t="e">
        <v>#N/A</v>
      </c>
      <c r="G224" s="11" t="e">
        <v>#N/A</v>
      </c>
      <c r="H224" s="11" t="e">
        <v>#N/A</v>
      </c>
      <c r="I224" s="11" t="e">
        <v>#N/A</v>
      </c>
      <c r="J224" s="12" t="e">
        <v>#N/A</v>
      </c>
    </row>
    <row r="225" spans="1:10" x14ac:dyDescent="0.35">
      <c r="A225" s="13" t="s">
        <v>1144</v>
      </c>
      <c r="B225" s="14">
        <v>45215.743750000001</v>
      </c>
      <c r="C225" s="15" t="s">
        <v>1156</v>
      </c>
      <c r="D225" s="3">
        <v>103</v>
      </c>
      <c r="E225" s="15" t="s">
        <v>735</v>
      </c>
      <c r="F225" s="15" t="e">
        <v>#N/A</v>
      </c>
      <c r="G225" s="15" t="e">
        <v>#N/A</v>
      </c>
      <c r="H225" s="15" t="e">
        <v>#N/A</v>
      </c>
      <c r="I225" s="15" t="e">
        <v>#N/A</v>
      </c>
      <c r="J225" s="16" t="e">
        <v>#N/A</v>
      </c>
    </row>
    <row r="226" spans="1:10" x14ac:dyDescent="0.35">
      <c r="A226" s="9" t="s">
        <v>782</v>
      </c>
      <c r="B226" s="10">
        <v>45230.067361111112</v>
      </c>
      <c r="C226" s="11" t="s">
        <v>806</v>
      </c>
      <c r="D226" s="4">
        <v>75</v>
      </c>
      <c r="E226" s="11" t="s">
        <v>735</v>
      </c>
      <c r="F226" s="11" t="e">
        <v>#N/A</v>
      </c>
      <c r="G226" s="11" t="e">
        <v>#N/A</v>
      </c>
      <c r="H226" s="11" t="e">
        <v>#N/A</v>
      </c>
      <c r="I226" s="11" t="e">
        <v>#N/A</v>
      </c>
      <c r="J226" s="12" t="e">
        <v>#N/A</v>
      </c>
    </row>
    <row r="227" spans="1:10" x14ac:dyDescent="0.35">
      <c r="A227" s="13" t="s">
        <v>1389</v>
      </c>
      <c r="B227" s="14">
        <v>45218.665972222218</v>
      </c>
      <c r="C227" s="15" t="s">
        <v>1394</v>
      </c>
      <c r="D227" s="3">
        <v>90</v>
      </c>
      <c r="E227" s="15" t="s">
        <v>740</v>
      </c>
      <c r="F227" s="15" t="e">
        <v>#N/A</v>
      </c>
      <c r="G227" s="15" t="e">
        <v>#N/A</v>
      </c>
      <c r="H227" s="15" t="e">
        <v>#N/A</v>
      </c>
      <c r="I227" s="15" t="e">
        <v>#N/A</v>
      </c>
      <c r="J227" s="16" t="e">
        <v>#N/A</v>
      </c>
    </row>
    <row r="228" spans="1:10" x14ac:dyDescent="0.35">
      <c r="A228" s="9" t="s">
        <v>1002</v>
      </c>
      <c r="B228" s="10">
        <v>45213.597916666673</v>
      </c>
      <c r="C228" s="11" t="s">
        <v>1016</v>
      </c>
      <c r="D228" s="4">
        <v>108</v>
      </c>
      <c r="E228" s="11" t="s">
        <v>738</v>
      </c>
      <c r="F228" s="11" t="e">
        <v>#N/A</v>
      </c>
      <c r="G228" s="11" t="e">
        <v>#N/A</v>
      </c>
      <c r="H228" s="11" t="e">
        <v>#N/A</v>
      </c>
      <c r="I228" s="11" t="e">
        <v>#N/A</v>
      </c>
      <c r="J228" s="12" t="e">
        <v>#N/A</v>
      </c>
    </row>
    <row r="229" spans="1:10" x14ac:dyDescent="0.35">
      <c r="A229" s="13" t="s">
        <v>1002</v>
      </c>
      <c r="B229" s="14">
        <v>45221.50277777778</v>
      </c>
      <c r="C229" s="15" t="s">
        <v>1014</v>
      </c>
      <c r="D229" s="3">
        <v>69</v>
      </c>
      <c r="E229" s="15" t="s">
        <v>735</v>
      </c>
      <c r="F229" s="15" t="e">
        <v>#N/A</v>
      </c>
      <c r="G229" s="15" t="e">
        <v>#N/A</v>
      </c>
      <c r="H229" s="15" t="e">
        <v>#N/A</v>
      </c>
      <c r="I229" s="15" t="e">
        <v>#N/A</v>
      </c>
      <c r="J229" s="16" t="e">
        <v>#N/A</v>
      </c>
    </row>
    <row r="230" spans="1:10" x14ac:dyDescent="0.35">
      <c r="A230" s="9" t="s">
        <v>905</v>
      </c>
      <c r="B230" s="10">
        <v>45201.243055555547</v>
      </c>
      <c r="C230" s="11" t="s">
        <v>934</v>
      </c>
      <c r="D230" s="4">
        <v>57</v>
      </c>
      <c r="E230" s="11" t="s">
        <v>740</v>
      </c>
      <c r="F230" s="11" t="e">
        <v>#N/A</v>
      </c>
      <c r="G230" s="11" t="e">
        <v>#N/A</v>
      </c>
      <c r="H230" s="11" t="e">
        <v>#N/A</v>
      </c>
      <c r="I230" s="11" t="e">
        <v>#N/A</v>
      </c>
      <c r="J230" s="12" t="e">
        <v>#N/A</v>
      </c>
    </row>
    <row r="231" spans="1:10" x14ac:dyDescent="0.35">
      <c r="A231" s="13" t="s">
        <v>1063</v>
      </c>
      <c r="B231" s="14">
        <v>45209.684027777781</v>
      </c>
      <c r="C231" s="15" t="s">
        <v>934</v>
      </c>
      <c r="D231" s="3">
        <v>44</v>
      </c>
      <c r="E231" s="15" t="s">
        <v>740</v>
      </c>
      <c r="F231" s="15" t="e">
        <v>#N/A</v>
      </c>
      <c r="G231" s="15" t="e">
        <v>#N/A</v>
      </c>
      <c r="H231" s="15" t="e">
        <v>#N/A</v>
      </c>
      <c r="I231" s="15" t="e">
        <v>#N/A</v>
      </c>
      <c r="J231" s="16" t="e">
        <v>#N/A</v>
      </c>
    </row>
    <row r="232" spans="1:10" x14ac:dyDescent="0.35">
      <c r="A232" s="9" t="s">
        <v>1199</v>
      </c>
      <c r="B232" s="10">
        <v>45217.68472222222</v>
      </c>
      <c r="C232" s="11" t="s">
        <v>934</v>
      </c>
      <c r="D232" s="4">
        <v>43</v>
      </c>
      <c r="E232" s="11" t="s">
        <v>735</v>
      </c>
      <c r="F232" s="11" t="e">
        <v>#N/A</v>
      </c>
      <c r="G232" s="11" t="e">
        <v>#N/A</v>
      </c>
      <c r="H232" s="11" t="e">
        <v>#N/A</v>
      </c>
      <c r="I232" s="11" t="e">
        <v>#N/A</v>
      </c>
      <c r="J232" s="12" t="e">
        <v>#N/A</v>
      </c>
    </row>
    <row r="233" spans="1:10" x14ac:dyDescent="0.35">
      <c r="A233" s="13" t="s">
        <v>942</v>
      </c>
      <c r="B233" s="14">
        <v>45202.659722222219</v>
      </c>
      <c r="C233" s="15" t="s">
        <v>954</v>
      </c>
      <c r="D233" s="3">
        <v>42</v>
      </c>
      <c r="E233" s="15" t="s">
        <v>735</v>
      </c>
      <c r="F233" s="15" t="e">
        <v>#N/A</v>
      </c>
      <c r="G233" s="15" t="e">
        <v>#N/A</v>
      </c>
      <c r="H233" s="15" t="e">
        <v>#N/A</v>
      </c>
      <c r="I233" s="15" t="e">
        <v>#N/A</v>
      </c>
      <c r="J233" s="16" t="e">
        <v>#N/A</v>
      </c>
    </row>
    <row r="234" spans="1:10" x14ac:dyDescent="0.35">
      <c r="A234" s="9" t="s">
        <v>1028</v>
      </c>
      <c r="B234" s="10">
        <v>45203.447916666657</v>
      </c>
      <c r="C234" s="11" t="s">
        <v>954</v>
      </c>
      <c r="D234" s="4">
        <v>84</v>
      </c>
      <c r="E234" s="11" t="s">
        <v>740</v>
      </c>
      <c r="F234" s="11" t="e">
        <v>#N/A</v>
      </c>
      <c r="G234" s="11" t="e">
        <v>#N/A</v>
      </c>
      <c r="H234" s="11" t="e">
        <v>#N/A</v>
      </c>
      <c r="I234" s="11" t="e">
        <v>#N/A</v>
      </c>
      <c r="J234" s="12" t="e">
        <v>#N/A</v>
      </c>
    </row>
    <row r="235" spans="1:10" x14ac:dyDescent="0.35">
      <c r="A235" s="13" t="s">
        <v>1225</v>
      </c>
      <c r="B235" s="14">
        <v>45206.366666666669</v>
      </c>
      <c r="C235" s="15" t="s">
        <v>954</v>
      </c>
      <c r="D235" s="3">
        <v>69</v>
      </c>
      <c r="E235" s="15" t="s">
        <v>738</v>
      </c>
      <c r="F235" s="15" t="e">
        <v>#N/A</v>
      </c>
      <c r="G235" s="15" t="e">
        <v>#N/A</v>
      </c>
      <c r="H235" s="15" t="e">
        <v>#N/A</v>
      </c>
      <c r="I235" s="15" t="e">
        <v>#N/A</v>
      </c>
      <c r="J235" s="16" t="e">
        <v>#N/A</v>
      </c>
    </row>
    <row r="236" spans="1:10" x14ac:dyDescent="0.35">
      <c r="A236" s="9" t="s">
        <v>782</v>
      </c>
      <c r="B236" s="10">
        <v>45225.737500000003</v>
      </c>
      <c r="C236" s="11" t="s">
        <v>803</v>
      </c>
      <c r="D236" s="4">
        <v>6</v>
      </c>
      <c r="E236" s="11" t="s">
        <v>738</v>
      </c>
      <c r="F236" s="11" t="e">
        <v>#N/A</v>
      </c>
      <c r="G236" s="11" t="e">
        <v>#N/A</v>
      </c>
      <c r="H236" s="11" t="e">
        <v>#N/A</v>
      </c>
      <c r="I236" s="11" t="e">
        <v>#N/A</v>
      </c>
      <c r="J236" s="12" t="e">
        <v>#N/A</v>
      </c>
    </row>
    <row r="237" spans="1:10" x14ac:dyDescent="0.35">
      <c r="A237" s="13" t="s">
        <v>905</v>
      </c>
      <c r="B237" s="14">
        <v>45207.40625</v>
      </c>
      <c r="C237" s="15" t="s">
        <v>803</v>
      </c>
      <c r="D237" s="3">
        <v>49</v>
      </c>
      <c r="E237" s="15" t="s">
        <v>738</v>
      </c>
      <c r="F237" s="15" t="e">
        <v>#N/A</v>
      </c>
      <c r="G237" s="15" t="e">
        <v>#N/A</v>
      </c>
      <c r="H237" s="15" t="e">
        <v>#N/A</v>
      </c>
      <c r="I237" s="15" t="e">
        <v>#N/A</v>
      </c>
      <c r="J237" s="16" t="e">
        <v>#N/A</v>
      </c>
    </row>
    <row r="238" spans="1:10" x14ac:dyDescent="0.35">
      <c r="A238" s="9" t="s">
        <v>981</v>
      </c>
      <c r="B238" s="10">
        <v>45218.990277777782</v>
      </c>
      <c r="C238" s="11" t="s">
        <v>984</v>
      </c>
      <c r="D238" s="4">
        <v>100</v>
      </c>
      <c r="E238" s="11" t="s">
        <v>735</v>
      </c>
      <c r="F238" s="11" t="e">
        <v>#N/A</v>
      </c>
      <c r="G238" s="11" t="e">
        <v>#N/A</v>
      </c>
      <c r="H238" s="11" t="e">
        <v>#N/A</v>
      </c>
      <c r="I238" s="11" t="e">
        <v>#N/A</v>
      </c>
      <c r="J238" s="12" t="e">
        <v>#N/A</v>
      </c>
    </row>
    <row r="239" spans="1:10" x14ac:dyDescent="0.35">
      <c r="A239" s="13" t="s">
        <v>1063</v>
      </c>
      <c r="B239" s="14">
        <v>45207.379861111112</v>
      </c>
      <c r="C239" s="15" t="s">
        <v>984</v>
      </c>
      <c r="D239" s="3">
        <v>118</v>
      </c>
      <c r="E239" s="15" t="s">
        <v>740</v>
      </c>
      <c r="F239" s="15" t="e">
        <v>#N/A</v>
      </c>
      <c r="G239" s="15" t="e">
        <v>#N/A</v>
      </c>
      <c r="H239" s="15" t="e">
        <v>#N/A</v>
      </c>
      <c r="I239" s="15" t="e">
        <v>#N/A</v>
      </c>
      <c r="J239" s="16" t="e">
        <v>#N/A</v>
      </c>
    </row>
    <row r="240" spans="1:10" x14ac:dyDescent="0.35">
      <c r="A240" s="9" t="s">
        <v>1351</v>
      </c>
      <c r="B240" s="10">
        <v>45214.145833333343</v>
      </c>
      <c r="C240" s="11" t="s">
        <v>984</v>
      </c>
      <c r="D240" s="4">
        <v>29</v>
      </c>
      <c r="E240" s="11" t="s">
        <v>740</v>
      </c>
      <c r="F240" s="11" t="e">
        <v>#N/A</v>
      </c>
      <c r="G240" s="11" t="e">
        <v>#N/A</v>
      </c>
      <c r="H240" s="11" t="e">
        <v>#N/A</v>
      </c>
      <c r="I240" s="11" t="e">
        <v>#N/A</v>
      </c>
      <c r="J240" s="12" t="e">
        <v>#N/A</v>
      </c>
    </row>
    <row r="241" spans="1:10" x14ac:dyDescent="0.35">
      <c r="A241" s="13" t="s">
        <v>864</v>
      </c>
      <c r="B241" s="14">
        <v>45222.367361111108</v>
      </c>
      <c r="C241" s="15" t="s">
        <v>885</v>
      </c>
      <c r="D241" s="3">
        <v>117</v>
      </c>
      <c r="E241" s="15" t="s">
        <v>738</v>
      </c>
      <c r="F241" s="15" t="e">
        <v>#N/A</v>
      </c>
      <c r="G241" s="15" t="e">
        <v>#N/A</v>
      </c>
      <c r="H241" s="15" t="e">
        <v>#N/A</v>
      </c>
      <c r="I241" s="15" t="e">
        <v>#N/A</v>
      </c>
      <c r="J241" s="16" t="e">
        <v>#N/A</v>
      </c>
    </row>
    <row r="242" spans="1:10" x14ac:dyDescent="0.35">
      <c r="A242" s="9" t="s">
        <v>826</v>
      </c>
      <c r="B242" s="10">
        <v>45221.997916666667</v>
      </c>
      <c r="C242" s="11" t="s">
        <v>848</v>
      </c>
      <c r="D242" s="4">
        <v>59</v>
      </c>
      <c r="E242" s="11" t="s">
        <v>735</v>
      </c>
      <c r="F242" s="11" t="e">
        <v>#N/A</v>
      </c>
      <c r="G242" s="11" t="e">
        <v>#N/A</v>
      </c>
      <c r="H242" s="11" t="e">
        <v>#N/A</v>
      </c>
      <c r="I242" s="11" t="e">
        <v>#N/A</v>
      </c>
      <c r="J242" s="12" t="e">
        <v>#N/A</v>
      </c>
    </row>
    <row r="243" spans="1:10" x14ac:dyDescent="0.35">
      <c r="A243" s="13" t="s">
        <v>1091</v>
      </c>
      <c r="B243" s="14">
        <v>45222.107638888891</v>
      </c>
      <c r="C243" s="15" t="s">
        <v>848</v>
      </c>
      <c r="D243" s="3">
        <v>85</v>
      </c>
      <c r="E243" s="15" t="s">
        <v>735</v>
      </c>
      <c r="F243" s="15" t="e">
        <v>#N/A</v>
      </c>
      <c r="G243" s="15" t="e">
        <v>#N/A</v>
      </c>
      <c r="H243" s="15" t="e">
        <v>#N/A</v>
      </c>
      <c r="I243" s="15" t="e">
        <v>#N/A</v>
      </c>
      <c r="J243" s="16" t="e">
        <v>#N/A</v>
      </c>
    </row>
    <row r="244" spans="1:10" x14ac:dyDescent="0.35">
      <c r="A244" s="9" t="s">
        <v>1225</v>
      </c>
      <c r="B244" s="10">
        <v>45219.753472222219</v>
      </c>
      <c r="C244" s="11" t="s">
        <v>848</v>
      </c>
      <c r="D244" s="4">
        <v>77</v>
      </c>
      <c r="E244" s="11" t="s">
        <v>735</v>
      </c>
      <c r="F244" s="11" t="e">
        <v>#N/A</v>
      </c>
      <c r="G244" s="11" t="e">
        <v>#N/A</v>
      </c>
      <c r="H244" s="11" t="e">
        <v>#N/A</v>
      </c>
      <c r="I244" s="11" t="e">
        <v>#N/A</v>
      </c>
      <c r="J244" s="12" t="e">
        <v>#N/A</v>
      </c>
    </row>
    <row r="245" spans="1:10" x14ac:dyDescent="0.35">
      <c r="A245" s="13" t="s">
        <v>1368</v>
      </c>
      <c r="B245" s="14">
        <v>45215.163888888892</v>
      </c>
      <c r="C245" s="15" t="s">
        <v>1382</v>
      </c>
      <c r="D245" s="3">
        <v>109</v>
      </c>
      <c r="E245" s="15" t="s">
        <v>738</v>
      </c>
      <c r="F245" s="15" t="e">
        <v>#N/A</v>
      </c>
      <c r="G245" s="15" t="e">
        <v>#N/A</v>
      </c>
      <c r="H245" s="15" t="e">
        <v>#N/A</v>
      </c>
      <c r="I245" s="15" t="e">
        <v>#N/A</v>
      </c>
      <c r="J245" s="16" t="e">
        <v>#N/A</v>
      </c>
    </row>
    <row r="246" spans="1:10" x14ac:dyDescent="0.35">
      <c r="A246" s="9" t="s">
        <v>1091</v>
      </c>
      <c r="B246" s="10">
        <v>45226.003472222219</v>
      </c>
      <c r="C246" s="11" t="s">
        <v>1117</v>
      </c>
      <c r="D246" s="4">
        <v>76</v>
      </c>
      <c r="E246" s="11" t="s">
        <v>735</v>
      </c>
      <c r="F246" s="11" t="e">
        <v>#N/A</v>
      </c>
      <c r="G246" s="11" t="e">
        <v>#N/A</v>
      </c>
      <c r="H246" s="11" t="e">
        <v>#N/A</v>
      </c>
      <c r="I246" s="11" t="e">
        <v>#N/A</v>
      </c>
      <c r="J246" s="12" t="e">
        <v>#N/A</v>
      </c>
    </row>
    <row r="247" spans="1:10" x14ac:dyDescent="0.35">
      <c r="A247" s="13" t="s">
        <v>1225</v>
      </c>
      <c r="B247" s="14">
        <v>45230.088194444441</v>
      </c>
      <c r="C247" s="15" t="s">
        <v>1117</v>
      </c>
      <c r="D247" s="3">
        <v>87</v>
      </c>
      <c r="E247" s="15" t="s">
        <v>740</v>
      </c>
      <c r="F247" s="15" t="e">
        <v>#N/A</v>
      </c>
      <c r="G247" s="15" t="e">
        <v>#N/A</v>
      </c>
      <c r="H247" s="15" t="e">
        <v>#N/A</v>
      </c>
      <c r="I247" s="15" t="e">
        <v>#N/A</v>
      </c>
      <c r="J247" s="16" t="e">
        <v>#N/A</v>
      </c>
    </row>
    <row r="248" spans="1:10" x14ac:dyDescent="0.35">
      <c r="A248" s="9" t="s">
        <v>1171</v>
      </c>
      <c r="B248" s="10">
        <v>45227.324305555558</v>
      </c>
      <c r="C248" s="11" t="s">
        <v>1192</v>
      </c>
      <c r="D248" s="4">
        <v>52</v>
      </c>
      <c r="E248" s="11" t="s">
        <v>735</v>
      </c>
      <c r="F248" s="11" t="e">
        <v>#N/A</v>
      </c>
      <c r="G248" s="11" t="e">
        <v>#N/A</v>
      </c>
      <c r="H248" s="11" t="e">
        <v>#N/A</v>
      </c>
      <c r="I248" s="11" t="e">
        <v>#N/A</v>
      </c>
      <c r="J248" s="12" t="e">
        <v>#N/A</v>
      </c>
    </row>
    <row r="249" spans="1:10" x14ac:dyDescent="0.35">
      <c r="A249" s="13" t="s">
        <v>1028</v>
      </c>
      <c r="B249" s="14">
        <v>45202.695138888892</v>
      </c>
      <c r="C249" s="15" t="s">
        <v>1038</v>
      </c>
      <c r="D249" s="3">
        <v>21</v>
      </c>
      <c r="E249" s="15" t="s">
        <v>735</v>
      </c>
      <c r="F249" s="15" t="e">
        <v>#N/A</v>
      </c>
      <c r="G249" s="15" t="e">
        <v>#N/A</v>
      </c>
      <c r="H249" s="15" t="e">
        <v>#N/A</v>
      </c>
      <c r="I249" s="15" t="e">
        <v>#N/A</v>
      </c>
      <c r="J249" s="16" t="e">
        <v>#N/A</v>
      </c>
    </row>
    <row r="250" spans="1:10" x14ac:dyDescent="0.35">
      <c r="A250" s="9" t="s">
        <v>1199</v>
      </c>
      <c r="B250" s="10">
        <v>45200.394444444442</v>
      </c>
      <c r="C250" s="11" t="s">
        <v>1038</v>
      </c>
      <c r="D250" s="4">
        <v>115</v>
      </c>
      <c r="E250" s="11" t="s">
        <v>738</v>
      </c>
      <c r="F250" s="11" t="e">
        <v>#N/A</v>
      </c>
      <c r="G250" s="11" t="e">
        <v>#N/A</v>
      </c>
      <c r="H250" s="11" t="e">
        <v>#N/A</v>
      </c>
      <c r="I250" s="11" t="e">
        <v>#N/A</v>
      </c>
      <c r="J250" s="12" t="e">
        <v>#N/A</v>
      </c>
    </row>
    <row r="251" spans="1:10" x14ac:dyDescent="0.35">
      <c r="A251" s="13" t="s">
        <v>1414</v>
      </c>
      <c r="B251" s="14">
        <v>45201.243055555547</v>
      </c>
      <c r="C251" s="15" t="s">
        <v>1038</v>
      </c>
      <c r="D251" s="3">
        <v>73</v>
      </c>
      <c r="E251" s="15" t="s">
        <v>738</v>
      </c>
      <c r="F251" s="15" t="e">
        <v>#N/A</v>
      </c>
      <c r="G251" s="15" t="e">
        <v>#N/A</v>
      </c>
      <c r="H251" s="15" t="e">
        <v>#N/A</v>
      </c>
      <c r="I251" s="15" t="e">
        <v>#N/A</v>
      </c>
      <c r="J251" s="16" t="e">
        <v>#N/A</v>
      </c>
    </row>
    <row r="252" spans="1:10" x14ac:dyDescent="0.35">
      <c r="A252" s="9" t="s">
        <v>905</v>
      </c>
      <c r="B252" s="10">
        <v>45227.768750000003</v>
      </c>
      <c r="C252" s="11" t="s">
        <v>918</v>
      </c>
      <c r="D252" s="4">
        <v>61</v>
      </c>
      <c r="E252" s="11" t="s">
        <v>738</v>
      </c>
      <c r="F252" s="11" t="e">
        <v>#N/A</v>
      </c>
      <c r="G252" s="11" t="e">
        <v>#N/A</v>
      </c>
      <c r="H252" s="11" t="e">
        <v>#N/A</v>
      </c>
      <c r="I252" s="11" t="e">
        <v>#N/A</v>
      </c>
      <c r="J252" s="12" t="e">
        <v>#N/A</v>
      </c>
    </row>
    <row r="253" spans="1:10" x14ac:dyDescent="0.35">
      <c r="A253" s="13" t="s">
        <v>1144</v>
      </c>
      <c r="B253" s="14">
        <v>45230.1875</v>
      </c>
      <c r="C253" s="15" t="s">
        <v>1153</v>
      </c>
      <c r="D253" s="3">
        <v>9</v>
      </c>
      <c r="E253" s="15" t="s">
        <v>740</v>
      </c>
      <c r="F253" s="15" t="e">
        <v>#N/A</v>
      </c>
      <c r="G253" s="15" t="e">
        <v>#N/A</v>
      </c>
      <c r="H253" s="15" t="e">
        <v>#N/A</v>
      </c>
      <c r="I253" s="15" t="e">
        <v>#N/A</v>
      </c>
      <c r="J253" s="16" t="e">
        <v>#N/A</v>
      </c>
    </row>
    <row r="254" spans="1:10" x14ac:dyDescent="0.35">
      <c r="A254" s="9" t="s">
        <v>1389</v>
      </c>
      <c r="B254" s="10">
        <v>45213.822222222218</v>
      </c>
      <c r="C254" s="11" t="s">
        <v>1399</v>
      </c>
      <c r="D254" s="4">
        <v>100</v>
      </c>
      <c r="E254" s="11" t="s">
        <v>738</v>
      </c>
      <c r="F254" s="11" t="e">
        <v>#N/A</v>
      </c>
      <c r="G254" s="11" t="e">
        <v>#N/A</v>
      </c>
      <c r="H254" s="11" t="e">
        <v>#N/A</v>
      </c>
      <c r="I254" s="11" t="e">
        <v>#N/A</v>
      </c>
      <c r="J254" s="12" t="e">
        <v>#N/A</v>
      </c>
    </row>
    <row r="255" spans="1:10" x14ac:dyDescent="0.35">
      <c r="A255" s="13" t="s">
        <v>1091</v>
      </c>
      <c r="B255" s="14">
        <v>45209.094444444447</v>
      </c>
      <c r="C255" s="15" t="s">
        <v>1111</v>
      </c>
      <c r="D255" s="3">
        <v>96</v>
      </c>
      <c r="E255" s="15" t="s">
        <v>735</v>
      </c>
      <c r="F255" s="15" t="e">
        <v>#N/A</v>
      </c>
      <c r="G255" s="15" t="e">
        <v>#N/A</v>
      </c>
      <c r="H255" s="15" t="e">
        <v>#N/A</v>
      </c>
      <c r="I255" s="15" t="e">
        <v>#N/A</v>
      </c>
      <c r="J255" s="16" t="e">
        <v>#N/A</v>
      </c>
    </row>
    <row r="256" spans="1:10" x14ac:dyDescent="0.35">
      <c r="A256" s="9" t="s">
        <v>864</v>
      </c>
      <c r="B256" s="10">
        <v>45218.056944444441</v>
      </c>
      <c r="C256" s="11" t="s">
        <v>898</v>
      </c>
      <c r="D256" s="4">
        <v>46</v>
      </c>
      <c r="E256" s="11" t="s">
        <v>740</v>
      </c>
      <c r="F256" s="11" t="e">
        <v>#N/A</v>
      </c>
      <c r="G256" s="11" t="e">
        <v>#N/A</v>
      </c>
      <c r="H256" s="11" t="e">
        <v>#N/A</v>
      </c>
      <c r="I256" s="11" t="e">
        <v>#N/A</v>
      </c>
      <c r="J256" s="12" t="e">
        <v>#N/A</v>
      </c>
    </row>
    <row r="257" spans="1:10" x14ac:dyDescent="0.35">
      <c r="A257" s="13" t="s">
        <v>1368</v>
      </c>
      <c r="B257" s="14">
        <v>45219.041666666657</v>
      </c>
      <c r="C257" s="15" t="s">
        <v>898</v>
      </c>
      <c r="D257" s="3">
        <v>100</v>
      </c>
      <c r="E257" s="15" t="s">
        <v>740</v>
      </c>
      <c r="F257" s="15" t="e">
        <v>#N/A</v>
      </c>
      <c r="G257" s="15" t="e">
        <v>#N/A</v>
      </c>
      <c r="H257" s="15" t="e">
        <v>#N/A</v>
      </c>
      <c r="I257" s="15" t="e">
        <v>#N/A</v>
      </c>
      <c r="J257" s="16" t="e">
        <v>#N/A</v>
      </c>
    </row>
    <row r="258" spans="1:10" x14ac:dyDescent="0.35">
      <c r="A258" s="9" t="s">
        <v>1351</v>
      </c>
      <c r="B258" s="10">
        <v>45216.393055555563</v>
      </c>
      <c r="C258" s="11" t="s">
        <v>1357</v>
      </c>
      <c r="D258" s="4">
        <v>34</v>
      </c>
      <c r="E258" s="11" t="s">
        <v>740</v>
      </c>
      <c r="F258" s="11" t="e">
        <v>#N/A</v>
      </c>
      <c r="G258" s="11" t="e">
        <v>#N/A</v>
      </c>
      <c r="H258" s="11" t="e">
        <v>#N/A</v>
      </c>
      <c r="I258" s="11" t="e">
        <v>#N/A</v>
      </c>
      <c r="J258" s="12" t="e">
        <v>#N/A</v>
      </c>
    </row>
    <row r="259" spans="1:10" x14ac:dyDescent="0.35">
      <c r="A259" s="13" t="s">
        <v>826</v>
      </c>
      <c r="B259" s="14">
        <v>45213.89166666667</v>
      </c>
      <c r="C259" s="15" t="s">
        <v>847</v>
      </c>
      <c r="D259" s="3">
        <v>104</v>
      </c>
      <c r="E259" s="15" t="s">
        <v>735</v>
      </c>
      <c r="F259" s="15" t="e">
        <v>#N/A</v>
      </c>
      <c r="G259" s="15" t="e">
        <v>#N/A</v>
      </c>
      <c r="H259" s="15" t="e">
        <v>#N/A</v>
      </c>
      <c r="I259" s="15" t="e">
        <v>#N/A</v>
      </c>
      <c r="J259" s="16" t="e">
        <v>#N/A</v>
      </c>
    </row>
    <row r="260" spans="1:10" x14ac:dyDescent="0.35">
      <c r="A260" s="9" t="s">
        <v>1314</v>
      </c>
      <c r="B260" s="10">
        <v>45200.427777777782</v>
      </c>
      <c r="C260" s="11" t="s">
        <v>847</v>
      </c>
      <c r="D260" s="4">
        <v>16</v>
      </c>
      <c r="E260" s="11" t="s">
        <v>738</v>
      </c>
      <c r="F260" s="11" t="e">
        <v>#N/A</v>
      </c>
      <c r="G260" s="11" t="e">
        <v>#N/A</v>
      </c>
      <c r="H260" s="11" t="e">
        <v>#N/A</v>
      </c>
      <c r="I260" s="11" t="e">
        <v>#N/A</v>
      </c>
      <c r="J260" s="12" t="e">
        <v>#N/A</v>
      </c>
    </row>
    <row r="261" spans="1:10" x14ac:dyDescent="0.35">
      <c r="A261" s="13" t="s">
        <v>1294</v>
      </c>
      <c r="B261" s="14">
        <v>45210.511805555558</v>
      </c>
      <c r="C261" s="15" t="s">
        <v>1313</v>
      </c>
      <c r="D261" s="3">
        <v>27</v>
      </c>
      <c r="E261" s="15" t="s">
        <v>738</v>
      </c>
      <c r="F261" s="15" t="e">
        <v>#N/A</v>
      </c>
      <c r="G261" s="15" t="e">
        <v>#N/A</v>
      </c>
      <c r="H261" s="15" t="e">
        <v>#N/A</v>
      </c>
      <c r="I261" s="15" t="e">
        <v>#N/A</v>
      </c>
      <c r="J261" s="16" t="e">
        <v>#N/A</v>
      </c>
    </row>
    <row r="262" spans="1:10" x14ac:dyDescent="0.35">
      <c r="A262" s="9" t="s">
        <v>1028</v>
      </c>
      <c r="B262" s="10">
        <v>45209.724999999999</v>
      </c>
      <c r="C262" s="11" t="s">
        <v>1052</v>
      </c>
      <c r="D262" s="4">
        <v>97</v>
      </c>
      <c r="E262" s="11" t="s">
        <v>740</v>
      </c>
      <c r="F262" s="11" t="e">
        <v>#N/A</v>
      </c>
      <c r="G262" s="11" t="e">
        <v>#N/A</v>
      </c>
      <c r="H262" s="11" t="e">
        <v>#N/A</v>
      </c>
      <c r="I262" s="11" t="e">
        <v>#N/A</v>
      </c>
      <c r="J262" s="12" t="e">
        <v>#N/A</v>
      </c>
    </row>
    <row r="263" spans="1:10" x14ac:dyDescent="0.35">
      <c r="A263" s="13" t="s">
        <v>826</v>
      </c>
      <c r="B263" s="14">
        <v>45221.095833333333</v>
      </c>
      <c r="C263" s="15" t="s">
        <v>856</v>
      </c>
      <c r="D263" s="3">
        <v>113</v>
      </c>
      <c r="E263" s="15" t="s">
        <v>740</v>
      </c>
      <c r="F263" s="15" t="e">
        <v>#N/A</v>
      </c>
      <c r="G263" s="15" t="e">
        <v>#N/A</v>
      </c>
      <c r="H263" s="15" t="e">
        <v>#N/A</v>
      </c>
      <c r="I263" s="15" t="e">
        <v>#N/A</v>
      </c>
      <c r="J263" s="16" t="e">
        <v>#N/A</v>
      </c>
    </row>
    <row r="264" spans="1:10" x14ac:dyDescent="0.35">
      <c r="A264" s="9" t="s">
        <v>905</v>
      </c>
      <c r="B264" s="10">
        <v>45209.588194444441</v>
      </c>
      <c r="C264" s="11" t="s">
        <v>856</v>
      </c>
      <c r="D264" s="4">
        <v>41</v>
      </c>
      <c r="E264" s="11" t="s">
        <v>738</v>
      </c>
      <c r="F264" s="11" t="e">
        <v>#N/A</v>
      </c>
      <c r="G264" s="11" t="e">
        <v>#N/A</v>
      </c>
      <c r="H264" s="11" t="e">
        <v>#N/A</v>
      </c>
      <c r="I264" s="11" t="e">
        <v>#N/A</v>
      </c>
      <c r="J264" s="12" t="e">
        <v>#N/A</v>
      </c>
    </row>
    <row r="265" spans="1:10" x14ac:dyDescent="0.35">
      <c r="A265" s="13" t="s">
        <v>733</v>
      </c>
      <c r="B265" s="14">
        <v>45219.840277777781</v>
      </c>
      <c r="C265" s="15" t="s">
        <v>769</v>
      </c>
      <c r="D265" s="3">
        <v>92</v>
      </c>
      <c r="E265" s="15" t="s">
        <v>735</v>
      </c>
      <c r="F265" s="15" t="e">
        <v>#N/A</v>
      </c>
      <c r="G265" s="15" t="e">
        <v>#N/A</v>
      </c>
      <c r="H265" s="15" t="e">
        <v>#N/A</v>
      </c>
      <c r="I265" s="15" t="e">
        <v>#N/A</v>
      </c>
      <c r="J265" s="16" t="e">
        <v>#N/A</v>
      </c>
    </row>
    <row r="266" spans="1:10" x14ac:dyDescent="0.35">
      <c r="A266" s="9" t="s">
        <v>782</v>
      </c>
      <c r="B266" s="10">
        <v>45211.55972222222</v>
      </c>
      <c r="C266" s="11" t="s">
        <v>769</v>
      </c>
      <c r="D266" s="4">
        <v>69</v>
      </c>
      <c r="E266" s="11" t="s">
        <v>738</v>
      </c>
      <c r="F266" s="11" t="e">
        <v>#N/A</v>
      </c>
      <c r="G266" s="11" t="e">
        <v>#N/A</v>
      </c>
      <c r="H266" s="11" t="e">
        <v>#N/A</v>
      </c>
      <c r="I266" s="11" t="e">
        <v>#N/A</v>
      </c>
      <c r="J266" s="12" t="e">
        <v>#N/A</v>
      </c>
    </row>
    <row r="267" spans="1:10" x14ac:dyDescent="0.35">
      <c r="A267" s="13" t="s">
        <v>864</v>
      </c>
      <c r="B267" s="14">
        <v>45200.981944444437</v>
      </c>
      <c r="C267" s="15" t="s">
        <v>769</v>
      </c>
      <c r="D267" s="3">
        <v>98</v>
      </c>
      <c r="E267" s="15" t="s">
        <v>735</v>
      </c>
      <c r="F267" s="15" t="e">
        <v>#N/A</v>
      </c>
      <c r="G267" s="15" t="e">
        <v>#N/A</v>
      </c>
      <c r="H267" s="15" t="e">
        <v>#N/A</v>
      </c>
      <c r="I267" s="15" t="e">
        <v>#N/A</v>
      </c>
      <c r="J267" s="16" t="e">
        <v>#N/A</v>
      </c>
    </row>
    <row r="268" spans="1:10" x14ac:dyDescent="0.35">
      <c r="A268" s="9" t="s">
        <v>1267</v>
      </c>
      <c r="B268" s="10">
        <v>45219.793749999997</v>
      </c>
      <c r="C268" s="11" t="s">
        <v>1269</v>
      </c>
      <c r="D268" s="4">
        <v>43</v>
      </c>
      <c r="E268" s="11" t="s">
        <v>738</v>
      </c>
      <c r="F268" s="11" t="e">
        <v>#N/A</v>
      </c>
      <c r="G268" s="11" t="e">
        <v>#N/A</v>
      </c>
      <c r="H268" s="11" t="e">
        <v>#N/A</v>
      </c>
      <c r="I268" s="11" t="e">
        <v>#N/A</v>
      </c>
      <c r="J268" s="12" t="e">
        <v>#N/A</v>
      </c>
    </row>
    <row r="269" spans="1:10" x14ac:dyDescent="0.35">
      <c r="A269" s="13" t="s">
        <v>1225</v>
      </c>
      <c r="B269" s="14">
        <v>45203.615277777782</v>
      </c>
      <c r="C269" s="15" t="s">
        <v>1231</v>
      </c>
      <c r="D269" s="3">
        <v>41</v>
      </c>
      <c r="E269" s="15" t="s">
        <v>735</v>
      </c>
      <c r="F269" s="15" t="e">
        <v>#N/A</v>
      </c>
      <c r="G269" s="15" t="e">
        <v>#N/A</v>
      </c>
      <c r="H269" s="15" t="e">
        <v>#N/A</v>
      </c>
      <c r="I269" s="15" t="e">
        <v>#N/A</v>
      </c>
      <c r="J269" s="16" t="e">
        <v>#N/A</v>
      </c>
    </row>
    <row r="270" spans="1:10" x14ac:dyDescent="0.35">
      <c r="A270" s="9" t="s">
        <v>1091</v>
      </c>
      <c r="B270" s="10">
        <v>45202.695138888892</v>
      </c>
      <c r="C270" s="11" t="s">
        <v>1113</v>
      </c>
      <c r="D270" s="4">
        <v>49</v>
      </c>
      <c r="E270" s="11" t="s">
        <v>738</v>
      </c>
      <c r="F270" s="11" t="e">
        <v>#N/A</v>
      </c>
      <c r="G270" s="11" t="e">
        <v>#N/A</v>
      </c>
      <c r="H270" s="11" t="e">
        <v>#N/A</v>
      </c>
      <c r="I270" s="11" t="e">
        <v>#N/A</v>
      </c>
      <c r="J270" s="12" t="e">
        <v>#N/A</v>
      </c>
    </row>
    <row r="271" spans="1:10" x14ac:dyDescent="0.35">
      <c r="A271" s="13" t="s">
        <v>1199</v>
      </c>
      <c r="B271" s="14">
        <v>45204.090277777781</v>
      </c>
      <c r="C271" s="15" t="s">
        <v>1222</v>
      </c>
      <c r="D271" s="3">
        <v>93</v>
      </c>
      <c r="E271" s="15" t="s">
        <v>740</v>
      </c>
      <c r="F271" s="15" t="e">
        <v>#N/A</v>
      </c>
      <c r="G271" s="15" t="e">
        <v>#N/A</v>
      </c>
      <c r="H271" s="15" t="e">
        <v>#N/A</v>
      </c>
      <c r="I271" s="15" t="e">
        <v>#N/A</v>
      </c>
      <c r="J271" s="16" t="e">
        <v>#N/A</v>
      </c>
    </row>
    <row r="272" spans="1:10" x14ac:dyDescent="0.35">
      <c r="A272" s="9" t="s">
        <v>1247</v>
      </c>
      <c r="B272" s="10">
        <v>45203.009027777778</v>
      </c>
      <c r="C272" s="11" t="s">
        <v>1222</v>
      </c>
      <c r="D272" s="4">
        <v>49</v>
      </c>
      <c r="E272" s="11" t="s">
        <v>735</v>
      </c>
      <c r="F272" s="11" t="e">
        <v>#N/A</v>
      </c>
      <c r="G272" s="11" t="e">
        <v>#N/A</v>
      </c>
      <c r="H272" s="11" t="e">
        <v>#N/A</v>
      </c>
      <c r="I272" s="11" t="e">
        <v>#N/A</v>
      </c>
      <c r="J272" s="12" t="e">
        <v>#N/A</v>
      </c>
    </row>
    <row r="273" spans="1:10" x14ac:dyDescent="0.35">
      <c r="A273" s="13" t="s">
        <v>733</v>
      </c>
      <c r="B273" s="14">
        <v>45217.28125</v>
      </c>
      <c r="C273" s="15" t="s">
        <v>745</v>
      </c>
      <c r="D273" s="3">
        <v>51</v>
      </c>
      <c r="E273" s="15" t="s">
        <v>738</v>
      </c>
      <c r="F273" s="15" t="e">
        <v>#N/A</v>
      </c>
      <c r="G273" s="15" t="e">
        <v>#N/A</v>
      </c>
      <c r="H273" s="15" t="e">
        <v>#N/A</v>
      </c>
      <c r="I273" s="15" t="e">
        <v>#N/A</v>
      </c>
      <c r="J273" s="16" t="e">
        <v>#N/A</v>
      </c>
    </row>
    <row r="274" spans="1:10" x14ac:dyDescent="0.35">
      <c r="A274" s="9" t="s">
        <v>782</v>
      </c>
      <c r="B274" s="10">
        <v>45203.893750000003</v>
      </c>
      <c r="C274" s="11" t="s">
        <v>786</v>
      </c>
      <c r="D274" s="4">
        <v>32</v>
      </c>
      <c r="E274" s="11" t="s">
        <v>735</v>
      </c>
      <c r="F274" s="11" t="e">
        <v>#N/A</v>
      </c>
      <c r="G274" s="11" t="e">
        <v>#N/A</v>
      </c>
      <c r="H274" s="11" t="e">
        <v>#N/A</v>
      </c>
      <c r="I274" s="11" t="e">
        <v>#N/A</v>
      </c>
      <c r="J274" s="12" t="e">
        <v>#N/A</v>
      </c>
    </row>
    <row r="275" spans="1:10" x14ac:dyDescent="0.35">
      <c r="A275" s="13" t="s">
        <v>981</v>
      </c>
      <c r="B275" s="14">
        <v>45208.172222222223</v>
      </c>
      <c r="C275" s="15" t="s">
        <v>786</v>
      </c>
      <c r="D275" s="3">
        <v>87</v>
      </c>
      <c r="E275" s="15" t="s">
        <v>735</v>
      </c>
      <c r="F275" s="15" t="e">
        <v>#N/A</v>
      </c>
      <c r="G275" s="15" t="e">
        <v>#N/A</v>
      </c>
      <c r="H275" s="15" t="e">
        <v>#N/A</v>
      </c>
      <c r="I275" s="15" t="e">
        <v>#N/A</v>
      </c>
      <c r="J275" s="16" t="e">
        <v>#N/A</v>
      </c>
    </row>
    <row r="276" spans="1:10" x14ac:dyDescent="0.35">
      <c r="A276" s="9" t="s">
        <v>1091</v>
      </c>
      <c r="B276" s="10">
        <v>45229.751388888893</v>
      </c>
      <c r="C276" s="11" t="s">
        <v>1116</v>
      </c>
      <c r="D276" s="4">
        <v>70</v>
      </c>
      <c r="E276" s="11" t="s">
        <v>735</v>
      </c>
      <c r="F276" s="11" t="e">
        <v>#N/A</v>
      </c>
      <c r="G276" s="11" t="e">
        <v>#N/A</v>
      </c>
      <c r="H276" s="11" t="e">
        <v>#N/A</v>
      </c>
      <c r="I276" s="11" t="e">
        <v>#N/A</v>
      </c>
      <c r="J276" s="12" t="e">
        <v>#N/A</v>
      </c>
    </row>
    <row r="277" spans="1:10" x14ac:dyDescent="0.35">
      <c r="A277" s="13" t="s">
        <v>1267</v>
      </c>
      <c r="B277" s="14">
        <v>45201.640972222223</v>
      </c>
      <c r="C277" s="15" t="s">
        <v>786</v>
      </c>
      <c r="D277" s="3">
        <v>86</v>
      </c>
      <c r="E277" s="15" t="s">
        <v>740</v>
      </c>
      <c r="F277" s="15" t="e">
        <v>#N/A</v>
      </c>
      <c r="G277" s="15" t="e">
        <v>#N/A</v>
      </c>
      <c r="H277" s="15" t="e">
        <v>#N/A</v>
      </c>
      <c r="I277" s="15" t="e">
        <v>#N/A</v>
      </c>
      <c r="J277" s="16" t="e">
        <v>#N/A</v>
      </c>
    </row>
    <row r="278" spans="1:10" x14ac:dyDescent="0.35">
      <c r="A278" s="9" t="s">
        <v>1247</v>
      </c>
      <c r="B278" s="10">
        <v>45218.659722222219</v>
      </c>
      <c r="C278" s="11" t="s">
        <v>1254</v>
      </c>
      <c r="D278" s="4">
        <v>24</v>
      </c>
      <c r="E278" s="11" t="s">
        <v>735</v>
      </c>
      <c r="F278" s="11" t="e">
        <v>#N/A</v>
      </c>
      <c r="G278" s="11" t="e">
        <v>#N/A</v>
      </c>
      <c r="H278" s="11" t="e">
        <v>#N/A</v>
      </c>
      <c r="I278" s="11" t="e">
        <v>#N/A</v>
      </c>
      <c r="J278" s="12" t="e">
        <v>#N/A</v>
      </c>
    </row>
    <row r="279" spans="1:10" x14ac:dyDescent="0.35">
      <c r="A279" s="13" t="s">
        <v>1091</v>
      </c>
      <c r="B279" s="14">
        <v>45211.706250000003</v>
      </c>
      <c r="C279" s="15" t="s">
        <v>1110</v>
      </c>
      <c r="D279" s="3">
        <v>115</v>
      </c>
      <c r="E279" s="15" t="s">
        <v>740</v>
      </c>
      <c r="F279" s="15" t="e">
        <v>#N/A</v>
      </c>
      <c r="G279" s="15" t="e">
        <v>#N/A</v>
      </c>
      <c r="H279" s="15" t="e">
        <v>#N/A</v>
      </c>
      <c r="I279" s="15" t="e">
        <v>#N/A</v>
      </c>
      <c r="J279" s="16" t="e">
        <v>#N/A</v>
      </c>
    </row>
    <row r="280" spans="1:10" x14ac:dyDescent="0.35">
      <c r="A280" s="9" t="s">
        <v>1002</v>
      </c>
      <c r="B280" s="10">
        <v>45230.776388888888</v>
      </c>
      <c r="C280" s="11" t="s">
        <v>1019</v>
      </c>
      <c r="D280" s="4">
        <v>55</v>
      </c>
      <c r="E280" s="11" t="s">
        <v>738</v>
      </c>
      <c r="F280" s="11" t="e">
        <v>#N/A</v>
      </c>
      <c r="G280" s="11" t="e">
        <v>#N/A</v>
      </c>
      <c r="H280" s="11" t="e">
        <v>#N/A</v>
      </c>
      <c r="I280" s="11" t="e">
        <v>#N/A</v>
      </c>
      <c r="J280" s="12" t="e">
        <v>#N/A</v>
      </c>
    </row>
    <row r="281" spans="1:10" x14ac:dyDescent="0.35">
      <c r="A281" s="13" t="s">
        <v>1171</v>
      </c>
      <c r="B281" s="14">
        <v>45229.429861111108</v>
      </c>
      <c r="C281" s="15" t="s">
        <v>1019</v>
      </c>
      <c r="D281" s="3">
        <v>90</v>
      </c>
      <c r="E281" s="15" t="s">
        <v>735</v>
      </c>
      <c r="F281" s="15" t="e">
        <v>#N/A</v>
      </c>
      <c r="G281" s="15" t="e">
        <v>#N/A</v>
      </c>
      <c r="H281" s="15" t="e">
        <v>#N/A</v>
      </c>
      <c r="I281" s="15" t="e">
        <v>#N/A</v>
      </c>
      <c r="J281" s="16" t="e">
        <v>#N/A</v>
      </c>
    </row>
    <row r="282" spans="1:10" x14ac:dyDescent="0.35">
      <c r="A282" s="9" t="s">
        <v>1389</v>
      </c>
      <c r="B282" s="10">
        <v>45224.709722222222</v>
      </c>
      <c r="C282" s="11" t="s">
        <v>1409</v>
      </c>
      <c r="D282" s="4">
        <v>62</v>
      </c>
      <c r="E282" s="11" t="s">
        <v>738</v>
      </c>
      <c r="F282" s="11" t="e">
        <v>#N/A</v>
      </c>
      <c r="G282" s="11" t="e">
        <v>#N/A</v>
      </c>
      <c r="H282" s="11" t="e">
        <v>#N/A</v>
      </c>
      <c r="I282" s="11" t="e">
        <v>#N/A</v>
      </c>
      <c r="J282" s="12" t="e">
        <v>#N/A</v>
      </c>
    </row>
    <row r="283" spans="1:10" x14ac:dyDescent="0.35">
      <c r="A283" s="13" t="s">
        <v>1171</v>
      </c>
      <c r="B283" s="14">
        <v>45219.925694444442</v>
      </c>
      <c r="C283" s="15" t="s">
        <v>1187</v>
      </c>
      <c r="D283" s="3">
        <v>22</v>
      </c>
      <c r="E283" s="15" t="s">
        <v>735</v>
      </c>
      <c r="F283" s="15" t="e">
        <v>#N/A</v>
      </c>
      <c r="G283" s="15" t="e">
        <v>#N/A</v>
      </c>
      <c r="H283" s="15" t="e">
        <v>#N/A</v>
      </c>
      <c r="I283" s="15" t="e">
        <v>#N/A</v>
      </c>
      <c r="J283" s="16" t="e">
        <v>#N/A</v>
      </c>
    </row>
    <row r="284" spans="1:10" x14ac:dyDescent="0.35">
      <c r="A284" s="9" t="s">
        <v>1294</v>
      </c>
      <c r="B284" s="10">
        <v>45229.772222222222</v>
      </c>
      <c r="C284" s="11" t="s">
        <v>1187</v>
      </c>
      <c r="D284" s="4">
        <v>27</v>
      </c>
      <c r="E284" s="11" t="s">
        <v>735</v>
      </c>
      <c r="F284" s="11" t="e">
        <v>#N/A</v>
      </c>
      <c r="G284" s="11" t="e">
        <v>#N/A</v>
      </c>
      <c r="H284" s="11" t="e">
        <v>#N/A</v>
      </c>
      <c r="I284" s="11" t="e">
        <v>#N/A</v>
      </c>
      <c r="J284" s="12" t="e">
        <v>#N/A</v>
      </c>
    </row>
    <row r="285" spans="1:10" x14ac:dyDescent="0.35">
      <c r="A285" s="13" t="s">
        <v>1028</v>
      </c>
      <c r="B285" s="14">
        <v>45213.446527777778</v>
      </c>
      <c r="C285" s="15" t="s">
        <v>1043</v>
      </c>
      <c r="D285" s="3">
        <v>111</v>
      </c>
      <c r="E285" s="15" t="s">
        <v>735</v>
      </c>
      <c r="F285" s="15" t="e">
        <v>#N/A</v>
      </c>
      <c r="G285" s="15" t="e">
        <v>#N/A</v>
      </c>
      <c r="H285" s="15" t="e">
        <v>#N/A</v>
      </c>
      <c r="I285" s="15" t="e">
        <v>#N/A</v>
      </c>
      <c r="J285" s="16" t="e">
        <v>#N/A</v>
      </c>
    </row>
    <row r="286" spans="1:10" x14ac:dyDescent="0.35">
      <c r="A286" s="9" t="s">
        <v>1247</v>
      </c>
      <c r="B286" s="10">
        <v>45200.931250000001</v>
      </c>
      <c r="C286" s="11" t="s">
        <v>1043</v>
      </c>
      <c r="D286" s="4">
        <v>22</v>
      </c>
      <c r="E286" s="11" t="s">
        <v>735</v>
      </c>
      <c r="F286" s="11" t="e">
        <v>#N/A</v>
      </c>
      <c r="G286" s="11" t="e">
        <v>#N/A</v>
      </c>
      <c r="H286" s="11" t="e">
        <v>#N/A</v>
      </c>
      <c r="I286" s="11" t="e">
        <v>#N/A</v>
      </c>
      <c r="J286" s="12" t="e">
        <v>#N/A</v>
      </c>
    </row>
    <row r="287" spans="1:10" x14ac:dyDescent="0.35">
      <c r="A287" s="13" t="s">
        <v>1144</v>
      </c>
      <c r="B287" s="14">
        <v>45218.011111111111</v>
      </c>
      <c r="C287" s="15" t="s">
        <v>1150</v>
      </c>
      <c r="D287" s="3">
        <v>59</v>
      </c>
      <c r="E287" s="15" t="s">
        <v>735</v>
      </c>
      <c r="F287" s="15" t="e">
        <v>#N/A</v>
      </c>
      <c r="G287" s="15" t="e">
        <v>#N/A</v>
      </c>
      <c r="H287" s="15" t="e">
        <v>#N/A</v>
      </c>
      <c r="I287" s="15" t="e">
        <v>#N/A</v>
      </c>
      <c r="J287" s="16" t="e">
        <v>#N/A</v>
      </c>
    </row>
    <row r="288" spans="1:10" x14ac:dyDescent="0.35">
      <c r="A288" s="9" t="s">
        <v>733</v>
      </c>
      <c r="B288" s="10">
        <v>45214.870138888888</v>
      </c>
      <c r="C288" s="11" t="s">
        <v>764</v>
      </c>
      <c r="D288" s="4">
        <v>72</v>
      </c>
      <c r="E288" s="11" t="s">
        <v>735</v>
      </c>
      <c r="F288" s="11" t="e">
        <v>#N/A</v>
      </c>
      <c r="G288" s="11" t="e">
        <v>#N/A</v>
      </c>
      <c r="H288" s="11" t="e">
        <v>#N/A</v>
      </c>
      <c r="I288" s="11" t="e">
        <v>#N/A</v>
      </c>
      <c r="J288" s="12" t="e">
        <v>#N/A</v>
      </c>
    </row>
    <row r="289" spans="1:10" x14ac:dyDescent="0.35">
      <c r="A289" s="13" t="s">
        <v>864</v>
      </c>
      <c r="B289" s="14">
        <v>45211.105555555558</v>
      </c>
      <c r="C289" s="15" t="s">
        <v>764</v>
      </c>
      <c r="D289" s="3">
        <v>67</v>
      </c>
      <c r="E289" s="15" t="s">
        <v>735</v>
      </c>
      <c r="F289" s="15" t="e">
        <v>#N/A</v>
      </c>
      <c r="G289" s="15" t="e">
        <v>#N/A</v>
      </c>
      <c r="H289" s="15" t="e">
        <v>#N/A</v>
      </c>
      <c r="I289" s="15" t="e">
        <v>#N/A</v>
      </c>
      <c r="J289" s="16" t="e">
        <v>#N/A</v>
      </c>
    </row>
    <row r="290" spans="1:10" x14ac:dyDescent="0.35">
      <c r="A290" s="9" t="s">
        <v>942</v>
      </c>
      <c r="B290" s="10">
        <v>45205.11041666667</v>
      </c>
      <c r="C290" s="11" t="s">
        <v>764</v>
      </c>
      <c r="D290" s="4">
        <v>104</v>
      </c>
      <c r="E290" s="11" t="s">
        <v>735</v>
      </c>
      <c r="F290" s="11" t="e">
        <v>#N/A</v>
      </c>
      <c r="G290" s="11" t="e">
        <v>#N/A</v>
      </c>
      <c r="H290" s="11" t="e">
        <v>#N/A</v>
      </c>
      <c r="I290" s="11" t="e">
        <v>#N/A</v>
      </c>
      <c r="J290" s="12" t="e">
        <v>#N/A</v>
      </c>
    </row>
    <row r="291" spans="1:10" x14ac:dyDescent="0.35">
      <c r="A291" s="13" t="s">
        <v>981</v>
      </c>
      <c r="B291" s="14">
        <v>45227.306250000001</v>
      </c>
      <c r="C291" s="15" t="s">
        <v>764</v>
      </c>
      <c r="D291" s="3">
        <v>71</v>
      </c>
      <c r="E291" s="15" t="s">
        <v>738</v>
      </c>
      <c r="F291" s="15" t="e">
        <v>#N/A</v>
      </c>
      <c r="G291" s="15" t="e">
        <v>#N/A</v>
      </c>
      <c r="H291" s="15" t="e">
        <v>#N/A</v>
      </c>
      <c r="I291" s="15" t="e">
        <v>#N/A</v>
      </c>
      <c r="J291" s="16" t="e">
        <v>#N/A</v>
      </c>
    </row>
    <row r="292" spans="1:10" x14ac:dyDescent="0.35">
      <c r="A292" s="9" t="s">
        <v>1120</v>
      </c>
      <c r="B292" s="10">
        <v>45214.193055555559</v>
      </c>
      <c r="C292" s="11" t="s">
        <v>764</v>
      </c>
      <c r="D292" s="4">
        <v>76</v>
      </c>
      <c r="E292" s="11" t="s">
        <v>740</v>
      </c>
      <c r="F292" s="11" t="e">
        <v>#N/A</v>
      </c>
      <c r="G292" s="11" t="e">
        <v>#N/A</v>
      </c>
      <c r="H292" s="11" t="e">
        <v>#N/A</v>
      </c>
      <c r="I292" s="11" t="e">
        <v>#N/A</v>
      </c>
      <c r="J292" s="12" t="e">
        <v>#N/A</v>
      </c>
    </row>
    <row r="293" spans="1:10" x14ac:dyDescent="0.35">
      <c r="A293" s="13" t="s">
        <v>1120</v>
      </c>
      <c r="B293" s="14">
        <v>45209.925694444442</v>
      </c>
      <c r="C293" s="15" t="s">
        <v>1142</v>
      </c>
      <c r="D293" s="3">
        <v>35</v>
      </c>
      <c r="E293" s="15" t="s">
        <v>735</v>
      </c>
      <c r="F293" s="15" t="e">
        <v>#N/A</v>
      </c>
      <c r="G293" s="15" t="e">
        <v>#N/A</v>
      </c>
      <c r="H293" s="15" t="e">
        <v>#N/A</v>
      </c>
      <c r="I293" s="15" t="e">
        <v>#N/A</v>
      </c>
      <c r="J293" s="16" t="e">
        <v>#N/A</v>
      </c>
    </row>
    <row r="294" spans="1:10" x14ac:dyDescent="0.35">
      <c r="A294" s="9" t="s">
        <v>1314</v>
      </c>
      <c r="B294" s="10">
        <v>45205.87222222222</v>
      </c>
      <c r="C294" s="11" t="s">
        <v>1321</v>
      </c>
      <c r="D294" s="4">
        <v>17</v>
      </c>
      <c r="E294" s="11" t="s">
        <v>735</v>
      </c>
      <c r="F294" s="11" t="e">
        <v>#N/A</v>
      </c>
      <c r="G294" s="11" t="e">
        <v>#N/A</v>
      </c>
      <c r="H294" s="11" t="e">
        <v>#N/A</v>
      </c>
      <c r="I294" s="11" t="e">
        <v>#N/A</v>
      </c>
      <c r="J294" s="12" t="e">
        <v>#N/A</v>
      </c>
    </row>
    <row r="295" spans="1:10" x14ac:dyDescent="0.35">
      <c r="A295" s="13" t="s">
        <v>905</v>
      </c>
      <c r="B295" s="14">
        <v>45214.59652777778</v>
      </c>
      <c r="C295" s="15" t="s">
        <v>917</v>
      </c>
      <c r="D295" s="3">
        <v>88</v>
      </c>
      <c r="E295" s="15" t="s">
        <v>740</v>
      </c>
      <c r="F295" s="15" t="e">
        <v>#N/A</v>
      </c>
      <c r="G295" s="15" t="e">
        <v>#N/A</v>
      </c>
      <c r="H295" s="15" t="e">
        <v>#N/A</v>
      </c>
      <c r="I295" s="15" t="e">
        <v>#N/A</v>
      </c>
      <c r="J295" s="16" t="e">
        <v>#N/A</v>
      </c>
    </row>
    <row r="296" spans="1:10" x14ac:dyDescent="0.35">
      <c r="A296" s="9" t="s">
        <v>1225</v>
      </c>
      <c r="B296" s="10">
        <v>45205.236111111109</v>
      </c>
      <c r="C296" s="11" t="s">
        <v>917</v>
      </c>
      <c r="D296" s="4">
        <v>67</v>
      </c>
      <c r="E296" s="11" t="s">
        <v>738</v>
      </c>
      <c r="F296" s="11" t="e">
        <v>#N/A</v>
      </c>
      <c r="G296" s="11" t="e">
        <v>#N/A</v>
      </c>
      <c r="H296" s="11" t="e">
        <v>#N/A</v>
      </c>
      <c r="I296" s="11" t="e">
        <v>#N/A</v>
      </c>
      <c r="J296" s="12" t="e">
        <v>#N/A</v>
      </c>
    </row>
    <row r="297" spans="1:10" x14ac:dyDescent="0.35">
      <c r="A297" s="13" t="s">
        <v>1294</v>
      </c>
      <c r="B297" s="14">
        <v>45219.818749999999</v>
      </c>
      <c r="C297" s="15" t="s">
        <v>917</v>
      </c>
      <c r="D297" s="3">
        <v>99</v>
      </c>
      <c r="E297" s="15" t="s">
        <v>740</v>
      </c>
      <c r="F297" s="15" t="e">
        <v>#N/A</v>
      </c>
      <c r="G297" s="15" t="e">
        <v>#N/A</v>
      </c>
      <c r="H297" s="15" t="e">
        <v>#N/A</v>
      </c>
      <c r="I297" s="15" t="e">
        <v>#N/A</v>
      </c>
      <c r="J297" s="16" t="e">
        <v>#N/A</v>
      </c>
    </row>
    <row r="298" spans="1:10" x14ac:dyDescent="0.35">
      <c r="A298" s="9" t="s">
        <v>782</v>
      </c>
      <c r="B298" s="10">
        <v>45218.793055555558</v>
      </c>
      <c r="C298" s="11" t="s">
        <v>815</v>
      </c>
      <c r="D298" s="4">
        <v>100</v>
      </c>
      <c r="E298" s="11" t="s">
        <v>740</v>
      </c>
      <c r="F298" s="11" t="e">
        <v>#N/A</v>
      </c>
      <c r="G298" s="11" t="e">
        <v>#N/A</v>
      </c>
      <c r="H298" s="11" t="e">
        <v>#N/A</v>
      </c>
      <c r="I298" s="11" t="e">
        <v>#N/A</v>
      </c>
      <c r="J298" s="12" t="e">
        <v>#N/A</v>
      </c>
    </row>
    <row r="299" spans="1:10" x14ac:dyDescent="0.35">
      <c r="A299" s="13" t="s">
        <v>1199</v>
      </c>
      <c r="B299" s="14">
        <v>45218.89166666667</v>
      </c>
      <c r="C299" s="15" t="s">
        <v>815</v>
      </c>
      <c r="D299" s="3">
        <v>107</v>
      </c>
      <c r="E299" s="15" t="s">
        <v>738</v>
      </c>
      <c r="F299" s="15" t="e">
        <v>#N/A</v>
      </c>
      <c r="G299" s="15" t="e">
        <v>#N/A</v>
      </c>
      <c r="H299" s="15" t="e">
        <v>#N/A</v>
      </c>
      <c r="I299" s="15" t="e">
        <v>#N/A</v>
      </c>
      <c r="J299" s="16" t="e">
        <v>#N/A</v>
      </c>
    </row>
    <row r="300" spans="1:10" x14ac:dyDescent="0.35">
      <c r="A300" s="9" t="s">
        <v>1225</v>
      </c>
      <c r="B300" s="10">
        <v>45222.10833333333</v>
      </c>
      <c r="C300" s="11" t="s">
        <v>1239</v>
      </c>
      <c r="D300" s="4">
        <v>88</v>
      </c>
      <c r="E300" s="11" t="s">
        <v>740</v>
      </c>
      <c r="F300" s="11" t="e">
        <v>#N/A</v>
      </c>
      <c r="G300" s="11" t="e">
        <v>#N/A</v>
      </c>
      <c r="H300" s="11" t="e">
        <v>#N/A</v>
      </c>
      <c r="I300" s="11" t="e">
        <v>#N/A</v>
      </c>
      <c r="J300" s="12" t="e">
        <v>#N/A</v>
      </c>
    </row>
    <row r="301" spans="1:10" x14ac:dyDescent="0.35">
      <c r="A301" s="13" t="s">
        <v>1351</v>
      </c>
      <c r="B301" s="14">
        <v>45215.272222222222</v>
      </c>
      <c r="C301" s="15" t="s">
        <v>1356</v>
      </c>
      <c r="D301" s="3">
        <v>56</v>
      </c>
      <c r="E301" s="15" t="s">
        <v>740</v>
      </c>
      <c r="F301" s="15" t="e">
        <v>#N/A</v>
      </c>
      <c r="G301" s="15" t="e">
        <v>#N/A</v>
      </c>
      <c r="H301" s="15" t="e">
        <v>#N/A</v>
      </c>
      <c r="I301" s="15" t="e">
        <v>#N/A</v>
      </c>
      <c r="J301" s="16" t="e">
        <v>#N/A</v>
      </c>
    </row>
    <row r="302" spans="1:10" x14ac:dyDescent="0.35">
      <c r="A302" s="9" t="s">
        <v>826</v>
      </c>
      <c r="B302" s="10">
        <v>45210.912499999999</v>
      </c>
      <c r="C302" s="11" t="s">
        <v>841</v>
      </c>
      <c r="D302" s="4">
        <v>119</v>
      </c>
      <c r="E302" s="11" t="s">
        <v>740</v>
      </c>
      <c r="F302" s="11" t="e">
        <v>#N/A</v>
      </c>
      <c r="G302" s="11" t="e">
        <v>#N/A</v>
      </c>
      <c r="H302" s="11" t="e">
        <v>#N/A</v>
      </c>
      <c r="I302" s="11" t="e">
        <v>#N/A</v>
      </c>
      <c r="J302" s="12" t="e">
        <v>#N/A</v>
      </c>
    </row>
    <row r="303" spans="1:10" x14ac:dyDescent="0.35">
      <c r="A303" s="13" t="s">
        <v>981</v>
      </c>
      <c r="B303" s="14">
        <v>45220.792361111111</v>
      </c>
      <c r="C303" s="15" t="s">
        <v>841</v>
      </c>
      <c r="D303" s="3">
        <v>10</v>
      </c>
      <c r="E303" s="15" t="s">
        <v>740</v>
      </c>
      <c r="F303" s="15" t="e">
        <v>#N/A</v>
      </c>
      <c r="G303" s="15" t="e">
        <v>#N/A</v>
      </c>
      <c r="H303" s="15" t="e">
        <v>#N/A</v>
      </c>
      <c r="I303" s="15" t="e">
        <v>#N/A</v>
      </c>
      <c r="J303" s="16" t="e">
        <v>#N/A</v>
      </c>
    </row>
    <row r="304" spans="1:10" x14ac:dyDescent="0.35">
      <c r="A304" s="9" t="s">
        <v>864</v>
      </c>
      <c r="B304" s="10">
        <v>45217.570833333331</v>
      </c>
      <c r="C304" s="11" t="s">
        <v>899</v>
      </c>
      <c r="D304" s="4">
        <v>28</v>
      </c>
      <c r="E304" s="11" t="s">
        <v>735</v>
      </c>
      <c r="F304" s="11" t="e">
        <v>#N/A</v>
      </c>
      <c r="G304" s="11" t="e">
        <v>#N/A</v>
      </c>
      <c r="H304" s="11" t="e">
        <v>#N/A</v>
      </c>
      <c r="I304" s="11" t="e">
        <v>#N/A</v>
      </c>
      <c r="J304" s="12" t="e">
        <v>#N/A</v>
      </c>
    </row>
    <row r="305" spans="1:10" x14ac:dyDescent="0.35">
      <c r="A305" s="13" t="s">
        <v>1314</v>
      </c>
      <c r="B305" s="14">
        <v>45211.368055555547</v>
      </c>
      <c r="C305" s="15" t="s">
        <v>899</v>
      </c>
      <c r="D305" s="3">
        <v>15</v>
      </c>
      <c r="E305" s="15" t="s">
        <v>738</v>
      </c>
      <c r="F305" s="15" t="e">
        <v>#N/A</v>
      </c>
      <c r="G305" s="15" t="e">
        <v>#N/A</v>
      </c>
      <c r="H305" s="15" t="e">
        <v>#N/A</v>
      </c>
      <c r="I305" s="15" t="e">
        <v>#N/A</v>
      </c>
      <c r="J305" s="16" t="e">
        <v>#N/A</v>
      </c>
    </row>
    <row r="306" spans="1:10" x14ac:dyDescent="0.35">
      <c r="A306" s="9" t="s">
        <v>1028</v>
      </c>
      <c r="B306" s="10">
        <v>45226.988194444442</v>
      </c>
      <c r="C306" s="11" t="s">
        <v>1055</v>
      </c>
      <c r="D306" s="4">
        <v>83</v>
      </c>
      <c r="E306" s="11" t="s">
        <v>738</v>
      </c>
      <c r="F306" s="11" t="e">
        <v>#N/A</v>
      </c>
      <c r="G306" s="11" t="e">
        <v>#N/A</v>
      </c>
      <c r="H306" s="11" t="e">
        <v>#N/A</v>
      </c>
      <c r="I306" s="11" t="e">
        <v>#N/A</v>
      </c>
      <c r="J306" s="12" t="e">
        <v>#N/A</v>
      </c>
    </row>
    <row r="307" spans="1:10" x14ac:dyDescent="0.35">
      <c r="A307" s="13" t="s">
        <v>864</v>
      </c>
      <c r="B307" s="14">
        <v>45218.875694444447</v>
      </c>
      <c r="C307" s="15" t="s">
        <v>870</v>
      </c>
      <c r="D307" s="3">
        <v>39</v>
      </c>
      <c r="E307" s="15" t="s">
        <v>735</v>
      </c>
      <c r="F307" s="15" t="e">
        <v>#N/A</v>
      </c>
      <c r="G307" s="15" t="e">
        <v>#N/A</v>
      </c>
      <c r="H307" s="15" t="e">
        <v>#N/A</v>
      </c>
      <c r="I307" s="15" t="e">
        <v>#N/A</v>
      </c>
      <c r="J307" s="16" t="e">
        <v>#N/A</v>
      </c>
    </row>
    <row r="308" spans="1:10" x14ac:dyDescent="0.35">
      <c r="A308" s="9" t="s">
        <v>1389</v>
      </c>
      <c r="B308" s="10">
        <v>45218.240277777782</v>
      </c>
      <c r="C308" s="11" t="s">
        <v>870</v>
      </c>
      <c r="D308" s="4">
        <v>53</v>
      </c>
      <c r="E308" s="11" t="s">
        <v>740</v>
      </c>
      <c r="F308" s="11" t="e">
        <v>#N/A</v>
      </c>
      <c r="G308" s="11" t="e">
        <v>#N/A</v>
      </c>
      <c r="H308" s="11" t="e">
        <v>#N/A</v>
      </c>
      <c r="I308" s="11" t="e">
        <v>#N/A</v>
      </c>
      <c r="J308" s="12" t="e">
        <v>#N/A</v>
      </c>
    </row>
    <row r="309" spans="1:10" x14ac:dyDescent="0.35">
      <c r="A309" s="13" t="s">
        <v>1368</v>
      </c>
      <c r="B309" s="14">
        <v>45223.3125</v>
      </c>
      <c r="C309" s="15" t="s">
        <v>1387</v>
      </c>
      <c r="D309" s="3">
        <v>62</v>
      </c>
      <c r="E309" s="15" t="s">
        <v>735</v>
      </c>
      <c r="F309" s="15" t="e">
        <v>#N/A</v>
      </c>
      <c r="G309" s="15" t="e">
        <v>#N/A</v>
      </c>
      <c r="H309" s="15" t="e">
        <v>#N/A</v>
      </c>
      <c r="I309" s="15" t="e">
        <v>#N/A</v>
      </c>
      <c r="J309" s="16" t="e">
        <v>#N/A</v>
      </c>
    </row>
    <row r="310" spans="1:10" x14ac:dyDescent="0.35">
      <c r="A310" s="9" t="s">
        <v>782</v>
      </c>
      <c r="B310" s="10">
        <v>45223.710416666669</v>
      </c>
      <c r="C310" s="11" t="s">
        <v>807</v>
      </c>
      <c r="D310" s="4">
        <v>43</v>
      </c>
      <c r="E310" s="11" t="s">
        <v>738</v>
      </c>
      <c r="F310" s="11" t="e">
        <v>#N/A</v>
      </c>
      <c r="G310" s="11" t="e">
        <v>#N/A</v>
      </c>
      <c r="H310" s="11" t="e">
        <v>#N/A</v>
      </c>
      <c r="I310" s="11" t="e">
        <v>#N/A</v>
      </c>
      <c r="J310" s="12" t="e">
        <v>#N/A</v>
      </c>
    </row>
    <row r="311" spans="1:10" x14ac:dyDescent="0.35">
      <c r="A311" s="13" t="s">
        <v>1336</v>
      </c>
      <c r="B311" s="14">
        <v>45222.879166666673</v>
      </c>
      <c r="C311" s="15" t="s">
        <v>807</v>
      </c>
      <c r="D311" s="3">
        <v>103</v>
      </c>
      <c r="E311" s="15" t="s">
        <v>740</v>
      </c>
      <c r="F311" s="15" t="e">
        <v>#N/A</v>
      </c>
      <c r="G311" s="15" t="e">
        <v>#N/A</v>
      </c>
      <c r="H311" s="15" t="e">
        <v>#N/A</v>
      </c>
      <c r="I311" s="15" t="e">
        <v>#N/A</v>
      </c>
      <c r="J311" s="16" t="e">
        <v>#N/A</v>
      </c>
    </row>
    <row r="312" spans="1:10" x14ac:dyDescent="0.35">
      <c r="A312" s="9" t="s">
        <v>1368</v>
      </c>
      <c r="B312" s="10">
        <v>45212.48541666667</v>
      </c>
      <c r="C312" s="11" t="s">
        <v>1379</v>
      </c>
      <c r="D312" s="4">
        <v>75</v>
      </c>
      <c r="E312" s="11" t="s">
        <v>735</v>
      </c>
      <c r="F312" s="11" t="e">
        <v>#N/A</v>
      </c>
      <c r="G312" s="11" t="e">
        <v>#N/A</v>
      </c>
      <c r="H312" s="11" t="e">
        <v>#N/A</v>
      </c>
      <c r="I312" s="11" t="e">
        <v>#N/A</v>
      </c>
      <c r="J312" s="12" t="e">
        <v>#N/A</v>
      </c>
    </row>
    <row r="313" spans="1:10" x14ac:dyDescent="0.35">
      <c r="A313" s="13" t="s">
        <v>1294</v>
      </c>
      <c r="B313" s="14">
        <v>45201.585416666669</v>
      </c>
      <c r="C313" s="15" t="s">
        <v>1302</v>
      </c>
      <c r="D313" s="3">
        <v>17</v>
      </c>
      <c r="E313" s="15" t="s">
        <v>740</v>
      </c>
      <c r="F313" s="15" t="e">
        <v>#N/A</v>
      </c>
      <c r="G313" s="15" t="e">
        <v>#N/A</v>
      </c>
      <c r="H313" s="15" t="e">
        <v>#N/A</v>
      </c>
      <c r="I313" s="15" t="e">
        <v>#N/A</v>
      </c>
      <c r="J313" s="16" t="e">
        <v>#N/A</v>
      </c>
    </row>
    <row r="314" spans="1:10" x14ac:dyDescent="0.35">
      <c r="A314" s="9" t="s">
        <v>733</v>
      </c>
      <c r="B314" s="10">
        <v>45204.338888888888</v>
      </c>
      <c r="C314" s="11" t="s">
        <v>780</v>
      </c>
      <c r="D314" s="4">
        <v>60</v>
      </c>
      <c r="E314" s="11" t="s">
        <v>735</v>
      </c>
      <c r="F314" s="11" t="e">
        <v>#N/A</v>
      </c>
      <c r="G314" s="11" t="e">
        <v>#N/A</v>
      </c>
      <c r="H314" s="11" t="e">
        <v>#N/A</v>
      </c>
      <c r="I314" s="11" t="e">
        <v>#N/A</v>
      </c>
      <c r="J314" s="12" t="e">
        <v>#N/A</v>
      </c>
    </row>
    <row r="315" spans="1:10" x14ac:dyDescent="0.35">
      <c r="A315" s="13" t="s">
        <v>1414</v>
      </c>
      <c r="B315" s="14">
        <v>45203.273611111108</v>
      </c>
      <c r="C315" s="15" t="s">
        <v>780</v>
      </c>
      <c r="D315" s="3">
        <v>23</v>
      </c>
      <c r="E315" s="15" t="s">
        <v>740</v>
      </c>
      <c r="F315" s="15" t="e">
        <v>#N/A</v>
      </c>
      <c r="G315" s="15" t="e">
        <v>#N/A</v>
      </c>
      <c r="H315" s="15" t="e">
        <v>#N/A</v>
      </c>
      <c r="I315" s="15" t="e">
        <v>#N/A</v>
      </c>
      <c r="J315" s="16" t="e">
        <v>#N/A</v>
      </c>
    </row>
    <row r="316" spans="1:10" x14ac:dyDescent="0.35">
      <c r="A316" s="9" t="s">
        <v>1028</v>
      </c>
      <c r="B316" s="10">
        <v>45230.061111111107</v>
      </c>
      <c r="C316" s="11" t="s">
        <v>1037</v>
      </c>
      <c r="D316" s="4">
        <v>103</v>
      </c>
      <c r="E316" s="11" t="s">
        <v>735</v>
      </c>
      <c r="F316" s="11" t="e">
        <v>#N/A</v>
      </c>
      <c r="G316" s="11" t="e">
        <v>#N/A</v>
      </c>
      <c r="H316" s="11" t="e">
        <v>#N/A</v>
      </c>
      <c r="I316" s="11" t="e">
        <v>#N/A</v>
      </c>
      <c r="J316" s="12" t="e">
        <v>#N/A</v>
      </c>
    </row>
    <row r="317" spans="1:10" x14ac:dyDescent="0.35">
      <c r="A317" s="13" t="s">
        <v>1314</v>
      </c>
      <c r="B317" s="14">
        <v>45223.719444444447</v>
      </c>
      <c r="C317" s="15" t="s">
        <v>1037</v>
      </c>
      <c r="D317" s="3">
        <v>61</v>
      </c>
      <c r="E317" s="15" t="s">
        <v>738</v>
      </c>
      <c r="F317" s="15" t="e">
        <v>#N/A</v>
      </c>
      <c r="G317" s="15" t="e">
        <v>#N/A</v>
      </c>
      <c r="H317" s="15" t="e">
        <v>#N/A</v>
      </c>
      <c r="I317" s="15" t="e">
        <v>#N/A</v>
      </c>
      <c r="J317" s="16" t="e">
        <v>#N/A</v>
      </c>
    </row>
    <row r="318" spans="1:10" x14ac:dyDescent="0.35">
      <c r="A318" s="9" t="s">
        <v>1314</v>
      </c>
      <c r="B318" s="10">
        <v>45226.631249999999</v>
      </c>
      <c r="C318" s="11" t="s">
        <v>1335</v>
      </c>
      <c r="D318" s="4">
        <v>112</v>
      </c>
      <c r="E318" s="11" t="s">
        <v>738</v>
      </c>
      <c r="F318" s="11" t="e">
        <v>#N/A</v>
      </c>
      <c r="G318" s="11" t="e">
        <v>#N/A</v>
      </c>
      <c r="H318" s="11" t="e">
        <v>#N/A</v>
      </c>
      <c r="I318" s="11" t="e">
        <v>#N/A</v>
      </c>
      <c r="J318" s="12" t="e">
        <v>#N/A</v>
      </c>
    </row>
    <row r="319" spans="1:10" x14ac:dyDescent="0.35">
      <c r="A319" s="13" t="s">
        <v>942</v>
      </c>
      <c r="B319" s="14">
        <v>45222.52847222222</v>
      </c>
      <c r="C319" s="15" t="s">
        <v>956</v>
      </c>
      <c r="D319" s="3">
        <v>111</v>
      </c>
      <c r="E319" s="15" t="s">
        <v>735</v>
      </c>
      <c r="F319" s="15" t="e">
        <v>#N/A</v>
      </c>
      <c r="G319" s="15" t="e">
        <v>#N/A</v>
      </c>
      <c r="H319" s="15" t="e">
        <v>#N/A</v>
      </c>
      <c r="I319" s="15" t="e">
        <v>#N/A</v>
      </c>
      <c r="J319" s="16" t="e">
        <v>#N/A</v>
      </c>
    </row>
    <row r="320" spans="1:10" x14ac:dyDescent="0.35">
      <c r="A320" s="9" t="s">
        <v>1267</v>
      </c>
      <c r="B320" s="10">
        <v>45216.001388888893</v>
      </c>
      <c r="C320" s="11" t="s">
        <v>1284</v>
      </c>
      <c r="D320" s="4">
        <v>74</v>
      </c>
      <c r="E320" s="11" t="s">
        <v>740</v>
      </c>
      <c r="F320" s="11" t="e">
        <v>#N/A</v>
      </c>
      <c r="G320" s="11" t="e">
        <v>#N/A</v>
      </c>
      <c r="H320" s="11" t="e">
        <v>#N/A</v>
      </c>
      <c r="I320" s="11" t="e">
        <v>#N/A</v>
      </c>
      <c r="J320" s="12" t="e">
        <v>#N/A</v>
      </c>
    </row>
    <row r="321" spans="1:10" x14ac:dyDescent="0.35">
      <c r="A321" s="13" t="s">
        <v>1414</v>
      </c>
      <c r="B321" s="14">
        <v>45202.499305555553</v>
      </c>
      <c r="C321" s="15" t="s">
        <v>1284</v>
      </c>
      <c r="D321" s="3">
        <v>57</v>
      </c>
      <c r="E321" s="15" t="s">
        <v>738</v>
      </c>
      <c r="F321" s="15" t="e">
        <v>#N/A</v>
      </c>
      <c r="G321" s="15" t="e">
        <v>#N/A</v>
      </c>
      <c r="H321" s="15" t="e">
        <v>#N/A</v>
      </c>
      <c r="I321" s="15" t="e">
        <v>#N/A</v>
      </c>
      <c r="J321" s="16" t="e">
        <v>#N/A</v>
      </c>
    </row>
    <row r="322" spans="1:10" x14ac:dyDescent="0.35">
      <c r="A322" s="9" t="s">
        <v>1091</v>
      </c>
      <c r="B322" s="10">
        <v>45219.834027777782</v>
      </c>
      <c r="C322" s="11" t="s">
        <v>1119</v>
      </c>
      <c r="D322" s="4">
        <v>64</v>
      </c>
      <c r="E322" s="11" t="s">
        <v>740</v>
      </c>
      <c r="F322" s="11" t="e">
        <v>#N/A</v>
      </c>
      <c r="G322" s="11" t="e">
        <v>#N/A</v>
      </c>
      <c r="H322" s="11" t="e">
        <v>#N/A</v>
      </c>
      <c r="I322" s="11" t="e">
        <v>#N/A</v>
      </c>
      <c r="J322" s="12" t="e">
        <v>#N/A</v>
      </c>
    </row>
    <row r="323" spans="1:10" x14ac:dyDescent="0.35">
      <c r="A323" s="13" t="s">
        <v>1336</v>
      </c>
      <c r="B323" s="14">
        <v>45208.506249999999</v>
      </c>
      <c r="C323" s="15" t="s">
        <v>1338</v>
      </c>
      <c r="D323" s="3">
        <v>91</v>
      </c>
      <c r="E323" s="15" t="s">
        <v>740</v>
      </c>
      <c r="F323" s="15" t="e">
        <v>#N/A</v>
      </c>
      <c r="G323" s="15" t="e">
        <v>#N/A</v>
      </c>
      <c r="H323" s="15" t="e">
        <v>#N/A</v>
      </c>
      <c r="I323" s="15" t="e">
        <v>#N/A</v>
      </c>
      <c r="J323" s="16" t="e">
        <v>#N/A</v>
      </c>
    </row>
    <row r="324" spans="1:10" x14ac:dyDescent="0.35">
      <c r="A324" s="9" t="s">
        <v>1389</v>
      </c>
      <c r="B324" s="10">
        <v>45228.518055555563</v>
      </c>
      <c r="C324" s="11" t="s">
        <v>1338</v>
      </c>
      <c r="D324" s="4">
        <v>92</v>
      </c>
      <c r="E324" s="11" t="s">
        <v>740</v>
      </c>
      <c r="F324" s="11" t="e">
        <v>#N/A</v>
      </c>
      <c r="G324" s="11" t="e">
        <v>#N/A</v>
      </c>
      <c r="H324" s="11" t="e">
        <v>#N/A</v>
      </c>
      <c r="I324" s="11" t="e">
        <v>#N/A</v>
      </c>
      <c r="J324" s="12" t="e">
        <v>#N/A</v>
      </c>
    </row>
    <row r="325" spans="1:10" x14ac:dyDescent="0.35">
      <c r="A325" s="13" t="s">
        <v>1294</v>
      </c>
      <c r="B325" s="14">
        <v>45224.297222222223</v>
      </c>
      <c r="C325" s="15" t="s">
        <v>1298</v>
      </c>
      <c r="D325" s="3">
        <v>12</v>
      </c>
      <c r="E325" s="15" t="s">
        <v>740</v>
      </c>
      <c r="F325" s="15" t="e">
        <v>#N/A</v>
      </c>
      <c r="G325" s="15" t="e">
        <v>#N/A</v>
      </c>
      <c r="H325" s="15" t="e">
        <v>#N/A</v>
      </c>
      <c r="I325" s="15" t="e">
        <v>#N/A</v>
      </c>
      <c r="J325" s="16" t="e">
        <v>#N/A</v>
      </c>
    </row>
    <row r="326" spans="1:10" x14ac:dyDescent="0.35">
      <c r="A326" s="9" t="s">
        <v>1247</v>
      </c>
      <c r="B326" s="10">
        <v>45218.314583333333</v>
      </c>
      <c r="C326" s="11" t="s">
        <v>1261</v>
      </c>
      <c r="D326" s="4">
        <v>45</v>
      </c>
      <c r="E326" s="11" t="s">
        <v>735</v>
      </c>
      <c r="F326" s="11" t="e">
        <v>#N/A</v>
      </c>
      <c r="G326" s="11" t="e">
        <v>#N/A</v>
      </c>
      <c r="H326" s="11" t="e">
        <v>#N/A</v>
      </c>
      <c r="I326" s="11" t="e">
        <v>#N/A</v>
      </c>
      <c r="J326" s="12" t="e">
        <v>#N/A</v>
      </c>
    </row>
    <row r="327" spans="1:10" x14ac:dyDescent="0.35">
      <c r="A327" s="13" t="s">
        <v>1336</v>
      </c>
      <c r="B327" s="14">
        <v>45209.977777777778</v>
      </c>
      <c r="C327" s="15" t="s">
        <v>1261</v>
      </c>
      <c r="D327" s="3">
        <v>6</v>
      </c>
      <c r="E327" s="15" t="s">
        <v>740</v>
      </c>
      <c r="F327" s="15" t="e">
        <v>#N/A</v>
      </c>
      <c r="G327" s="15" t="e">
        <v>#N/A</v>
      </c>
      <c r="H327" s="15" t="e">
        <v>#N/A</v>
      </c>
      <c r="I327" s="15" t="e">
        <v>#N/A</v>
      </c>
      <c r="J327" s="16" t="e">
        <v>#N/A</v>
      </c>
    </row>
    <row r="328" spans="1:10" x14ac:dyDescent="0.35">
      <c r="A328" s="9" t="s">
        <v>826</v>
      </c>
      <c r="B328" s="10">
        <v>45228.34097222222</v>
      </c>
      <c r="C328" s="11" t="s">
        <v>828</v>
      </c>
      <c r="D328" s="4">
        <v>118</v>
      </c>
      <c r="E328" s="11" t="s">
        <v>740</v>
      </c>
      <c r="F328" s="11" t="e">
        <v>#N/A</v>
      </c>
      <c r="G328" s="11" t="e">
        <v>#N/A</v>
      </c>
      <c r="H328" s="11" t="e">
        <v>#N/A</v>
      </c>
      <c r="I328" s="11" t="e">
        <v>#N/A</v>
      </c>
      <c r="J328" s="12" t="e">
        <v>#N/A</v>
      </c>
    </row>
    <row r="329" spans="1:10" x14ac:dyDescent="0.35">
      <c r="A329" s="13" t="s">
        <v>1368</v>
      </c>
      <c r="B329" s="14">
        <v>45226.747916666667</v>
      </c>
      <c r="C329" s="15" t="s">
        <v>1388</v>
      </c>
      <c r="D329" s="3">
        <v>68</v>
      </c>
      <c r="E329" s="15" t="s">
        <v>738</v>
      </c>
      <c r="F329" s="15" t="e">
        <v>#N/A</v>
      </c>
      <c r="G329" s="15" t="e">
        <v>#N/A</v>
      </c>
      <c r="H329" s="15" t="e">
        <v>#N/A</v>
      </c>
      <c r="I329" s="15" t="e">
        <v>#N/A</v>
      </c>
      <c r="J329" s="16" t="e">
        <v>#N/A</v>
      </c>
    </row>
    <row r="330" spans="1:10" x14ac:dyDescent="0.35">
      <c r="A330" s="9" t="s">
        <v>981</v>
      </c>
      <c r="B330" s="10">
        <v>45214.59375</v>
      </c>
      <c r="C330" s="11" t="s">
        <v>989</v>
      </c>
      <c r="D330" s="4">
        <v>51</v>
      </c>
      <c r="E330" s="11" t="s">
        <v>740</v>
      </c>
      <c r="F330" s="11" t="e">
        <v>#N/A</v>
      </c>
      <c r="G330" s="11" t="e">
        <v>#N/A</v>
      </c>
      <c r="H330" s="11" t="e">
        <v>#N/A</v>
      </c>
      <c r="I330" s="11" t="e">
        <v>#N/A</v>
      </c>
      <c r="J330" s="12" t="e">
        <v>#N/A</v>
      </c>
    </row>
    <row r="331" spans="1:10" x14ac:dyDescent="0.35">
      <c r="A331" s="13" t="s">
        <v>1063</v>
      </c>
      <c r="B331" s="14">
        <v>45209.251388888893</v>
      </c>
      <c r="C331" s="15" t="s">
        <v>989</v>
      </c>
      <c r="D331" s="3">
        <v>46</v>
      </c>
      <c r="E331" s="15" t="s">
        <v>738</v>
      </c>
      <c r="F331" s="15" t="e">
        <v>#N/A</v>
      </c>
      <c r="G331" s="15" t="e">
        <v>#N/A</v>
      </c>
      <c r="H331" s="15" t="e">
        <v>#N/A</v>
      </c>
      <c r="I331" s="15" t="e">
        <v>#N/A</v>
      </c>
      <c r="J331" s="16" t="e">
        <v>#N/A</v>
      </c>
    </row>
    <row r="332" spans="1:10" x14ac:dyDescent="0.35">
      <c r="A332" s="9" t="s">
        <v>1247</v>
      </c>
      <c r="B332" s="10">
        <v>45228.100694444453</v>
      </c>
      <c r="C332" s="11" t="s">
        <v>989</v>
      </c>
      <c r="D332" s="4">
        <v>23</v>
      </c>
      <c r="E332" s="11" t="s">
        <v>740</v>
      </c>
      <c r="F332" s="11" t="e">
        <v>#N/A</v>
      </c>
      <c r="G332" s="11" t="e">
        <v>#N/A</v>
      </c>
      <c r="H332" s="11" t="e">
        <v>#N/A</v>
      </c>
      <c r="I332" s="11" t="e">
        <v>#N/A</v>
      </c>
      <c r="J332" s="12" t="e">
        <v>#N/A</v>
      </c>
    </row>
    <row r="333" spans="1:10" x14ac:dyDescent="0.35">
      <c r="A333" s="13" t="s">
        <v>826</v>
      </c>
      <c r="B333" s="14">
        <v>45228.758333333331</v>
      </c>
      <c r="C333" s="15" t="s">
        <v>834</v>
      </c>
      <c r="D333" s="3">
        <v>54</v>
      </c>
      <c r="E333" s="15" t="s">
        <v>735</v>
      </c>
      <c r="F333" s="15" t="e">
        <v>#N/A</v>
      </c>
      <c r="G333" s="15" t="e">
        <v>#N/A</v>
      </c>
      <c r="H333" s="15" t="e">
        <v>#N/A</v>
      </c>
      <c r="I333" s="15" t="e">
        <v>#N/A</v>
      </c>
      <c r="J333" s="16" t="e">
        <v>#N/A</v>
      </c>
    </row>
    <row r="334" spans="1:10" x14ac:dyDescent="0.35">
      <c r="A334" s="9" t="s">
        <v>1002</v>
      </c>
      <c r="B334" s="10">
        <v>45221.857638888891</v>
      </c>
      <c r="C334" s="11" t="s">
        <v>1009</v>
      </c>
      <c r="D334" s="4">
        <v>60</v>
      </c>
      <c r="E334" s="11" t="s">
        <v>740</v>
      </c>
      <c r="F334" s="11" t="e">
        <v>#N/A</v>
      </c>
      <c r="G334" s="11" t="e">
        <v>#N/A</v>
      </c>
      <c r="H334" s="11" t="e">
        <v>#N/A</v>
      </c>
      <c r="I334" s="11" t="e">
        <v>#N/A</v>
      </c>
      <c r="J334" s="12" t="e">
        <v>#N/A</v>
      </c>
    </row>
    <row r="335" spans="1:10" x14ac:dyDescent="0.35">
      <c r="A335" s="13" t="s">
        <v>1351</v>
      </c>
      <c r="B335" s="14">
        <v>45202.054861111108</v>
      </c>
      <c r="C335" s="15" t="s">
        <v>1009</v>
      </c>
      <c r="D335" s="3">
        <v>11</v>
      </c>
      <c r="E335" s="15" t="s">
        <v>735</v>
      </c>
      <c r="F335" s="15" t="e">
        <v>#N/A</v>
      </c>
      <c r="G335" s="15" t="e">
        <v>#N/A</v>
      </c>
      <c r="H335" s="15" t="e">
        <v>#N/A</v>
      </c>
      <c r="I335" s="15" t="e">
        <v>#N/A</v>
      </c>
      <c r="J335" s="16" t="e">
        <v>#N/A</v>
      </c>
    </row>
    <row r="336" spans="1:10" x14ac:dyDescent="0.35">
      <c r="A336" s="9" t="s">
        <v>1368</v>
      </c>
      <c r="B336" s="10">
        <v>45204.948611111111</v>
      </c>
      <c r="C336" s="11" t="s">
        <v>1375</v>
      </c>
      <c r="D336" s="4">
        <v>47</v>
      </c>
      <c r="E336" s="11" t="s">
        <v>738</v>
      </c>
      <c r="F336" s="11" t="e">
        <v>#N/A</v>
      </c>
      <c r="G336" s="11" t="e">
        <v>#N/A</v>
      </c>
      <c r="H336" s="11" t="e">
        <v>#N/A</v>
      </c>
      <c r="I336" s="11" t="e">
        <v>#N/A</v>
      </c>
      <c r="J336" s="12" t="e">
        <v>#N/A</v>
      </c>
    </row>
    <row r="337" spans="1:10" x14ac:dyDescent="0.35">
      <c r="A337" s="13" t="s">
        <v>1171</v>
      </c>
      <c r="B337" s="14">
        <v>45215.322222222218</v>
      </c>
      <c r="C337" s="15" t="s">
        <v>1186</v>
      </c>
      <c r="D337" s="3">
        <v>57</v>
      </c>
      <c r="E337" s="15" t="s">
        <v>740</v>
      </c>
      <c r="F337" s="15" t="e">
        <v>#N/A</v>
      </c>
      <c r="G337" s="15" t="e">
        <v>#N/A</v>
      </c>
      <c r="H337" s="15" t="e">
        <v>#N/A</v>
      </c>
      <c r="I337" s="15" t="e">
        <v>#N/A</v>
      </c>
      <c r="J337" s="16" t="e">
        <v>#N/A</v>
      </c>
    </row>
    <row r="338" spans="1:10" x14ac:dyDescent="0.35">
      <c r="A338" s="9" t="s">
        <v>1368</v>
      </c>
      <c r="B338" s="10">
        <v>45220.506249999999</v>
      </c>
      <c r="C338" s="11" t="s">
        <v>1186</v>
      </c>
      <c r="D338" s="4">
        <v>20</v>
      </c>
      <c r="E338" s="11" t="s">
        <v>735</v>
      </c>
      <c r="F338" s="11" t="e">
        <v>#N/A</v>
      </c>
      <c r="G338" s="11" t="e">
        <v>#N/A</v>
      </c>
      <c r="H338" s="11" t="e">
        <v>#N/A</v>
      </c>
      <c r="I338" s="11" t="e">
        <v>#N/A</v>
      </c>
      <c r="J338" s="12" t="e">
        <v>#N/A</v>
      </c>
    </row>
    <row r="339" spans="1:10" x14ac:dyDescent="0.35">
      <c r="A339" s="13" t="s">
        <v>1414</v>
      </c>
      <c r="B339" s="14">
        <v>45229.986805555563</v>
      </c>
      <c r="C339" s="15" t="s">
        <v>1186</v>
      </c>
      <c r="D339" s="3">
        <v>37</v>
      </c>
      <c r="E339" s="15" t="s">
        <v>740</v>
      </c>
      <c r="F339" s="15" t="e">
        <v>#N/A</v>
      </c>
      <c r="G339" s="15" t="e">
        <v>#N/A</v>
      </c>
      <c r="H339" s="15" t="e">
        <v>#N/A</v>
      </c>
      <c r="I339" s="15" t="e">
        <v>#N/A</v>
      </c>
      <c r="J339" s="16" t="e">
        <v>#N/A</v>
      </c>
    </row>
    <row r="340" spans="1:10" x14ac:dyDescent="0.35">
      <c r="A340" s="9" t="s">
        <v>905</v>
      </c>
      <c r="B340" s="10">
        <v>45205.711111111108</v>
      </c>
      <c r="C340" s="11" t="s">
        <v>924</v>
      </c>
      <c r="D340" s="4">
        <v>109</v>
      </c>
      <c r="E340" s="11" t="s">
        <v>740</v>
      </c>
      <c r="F340" s="11" t="e">
        <v>#N/A</v>
      </c>
      <c r="G340" s="11" t="e">
        <v>#N/A</v>
      </c>
      <c r="H340" s="11" t="e">
        <v>#N/A</v>
      </c>
      <c r="I340" s="11" t="e">
        <v>#N/A</v>
      </c>
      <c r="J340" s="12" t="e">
        <v>#N/A</v>
      </c>
    </row>
    <row r="341" spans="1:10" x14ac:dyDescent="0.35">
      <c r="A341" s="13" t="s">
        <v>1351</v>
      </c>
      <c r="B341" s="14">
        <v>45200.06527777778</v>
      </c>
      <c r="C341" s="15" t="s">
        <v>924</v>
      </c>
      <c r="D341" s="3">
        <v>9</v>
      </c>
      <c r="E341" s="15" t="s">
        <v>735</v>
      </c>
      <c r="F341" s="15" t="e">
        <v>#N/A</v>
      </c>
      <c r="G341" s="15" t="e">
        <v>#N/A</v>
      </c>
      <c r="H341" s="15" t="e">
        <v>#N/A</v>
      </c>
      <c r="I341" s="15" t="e">
        <v>#N/A</v>
      </c>
      <c r="J341" s="16" t="e">
        <v>#N/A</v>
      </c>
    </row>
    <row r="342" spans="1:10" x14ac:dyDescent="0.35">
      <c r="A342" s="9" t="s">
        <v>981</v>
      </c>
      <c r="B342" s="10">
        <v>45206.162499999999</v>
      </c>
      <c r="C342" s="11" t="s">
        <v>992</v>
      </c>
      <c r="D342" s="4">
        <v>69</v>
      </c>
      <c r="E342" s="11" t="s">
        <v>735</v>
      </c>
      <c r="F342" s="11" t="e">
        <v>#N/A</v>
      </c>
      <c r="G342" s="11" t="e">
        <v>#N/A</v>
      </c>
      <c r="H342" s="11" t="e">
        <v>#N/A</v>
      </c>
      <c r="I342" s="11" t="e">
        <v>#N/A</v>
      </c>
      <c r="J342" s="12" t="e">
        <v>#N/A</v>
      </c>
    </row>
    <row r="343" spans="1:10" x14ac:dyDescent="0.35">
      <c r="A343" s="13" t="s">
        <v>942</v>
      </c>
      <c r="B343" s="14">
        <v>45227.163194444453</v>
      </c>
      <c r="C343" s="15" t="s">
        <v>950</v>
      </c>
      <c r="D343" s="3">
        <v>78</v>
      </c>
      <c r="E343" s="15" t="s">
        <v>738</v>
      </c>
      <c r="F343" s="15" t="e">
        <v>#N/A</v>
      </c>
      <c r="G343" s="15" t="e">
        <v>#N/A</v>
      </c>
      <c r="H343" s="15" t="e">
        <v>#N/A</v>
      </c>
      <c r="I343" s="15" t="e">
        <v>#N/A</v>
      </c>
      <c r="J343" s="16" t="e">
        <v>#N/A</v>
      </c>
    </row>
    <row r="344" spans="1:10" x14ac:dyDescent="0.35">
      <c r="A344" s="9" t="s">
        <v>942</v>
      </c>
      <c r="B344" s="10">
        <v>45221.839583333327</v>
      </c>
      <c r="C344" s="11" t="s">
        <v>948</v>
      </c>
      <c r="D344" s="4">
        <v>18</v>
      </c>
      <c r="E344" s="11" t="s">
        <v>735</v>
      </c>
      <c r="F344" s="11" t="e">
        <v>#N/A</v>
      </c>
      <c r="G344" s="11" t="e">
        <v>#N/A</v>
      </c>
      <c r="H344" s="11" t="e">
        <v>#N/A</v>
      </c>
      <c r="I344" s="11" t="e">
        <v>#N/A</v>
      </c>
      <c r="J344" s="12" t="e">
        <v>#N/A</v>
      </c>
    </row>
    <row r="345" spans="1:10" x14ac:dyDescent="0.35">
      <c r="A345" s="13" t="s">
        <v>905</v>
      </c>
      <c r="B345" s="14">
        <v>45214.109722222223</v>
      </c>
      <c r="C345" s="15" t="s">
        <v>939</v>
      </c>
      <c r="D345" s="3">
        <v>102</v>
      </c>
      <c r="E345" s="15" t="s">
        <v>738</v>
      </c>
      <c r="F345" s="15" t="e">
        <v>#N/A</v>
      </c>
      <c r="G345" s="15" t="e">
        <v>#N/A</v>
      </c>
      <c r="H345" s="15" t="e">
        <v>#N/A</v>
      </c>
      <c r="I345" s="15" t="e">
        <v>#N/A</v>
      </c>
      <c r="J345" s="16" t="e">
        <v>#N/A</v>
      </c>
    </row>
    <row r="346" spans="1:10" x14ac:dyDescent="0.35">
      <c r="A346" s="9" t="s">
        <v>1351</v>
      </c>
      <c r="B346" s="10">
        <v>45210.84097222222</v>
      </c>
      <c r="C346" s="11" t="s">
        <v>939</v>
      </c>
      <c r="D346" s="4">
        <v>7</v>
      </c>
      <c r="E346" s="11" t="s">
        <v>735</v>
      </c>
      <c r="F346" s="11" t="e">
        <v>#N/A</v>
      </c>
      <c r="G346" s="11" t="e">
        <v>#N/A</v>
      </c>
      <c r="H346" s="11" t="e">
        <v>#N/A</v>
      </c>
      <c r="I346" s="11" t="e">
        <v>#N/A</v>
      </c>
      <c r="J346" s="12" t="e">
        <v>#N/A</v>
      </c>
    </row>
    <row r="347" spans="1:10" x14ac:dyDescent="0.35">
      <c r="A347" s="13" t="s">
        <v>782</v>
      </c>
      <c r="B347" s="14">
        <v>45218.635416666657</v>
      </c>
      <c r="C347" s="15" t="s">
        <v>783</v>
      </c>
      <c r="D347" s="3">
        <v>17</v>
      </c>
      <c r="E347" s="15" t="s">
        <v>740</v>
      </c>
      <c r="F347" s="15" t="e">
        <v>#N/A</v>
      </c>
      <c r="G347" s="15" t="e">
        <v>#N/A</v>
      </c>
      <c r="H347" s="15" t="e">
        <v>#N/A</v>
      </c>
      <c r="I347" s="15" t="e">
        <v>#N/A</v>
      </c>
      <c r="J347" s="16" t="e">
        <v>#N/A</v>
      </c>
    </row>
    <row r="348" spans="1:10" x14ac:dyDescent="0.35">
      <c r="A348" s="9" t="s">
        <v>782</v>
      </c>
      <c r="B348" s="10">
        <v>45214.185416666667</v>
      </c>
      <c r="C348" s="11" t="s">
        <v>783</v>
      </c>
      <c r="D348" s="4">
        <v>36</v>
      </c>
      <c r="E348" s="11" t="s">
        <v>738</v>
      </c>
      <c r="F348" s="11" t="e">
        <v>#N/A</v>
      </c>
      <c r="G348" s="11" t="e">
        <v>#N/A</v>
      </c>
      <c r="H348" s="11" t="e">
        <v>#N/A</v>
      </c>
      <c r="I348" s="11" t="e">
        <v>#N/A</v>
      </c>
      <c r="J348" s="12" t="e">
        <v>#N/A</v>
      </c>
    </row>
    <row r="349" spans="1:10" x14ac:dyDescent="0.35">
      <c r="A349" s="13" t="s">
        <v>1120</v>
      </c>
      <c r="B349" s="14">
        <v>45210.805555555547</v>
      </c>
      <c r="C349" s="15" t="s">
        <v>1124</v>
      </c>
      <c r="D349" s="3">
        <v>97</v>
      </c>
      <c r="E349" s="15" t="s">
        <v>735</v>
      </c>
      <c r="F349" s="15" t="e">
        <v>#N/A</v>
      </c>
      <c r="G349" s="15" t="e">
        <v>#N/A</v>
      </c>
      <c r="H349" s="15" t="e">
        <v>#N/A</v>
      </c>
      <c r="I349" s="15" t="e">
        <v>#N/A</v>
      </c>
      <c r="J349" s="16" t="e">
        <v>#N/A</v>
      </c>
    </row>
    <row r="350" spans="1:10" x14ac:dyDescent="0.35">
      <c r="A350" s="9" t="s">
        <v>1247</v>
      </c>
      <c r="B350" s="10">
        <v>45215.088888888888</v>
      </c>
      <c r="C350" s="11" t="s">
        <v>1124</v>
      </c>
      <c r="D350" s="4">
        <v>59</v>
      </c>
      <c r="E350" s="11" t="s">
        <v>740</v>
      </c>
      <c r="F350" s="11" t="e">
        <v>#N/A</v>
      </c>
      <c r="G350" s="11" t="e">
        <v>#N/A</v>
      </c>
      <c r="H350" s="11" t="e">
        <v>#N/A</v>
      </c>
      <c r="I350" s="11" t="e">
        <v>#N/A</v>
      </c>
      <c r="J350" s="12" t="e">
        <v>#N/A</v>
      </c>
    </row>
    <row r="351" spans="1:10" x14ac:dyDescent="0.35">
      <c r="A351" s="13" t="s">
        <v>733</v>
      </c>
      <c r="B351" s="14">
        <v>45227.484722222223</v>
      </c>
      <c r="C351" s="15" t="s">
        <v>755</v>
      </c>
      <c r="D351" s="3">
        <v>24</v>
      </c>
      <c r="E351" s="15" t="s">
        <v>738</v>
      </c>
      <c r="F351" s="15" t="e">
        <v>#N/A</v>
      </c>
      <c r="G351" s="15" t="e">
        <v>#N/A</v>
      </c>
      <c r="H351" s="15" t="e">
        <v>#N/A</v>
      </c>
      <c r="I351" s="15" t="e">
        <v>#N/A</v>
      </c>
      <c r="J351" s="16" t="e">
        <v>#N/A</v>
      </c>
    </row>
    <row r="352" spans="1:10" x14ac:dyDescent="0.35">
      <c r="A352" s="9" t="s">
        <v>1063</v>
      </c>
      <c r="B352" s="10">
        <v>45221.106249999997</v>
      </c>
      <c r="C352" s="11" t="s">
        <v>755</v>
      </c>
      <c r="D352" s="4">
        <v>52</v>
      </c>
      <c r="E352" s="11" t="s">
        <v>740</v>
      </c>
      <c r="F352" s="11" t="e">
        <v>#N/A</v>
      </c>
      <c r="G352" s="11" t="e">
        <v>#N/A</v>
      </c>
      <c r="H352" s="11" t="e">
        <v>#N/A</v>
      </c>
      <c r="I352" s="11" t="e">
        <v>#N/A</v>
      </c>
      <c r="J352" s="12" t="e">
        <v>#N/A</v>
      </c>
    </row>
    <row r="353" spans="1:10" x14ac:dyDescent="0.35">
      <c r="A353" s="13" t="s">
        <v>1002</v>
      </c>
      <c r="B353" s="14">
        <v>45211.908333333333</v>
      </c>
      <c r="C353" s="15" t="s">
        <v>1003</v>
      </c>
      <c r="D353" s="3">
        <v>32</v>
      </c>
      <c r="E353" s="15" t="s">
        <v>738</v>
      </c>
      <c r="F353" s="15" t="e">
        <v>#N/A</v>
      </c>
      <c r="G353" s="15" t="e">
        <v>#N/A</v>
      </c>
      <c r="H353" s="15" t="e">
        <v>#N/A</v>
      </c>
      <c r="I353" s="15" t="e">
        <v>#N/A</v>
      </c>
      <c r="J353" s="16" t="e">
        <v>#N/A</v>
      </c>
    </row>
    <row r="354" spans="1:10" x14ac:dyDescent="0.35">
      <c r="A354" s="9" t="s">
        <v>1336</v>
      </c>
      <c r="B354" s="10">
        <v>45212.200694444437</v>
      </c>
      <c r="C354" s="11" t="s">
        <v>1003</v>
      </c>
      <c r="D354" s="4">
        <v>82</v>
      </c>
      <c r="E354" s="11" t="s">
        <v>735</v>
      </c>
      <c r="F354" s="11" t="e">
        <v>#N/A</v>
      </c>
      <c r="G354" s="11" t="e">
        <v>#N/A</v>
      </c>
      <c r="H354" s="11" t="e">
        <v>#N/A</v>
      </c>
      <c r="I354" s="11" t="e">
        <v>#N/A</v>
      </c>
      <c r="J354" s="12" t="e">
        <v>#N/A</v>
      </c>
    </row>
    <row r="355" spans="1:10" x14ac:dyDescent="0.35">
      <c r="A355" s="13" t="s">
        <v>1028</v>
      </c>
      <c r="B355" s="14">
        <v>45219.920138888891</v>
      </c>
      <c r="C355" s="15" t="s">
        <v>1051</v>
      </c>
      <c r="D355" s="3">
        <v>91</v>
      </c>
      <c r="E355" s="15" t="s">
        <v>740</v>
      </c>
      <c r="F355" s="15" t="e">
        <v>#N/A</v>
      </c>
      <c r="G355" s="15" t="e">
        <v>#N/A</v>
      </c>
      <c r="H355" s="15" t="e">
        <v>#N/A</v>
      </c>
      <c r="I355" s="15" t="e">
        <v>#N/A</v>
      </c>
      <c r="J355" s="16" t="e">
        <v>#N/A</v>
      </c>
    </row>
    <row r="356" spans="1:10" x14ac:dyDescent="0.35">
      <c r="A356" s="9" t="s">
        <v>1063</v>
      </c>
      <c r="B356" s="10">
        <v>45203.477083333331</v>
      </c>
      <c r="C356" s="11" t="s">
        <v>1090</v>
      </c>
      <c r="D356" s="4">
        <v>93</v>
      </c>
      <c r="E356" s="11" t="s">
        <v>738</v>
      </c>
      <c r="F356" s="11" t="e">
        <v>#N/A</v>
      </c>
      <c r="G356" s="11" t="e">
        <v>#N/A</v>
      </c>
      <c r="H356" s="11" t="e">
        <v>#N/A</v>
      </c>
      <c r="I356" s="11" t="e">
        <v>#N/A</v>
      </c>
      <c r="J356" s="12" t="e">
        <v>#N/A</v>
      </c>
    </row>
    <row r="357" spans="1:10" x14ac:dyDescent="0.35">
      <c r="A357" s="13" t="s">
        <v>1414</v>
      </c>
      <c r="B357" s="14">
        <v>45208.711111111108</v>
      </c>
      <c r="C357" s="15" t="s">
        <v>1090</v>
      </c>
      <c r="D357" s="3">
        <v>75</v>
      </c>
      <c r="E357" s="15" t="s">
        <v>738</v>
      </c>
      <c r="F357" s="15" t="e">
        <v>#N/A</v>
      </c>
      <c r="G357" s="15" t="e">
        <v>#N/A</v>
      </c>
      <c r="H357" s="15" t="e">
        <v>#N/A</v>
      </c>
      <c r="I357" s="15" t="e">
        <v>#N/A</v>
      </c>
      <c r="J357" s="16" t="e">
        <v>#N/A</v>
      </c>
    </row>
    <row r="358" spans="1:10" x14ac:dyDescent="0.35">
      <c r="A358" s="9" t="s">
        <v>1120</v>
      </c>
      <c r="B358" s="10">
        <v>45224.831944444442</v>
      </c>
      <c r="C358" s="11" t="s">
        <v>1135</v>
      </c>
      <c r="D358" s="4">
        <v>100</v>
      </c>
      <c r="E358" s="11" t="s">
        <v>735</v>
      </c>
      <c r="F358" s="11" t="e">
        <v>#N/A</v>
      </c>
      <c r="G358" s="11" t="e">
        <v>#N/A</v>
      </c>
      <c r="H358" s="11" t="e">
        <v>#N/A</v>
      </c>
      <c r="I358" s="11" t="e">
        <v>#N/A</v>
      </c>
      <c r="J358" s="12" t="e">
        <v>#N/A</v>
      </c>
    </row>
    <row r="359" spans="1:10" x14ac:dyDescent="0.35">
      <c r="A359" s="13" t="s">
        <v>1120</v>
      </c>
      <c r="B359" s="14">
        <v>45226.885416666657</v>
      </c>
      <c r="C359" s="15" t="s">
        <v>1132</v>
      </c>
      <c r="D359" s="3">
        <v>96</v>
      </c>
      <c r="E359" s="15" t="s">
        <v>740</v>
      </c>
      <c r="F359" s="15" t="e">
        <v>#N/A</v>
      </c>
      <c r="G359" s="15" t="e">
        <v>#N/A</v>
      </c>
      <c r="H359" s="15" t="e">
        <v>#N/A</v>
      </c>
      <c r="I359" s="15" t="e">
        <v>#N/A</v>
      </c>
      <c r="J359" s="16" t="e">
        <v>#N/A</v>
      </c>
    </row>
    <row r="360" spans="1:10" x14ac:dyDescent="0.35">
      <c r="A360" s="9" t="s">
        <v>1336</v>
      </c>
      <c r="B360" s="10">
        <v>45214.081944444442</v>
      </c>
      <c r="C360" s="11" t="s">
        <v>1347</v>
      </c>
      <c r="D360" s="4">
        <v>87</v>
      </c>
      <c r="E360" s="11" t="s">
        <v>738</v>
      </c>
      <c r="F360" s="11" t="e">
        <v>#N/A</v>
      </c>
      <c r="G360" s="11" t="e">
        <v>#N/A</v>
      </c>
      <c r="H360" s="11" t="e">
        <v>#N/A</v>
      </c>
      <c r="I360" s="11" t="e">
        <v>#N/A</v>
      </c>
      <c r="J360" s="12" t="e">
        <v>#N/A</v>
      </c>
    </row>
    <row r="361" spans="1:10" x14ac:dyDescent="0.35">
      <c r="A361" s="13" t="s">
        <v>1414</v>
      </c>
      <c r="B361" s="14">
        <v>45207.199305555558</v>
      </c>
      <c r="C361" s="15" t="s">
        <v>1347</v>
      </c>
      <c r="D361" s="3">
        <v>28</v>
      </c>
      <c r="E361" s="15" t="s">
        <v>738</v>
      </c>
      <c r="F361" s="15" t="e">
        <v>#N/A</v>
      </c>
      <c r="G361" s="15" t="e">
        <v>#N/A</v>
      </c>
      <c r="H361" s="15" t="e">
        <v>#N/A</v>
      </c>
      <c r="I361" s="15" t="e">
        <v>#N/A</v>
      </c>
      <c r="J361" s="16" t="e">
        <v>#N/A</v>
      </c>
    </row>
    <row r="362" spans="1:10" x14ac:dyDescent="0.35">
      <c r="A362" s="9" t="s">
        <v>1247</v>
      </c>
      <c r="B362" s="10">
        <v>45227.118055555547</v>
      </c>
      <c r="C362" s="11" t="s">
        <v>1250</v>
      </c>
      <c r="D362" s="4">
        <v>61</v>
      </c>
      <c r="E362" s="11" t="s">
        <v>738</v>
      </c>
      <c r="F362" s="11" t="e">
        <v>#N/A</v>
      </c>
      <c r="G362" s="11" t="e">
        <v>#N/A</v>
      </c>
      <c r="H362" s="11" t="e">
        <v>#N/A</v>
      </c>
      <c r="I362" s="11" t="e">
        <v>#N/A</v>
      </c>
      <c r="J362" s="12" t="e">
        <v>#N/A</v>
      </c>
    </row>
    <row r="363" spans="1:10" x14ac:dyDescent="0.35">
      <c r="A363" s="13" t="s">
        <v>1314</v>
      </c>
      <c r="B363" s="14">
        <v>45205.805555555547</v>
      </c>
      <c r="C363" s="15" t="s">
        <v>1318</v>
      </c>
      <c r="D363" s="3">
        <v>110</v>
      </c>
      <c r="E363" s="15" t="s">
        <v>735</v>
      </c>
      <c r="F363" s="15" t="e">
        <v>#N/A</v>
      </c>
      <c r="G363" s="15" t="e">
        <v>#N/A</v>
      </c>
      <c r="H363" s="15" t="e">
        <v>#N/A</v>
      </c>
      <c r="I363" s="15" t="e">
        <v>#N/A</v>
      </c>
      <c r="J363" s="16" t="e">
        <v>#N/A</v>
      </c>
    </row>
    <row r="364" spans="1:10" x14ac:dyDescent="0.35">
      <c r="A364" s="9" t="s">
        <v>1120</v>
      </c>
      <c r="B364" s="10">
        <v>45204.931250000001</v>
      </c>
      <c r="C364" s="11" t="s">
        <v>1121</v>
      </c>
      <c r="D364" s="4">
        <v>66</v>
      </c>
      <c r="E364" s="11" t="s">
        <v>735</v>
      </c>
      <c r="F364" s="11" t="e">
        <v>#N/A</v>
      </c>
      <c r="G364" s="11" t="e">
        <v>#N/A</v>
      </c>
      <c r="H364" s="11" t="e">
        <v>#N/A</v>
      </c>
      <c r="I364" s="11" t="e">
        <v>#N/A</v>
      </c>
      <c r="J364" s="12" t="e">
        <v>#N/A</v>
      </c>
    </row>
    <row r="365" spans="1:10" x14ac:dyDescent="0.35">
      <c r="A365" s="13" t="s">
        <v>1063</v>
      </c>
      <c r="B365" s="14">
        <v>45220.515972222223</v>
      </c>
      <c r="C365" s="15" t="s">
        <v>1075</v>
      </c>
      <c r="D365" s="3">
        <v>15</v>
      </c>
      <c r="E365" s="15" t="s">
        <v>740</v>
      </c>
      <c r="F365" s="15" t="e">
        <v>#N/A</v>
      </c>
      <c r="G365" s="15" t="e">
        <v>#N/A</v>
      </c>
      <c r="H365" s="15" t="e">
        <v>#N/A</v>
      </c>
      <c r="I365" s="15" t="e">
        <v>#N/A</v>
      </c>
      <c r="J365" s="16" t="e">
        <v>#N/A</v>
      </c>
    </row>
    <row r="366" spans="1:10" x14ac:dyDescent="0.35">
      <c r="A366" s="9" t="s">
        <v>1368</v>
      </c>
      <c r="B366" s="10">
        <v>45204.665277777778</v>
      </c>
      <c r="C366" s="11" t="s">
        <v>1075</v>
      </c>
      <c r="D366" s="4">
        <v>56</v>
      </c>
      <c r="E366" s="11" t="s">
        <v>735</v>
      </c>
      <c r="F366" s="11" t="e">
        <v>#N/A</v>
      </c>
      <c r="G366" s="11" t="e">
        <v>#N/A</v>
      </c>
      <c r="H366" s="11" t="e">
        <v>#N/A</v>
      </c>
      <c r="I366" s="11" t="e">
        <v>#N/A</v>
      </c>
      <c r="J366" s="12" t="e">
        <v>#N/A</v>
      </c>
    </row>
    <row r="367" spans="1:10" x14ac:dyDescent="0.35">
      <c r="A367" s="13" t="s">
        <v>1414</v>
      </c>
      <c r="B367" s="14">
        <v>45224.288194444453</v>
      </c>
      <c r="C367" s="15" t="s">
        <v>1075</v>
      </c>
      <c r="D367" s="3">
        <v>116</v>
      </c>
      <c r="E367" s="15" t="s">
        <v>740</v>
      </c>
      <c r="F367" s="15" t="e">
        <v>#N/A</v>
      </c>
      <c r="G367" s="15" t="e">
        <v>#N/A</v>
      </c>
      <c r="H367" s="15" t="e">
        <v>#N/A</v>
      </c>
      <c r="I367" s="15" t="e">
        <v>#N/A</v>
      </c>
      <c r="J367" s="16" t="e">
        <v>#N/A</v>
      </c>
    </row>
    <row r="368" spans="1:10" x14ac:dyDescent="0.35">
      <c r="A368" s="9" t="s">
        <v>1414</v>
      </c>
      <c r="B368" s="10">
        <v>45213.417361111111</v>
      </c>
      <c r="C368" s="11" t="s">
        <v>1075</v>
      </c>
      <c r="D368" s="4">
        <v>100</v>
      </c>
      <c r="E368" s="11" t="s">
        <v>735</v>
      </c>
      <c r="F368" s="11" t="e">
        <v>#N/A</v>
      </c>
      <c r="G368" s="11" t="e">
        <v>#N/A</v>
      </c>
      <c r="H368" s="11" t="e">
        <v>#N/A</v>
      </c>
      <c r="I368" s="11" t="e">
        <v>#N/A</v>
      </c>
      <c r="J368" s="12" t="e">
        <v>#N/A</v>
      </c>
    </row>
    <row r="369" spans="1:10" x14ac:dyDescent="0.35">
      <c r="A369" s="13" t="s">
        <v>1414</v>
      </c>
      <c r="B369" s="14">
        <v>45215.231944444437</v>
      </c>
      <c r="C369" s="15" t="s">
        <v>1075</v>
      </c>
      <c r="D369" s="3">
        <v>25</v>
      </c>
      <c r="E369" s="15" t="s">
        <v>738</v>
      </c>
      <c r="F369" s="15" t="e">
        <v>#N/A</v>
      </c>
      <c r="G369" s="15" t="e">
        <v>#N/A</v>
      </c>
      <c r="H369" s="15" t="e">
        <v>#N/A</v>
      </c>
      <c r="I369" s="15" t="e">
        <v>#N/A</v>
      </c>
      <c r="J369" s="16" t="e">
        <v>#N/A</v>
      </c>
    </row>
    <row r="370" spans="1:10" x14ac:dyDescent="0.35">
      <c r="A370" s="9" t="s">
        <v>942</v>
      </c>
      <c r="B370" s="10">
        <v>45207.543055555558</v>
      </c>
      <c r="C370" s="11" t="s">
        <v>945</v>
      </c>
      <c r="D370" s="4">
        <v>54</v>
      </c>
      <c r="E370" s="11" t="s">
        <v>735</v>
      </c>
      <c r="F370" s="11" t="e">
        <v>#N/A</v>
      </c>
      <c r="G370" s="11" t="e">
        <v>#N/A</v>
      </c>
      <c r="H370" s="11" t="e">
        <v>#N/A</v>
      </c>
      <c r="I370" s="11" t="e">
        <v>#N/A</v>
      </c>
      <c r="J370" s="12" t="e">
        <v>#N/A</v>
      </c>
    </row>
    <row r="371" spans="1:10" x14ac:dyDescent="0.35">
      <c r="A371" s="13" t="s">
        <v>1120</v>
      </c>
      <c r="B371" s="14">
        <v>45225.996527777781</v>
      </c>
      <c r="C371" s="15" t="s">
        <v>945</v>
      </c>
      <c r="D371" s="3">
        <v>55</v>
      </c>
      <c r="E371" s="15" t="s">
        <v>738</v>
      </c>
      <c r="F371" s="15" t="e">
        <v>#N/A</v>
      </c>
      <c r="G371" s="15" t="e">
        <v>#N/A</v>
      </c>
      <c r="H371" s="15" t="e">
        <v>#N/A</v>
      </c>
      <c r="I371" s="15" t="e">
        <v>#N/A</v>
      </c>
      <c r="J371" s="16" t="e">
        <v>#N/A</v>
      </c>
    </row>
    <row r="372" spans="1:10" x14ac:dyDescent="0.35">
      <c r="A372" s="9" t="s">
        <v>1199</v>
      </c>
      <c r="B372" s="10">
        <v>45225.322916666657</v>
      </c>
      <c r="C372" s="11" t="s">
        <v>1209</v>
      </c>
      <c r="D372" s="4">
        <v>47</v>
      </c>
      <c r="E372" s="11" t="s">
        <v>740</v>
      </c>
      <c r="F372" s="11" t="e">
        <v>#N/A</v>
      </c>
      <c r="G372" s="11" t="e">
        <v>#N/A</v>
      </c>
      <c r="H372" s="11" t="e">
        <v>#N/A</v>
      </c>
      <c r="I372" s="11" t="e">
        <v>#N/A</v>
      </c>
      <c r="J372" s="12" t="e">
        <v>#N/A</v>
      </c>
    </row>
    <row r="373" spans="1:10" x14ac:dyDescent="0.35">
      <c r="A373" s="13" t="s">
        <v>1314</v>
      </c>
      <c r="B373" s="14">
        <v>45224.884722222218</v>
      </c>
      <c r="C373" s="15" t="s">
        <v>1325</v>
      </c>
      <c r="D373" s="3">
        <v>119</v>
      </c>
      <c r="E373" s="15" t="s">
        <v>738</v>
      </c>
      <c r="F373" s="15" t="e">
        <v>#N/A</v>
      </c>
      <c r="G373" s="15" t="e">
        <v>#N/A</v>
      </c>
      <c r="H373" s="15" t="e">
        <v>#N/A</v>
      </c>
      <c r="I373" s="15" t="e">
        <v>#N/A</v>
      </c>
      <c r="J373" s="16" t="e">
        <v>#N/A</v>
      </c>
    </row>
    <row r="374" spans="1:10" x14ac:dyDescent="0.35">
      <c r="A374" s="9" t="s">
        <v>1002</v>
      </c>
      <c r="B374" s="10">
        <v>45200.220138888893</v>
      </c>
      <c r="C374" s="11" t="s">
        <v>1011</v>
      </c>
      <c r="D374" s="4">
        <v>53</v>
      </c>
      <c r="E374" s="11" t="s">
        <v>738</v>
      </c>
      <c r="F374" s="11" t="e">
        <v>#N/A</v>
      </c>
      <c r="G374" s="11" t="e">
        <v>#N/A</v>
      </c>
      <c r="H374" s="11" t="e">
        <v>#N/A</v>
      </c>
      <c r="I374" s="11" t="e">
        <v>#N/A</v>
      </c>
      <c r="J374" s="12" t="e">
        <v>#N/A</v>
      </c>
    </row>
    <row r="375" spans="1:10" x14ac:dyDescent="0.35">
      <c r="A375" s="13" t="s">
        <v>1351</v>
      </c>
      <c r="B375" s="14">
        <v>45227.393055555563</v>
      </c>
      <c r="C375" s="15" t="s">
        <v>1011</v>
      </c>
      <c r="D375" s="3">
        <v>67</v>
      </c>
      <c r="E375" s="15" t="s">
        <v>735</v>
      </c>
      <c r="F375" s="15" t="e">
        <v>#N/A</v>
      </c>
      <c r="G375" s="15" t="e">
        <v>#N/A</v>
      </c>
      <c r="H375" s="15" t="e">
        <v>#N/A</v>
      </c>
      <c r="I375" s="15" t="e">
        <v>#N/A</v>
      </c>
      <c r="J375" s="16" t="e">
        <v>#N/A</v>
      </c>
    </row>
    <row r="376" spans="1:10" x14ac:dyDescent="0.35">
      <c r="A376" s="9" t="s">
        <v>864</v>
      </c>
      <c r="B376" s="10">
        <v>45230.925000000003</v>
      </c>
      <c r="C376" s="11" t="s">
        <v>892</v>
      </c>
      <c r="D376" s="4">
        <v>90</v>
      </c>
      <c r="E376" s="11" t="s">
        <v>735</v>
      </c>
      <c r="F376" s="11" t="e">
        <v>#N/A</v>
      </c>
      <c r="G376" s="11" t="e">
        <v>#N/A</v>
      </c>
      <c r="H376" s="11" t="e">
        <v>#N/A</v>
      </c>
      <c r="I376" s="11" t="e">
        <v>#N/A</v>
      </c>
      <c r="J376" s="12" t="e">
        <v>#N/A</v>
      </c>
    </row>
    <row r="377" spans="1:10" x14ac:dyDescent="0.35">
      <c r="A377" s="13" t="s">
        <v>1199</v>
      </c>
      <c r="B377" s="14">
        <v>45210.5</v>
      </c>
      <c r="C377" s="15" t="s">
        <v>1218</v>
      </c>
      <c r="D377" s="3">
        <v>30</v>
      </c>
      <c r="E377" s="15" t="s">
        <v>735</v>
      </c>
      <c r="F377" s="15" t="e">
        <v>#N/A</v>
      </c>
      <c r="G377" s="15" t="e">
        <v>#N/A</v>
      </c>
      <c r="H377" s="15" t="e">
        <v>#N/A</v>
      </c>
      <c r="I377" s="15" t="e">
        <v>#N/A</v>
      </c>
      <c r="J377" s="16" t="e">
        <v>#N/A</v>
      </c>
    </row>
    <row r="378" spans="1:10" x14ac:dyDescent="0.35">
      <c r="A378" s="9" t="s">
        <v>1351</v>
      </c>
      <c r="B378" s="10">
        <v>45210.924305555563</v>
      </c>
      <c r="C378" s="11" t="s">
        <v>1359</v>
      </c>
      <c r="D378" s="4">
        <v>32</v>
      </c>
      <c r="E378" s="11" t="s">
        <v>738</v>
      </c>
      <c r="F378" s="11" t="e">
        <v>#N/A</v>
      </c>
      <c r="G378" s="11" t="e">
        <v>#N/A</v>
      </c>
      <c r="H378" s="11" t="e">
        <v>#N/A</v>
      </c>
      <c r="I378" s="11" t="e">
        <v>#N/A</v>
      </c>
      <c r="J378" s="12" t="e">
        <v>#N/A</v>
      </c>
    </row>
    <row r="379" spans="1:10" x14ac:dyDescent="0.35">
      <c r="A379" s="13" t="s">
        <v>782</v>
      </c>
      <c r="B379" s="14">
        <v>45206.384027777778</v>
      </c>
      <c r="C379" s="15" t="s">
        <v>805</v>
      </c>
      <c r="D379" s="3">
        <v>109</v>
      </c>
      <c r="E379" s="15" t="s">
        <v>740</v>
      </c>
      <c r="F379" s="15" t="e">
        <v>#N/A</v>
      </c>
      <c r="G379" s="15" t="e">
        <v>#N/A</v>
      </c>
      <c r="H379" s="15" t="e">
        <v>#N/A</v>
      </c>
      <c r="I379" s="15" t="e">
        <v>#N/A</v>
      </c>
      <c r="J379" s="16" t="e">
        <v>#N/A</v>
      </c>
    </row>
    <row r="380" spans="1:10" x14ac:dyDescent="0.35">
      <c r="A380" s="9" t="s">
        <v>1389</v>
      </c>
      <c r="B380" s="10">
        <v>45226.072222222218</v>
      </c>
      <c r="C380" s="11" t="s">
        <v>1408</v>
      </c>
      <c r="D380" s="4">
        <v>29</v>
      </c>
      <c r="E380" s="11" t="s">
        <v>740</v>
      </c>
      <c r="F380" s="11" t="e">
        <v>#N/A</v>
      </c>
      <c r="G380" s="11" t="e">
        <v>#N/A</v>
      </c>
      <c r="H380" s="11" t="e">
        <v>#N/A</v>
      </c>
      <c r="I380" s="11" t="e">
        <v>#N/A</v>
      </c>
      <c r="J380" s="12" t="e">
        <v>#N/A</v>
      </c>
    </row>
    <row r="381" spans="1:10" x14ac:dyDescent="0.35">
      <c r="A381" s="13" t="s">
        <v>1199</v>
      </c>
      <c r="B381" s="14">
        <v>45204.09097222222</v>
      </c>
      <c r="C381" s="15" t="s">
        <v>1214</v>
      </c>
      <c r="D381" s="3">
        <v>81</v>
      </c>
      <c r="E381" s="15" t="s">
        <v>735</v>
      </c>
      <c r="F381" s="15" t="e">
        <v>#N/A</v>
      </c>
      <c r="G381" s="15" t="e">
        <v>#N/A</v>
      </c>
      <c r="H381" s="15" t="e">
        <v>#N/A</v>
      </c>
      <c r="I381" s="15" t="e">
        <v>#N/A</v>
      </c>
      <c r="J381" s="16" t="e">
        <v>#N/A</v>
      </c>
    </row>
    <row r="382" spans="1:10" x14ac:dyDescent="0.35">
      <c r="A382" s="9" t="s">
        <v>905</v>
      </c>
      <c r="B382" s="10">
        <v>45230.911805555559</v>
      </c>
      <c r="C382" s="11" t="s">
        <v>941</v>
      </c>
      <c r="D382" s="4">
        <v>16</v>
      </c>
      <c r="E382" s="11" t="s">
        <v>738</v>
      </c>
      <c r="F382" s="11" t="e">
        <v>#N/A</v>
      </c>
      <c r="G382" s="11" t="e">
        <v>#N/A</v>
      </c>
      <c r="H382" s="11" t="e">
        <v>#N/A</v>
      </c>
      <c r="I382" s="11" t="e">
        <v>#N/A</v>
      </c>
      <c r="J382" s="12" t="e">
        <v>#N/A</v>
      </c>
    </row>
    <row r="383" spans="1:10" x14ac:dyDescent="0.35">
      <c r="A383" s="13" t="s">
        <v>1002</v>
      </c>
      <c r="B383" s="14">
        <v>45221.143055555563</v>
      </c>
      <c r="C383" s="15" t="s">
        <v>941</v>
      </c>
      <c r="D383" s="3">
        <v>43</v>
      </c>
      <c r="E383" s="15" t="s">
        <v>735</v>
      </c>
      <c r="F383" s="15" t="e">
        <v>#N/A</v>
      </c>
      <c r="G383" s="15" t="e">
        <v>#N/A</v>
      </c>
      <c r="H383" s="15" t="e">
        <v>#N/A</v>
      </c>
      <c r="I383" s="15" t="e">
        <v>#N/A</v>
      </c>
      <c r="J383" s="16" t="e">
        <v>#N/A</v>
      </c>
    </row>
    <row r="384" spans="1:10" x14ac:dyDescent="0.35">
      <c r="A384" s="9" t="s">
        <v>1389</v>
      </c>
      <c r="B384" s="10">
        <v>45228.980555555558</v>
      </c>
      <c r="C384" s="11" t="s">
        <v>941</v>
      </c>
      <c r="D384" s="4">
        <v>37</v>
      </c>
      <c r="E384" s="11" t="s">
        <v>738</v>
      </c>
      <c r="F384" s="11" t="e">
        <v>#N/A</v>
      </c>
      <c r="G384" s="11" t="e">
        <v>#N/A</v>
      </c>
      <c r="H384" s="11" t="e">
        <v>#N/A</v>
      </c>
      <c r="I384" s="11" t="e">
        <v>#N/A</v>
      </c>
      <c r="J384" s="12" t="e">
        <v>#N/A</v>
      </c>
    </row>
    <row r="385" spans="1:10" x14ac:dyDescent="0.35">
      <c r="A385" s="13" t="s">
        <v>864</v>
      </c>
      <c r="B385" s="14">
        <v>45215.879861111112</v>
      </c>
      <c r="C385" s="15" t="s">
        <v>883</v>
      </c>
      <c r="D385" s="3">
        <v>16</v>
      </c>
      <c r="E385" s="15" t="s">
        <v>738</v>
      </c>
      <c r="F385" s="15" t="e">
        <v>#N/A</v>
      </c>
      <c r="G385" s="15" t="e">
        <v>#N/A</v>
      </c>
      <c r="H385" s="15" t="e">
        <v>#N/A</v>
      </c>
      <c r="I385" s="15" t="e">
        <v>#N/A</v>
      </c>
      <c r="J385" s="16" t="e">
        <v>#N/A</v>
      </c>
    </row>
    <row r="386" spans="1:10" x14ac:dyDescent="0.35">
      <c r="A386" s="9" t="s">
        <v>1028</v>
      </c>
      <c r="B386" s="10">
        <v>45216.459027777782</v>
      </c>
      <c r="C386" s="11" t="s">
        <v>883</v>
      </c>
      <c r="D386" s="4">
        <v>100</v>
      </c>
      <c r="E386" s="11" t="s">
        <v>738</v>
      </c>
      <c r="F386" s="11" t="e">
        <v>#N/A</v>
      </c>
      <c r="G386" s="11" t="e">
        <v>#N/A</v>
      </c>
      <c r="H386" s="11" t="e">
        <v>#N/A</v>
      </c>
      <c r="I386" s="11" t="e">
        <v>#N/A</v>
      </c>
      <c r="J386" s="12" t="e">
        <v>#N/A</v>
      </c>
    </row>
    <row r="387" spans="1:10" x14ac:dyDescent="0.35">
      <c r="A387" s="13" t="s">
        <v>1267</v>
      </c>
      <c r="B387" s="14">
        <v>45205.640277777777</v>
      </c>
      <c r="C387" s="15" t="s">
        <v>883</v>
      </c>
      <c r="D387" s="3">
        <v>52</v>
      </c>
      <c r="E387" s="15" t="s">
        <v>735</v>
      </c>
      <c r="F387" s="15" t="e">
        <v>#N/A</v>
      </c>
      <c r="G387" s="15" t="e">
        <v>#N/A</v>
      </c>
      <c r="H387" s="15" t="e">
        <v>#N/A</v>
      </c>
      <c r="I387" s="15" t="e">
        <v>#N/A</v>
      </c>
      <c r="J387" s="16" t="e">
        <v>#N/A</v>
      </c>
    </row>
    <row r="388" spans="1:10" x14ac:dyDescent="0.35">
      <c r="A388" s="9" t="s">
        <v>1336</v>
      </c>
      <c r="B388" s="10">
        <v>45211.925000000003</v>
      </c>
      <c r="C388" s="11" t="s">
        <v>883</v>
      </c>
      <c r="D388" s="4">
        <v>40</v>
      </c>
      <c r="E388" s="11" t="s">
        <v>740</v>
      </c>
      <c r="F388" s="11" t="e">
        <v>#N/A</v>
      </c>
      <c r="G388" s="11" t="e">
        <v>#N/A</v>
      </c>
      <c r="H388" s="11" t="e">
        <v>#N/A</v>
      </c>
      <c r="I388" s="11" t="e">
        <v>#N/A</v>
      </c>
      <c r="J388" s="12" t="e">
        <v>#N/A</v>
      </c>
    </row>
    <row r="389" spans="1:10" x14ac:dyDescent="0.35">
      <c r="A389" s="13" t="s">
        <v>981</v>
      </c>
      <c r="B389" s="14">
        <v>45221.988888888889</v>
      </c>
      <c r="C389" s="15" t="s">
        <v>983</v>
      </c>
      <c r="D389" s="3">
        <v>72</v>
      </c>
      <c r="E389" s="15" t="s">
        <v>738</v>
      </c>
      <c r="F389" s="15" t="e">
        <v>#N/A</v>
      </c>
      <c r="G389" s="15" t="e">
        <v>#N/A</v>
      </c>
      <c r="H389" s="15" t="e">
        <v>#N/A</v>
      </c>
      <c r="I389" s="15" t="e">
        <v>#N/A</v>
      </c>
      <c r="J389" s="16" t="e">
        <v>#N/A</v>
      </c>
    </row>
    <row r="390" spans="1:10" x14ac:dyDescent="0.35">
      <c r="A390" s="9" t="s">
        <v>981</v>
      </c>
      <c r="B390" s="10">
        <v>45201.427083333343</v>
      </c>
      <c r="C390" s="11" t="s">
        <v>983</v>
      </c>
      <c r="D390" s="4">
        <v>98</v>
      </c>
      <c r="E390" s="11" t="s">
        <v>738</v>
      </c>
      <c r="F390" s="11" t="e">
        <v>#N/A</v>
      </c>
      <c r="G390" s="11" t="e">
        <v>#N/A</v>
      </c>
      <c r="H390" s="11" t="e">
        <v>#N/A</v>
      </c>
      <c r="I390" s="11" t="e">
        <v>#N/A</v>
      </c>
      <c r="J390" s="12" t="e">
        <v>#N/A</v>
      </c>
    </row>
    <row r="391" spans="1:10" x14ac:dyDescent="0.35">
      <c r="A391" s="13" t="s">
        <v>1314</v>
      </c>
      <c r="B391" s="14">
        <v>45203.425694444442</v>
      </c>
      <c r="C391" s="15" t="s">
        <v>1332</v>
      </c>
      <c r="D391" s="3">
        <v>62</v>
      </c>
      <c r="E391" s="15" t="s">
        <v>735</v>
      </c>
      <c r="F391" s="15" t="e">
        <v>#N/A</v>
      </c>
      <c r="G391" s="15" t="e">
        <v>#N/A</v>
      </c>
      <c r="H391" s="15" t="e">
        <v>#N/A</v>
      </c>
      <c r="I391" s="15" t="e">
        <v>#N/A</v>
      </c>
      <c r="J391" s="16" t="e">
        <v>#N/A</v>
      </c>
    </row>
    <row r="392" spans="1:10" x14ac:dyDescent="0.35">
      <c r="A392" s="9" t="s">
        <v>942</v>
      </c>
      <c r="B392" s="10">
        <v>45212.624305555553</v>
      </c>
      <c r="C392" s="11" t="s">
        <v>943</v>
      </c>
      <c r="D392" s="4">
        <v>113</v>
      </c>
      <c r="E392" s="11" t="s">
        <v>740</v>
      </c>
      <c r="F392" s="11" t="e">
        <v>#N/A</v>
      </c>
      <c r="G392" s="11" t="e">
        <v>#N/A</v>
      </c>
      <c r="H392" s="11" t="e">
        <v>#N/A</v>
      </c>
      <c r="I392" s="11" t="e">
        <v>#N/A</v>
      </c>
      <c r="J392" s="12" t="e">
        <v>#N/A</v>
      </c>
    </row>
    <row r="393" spans="1:10" x14ac:dyDescent="0.35">
      <c r="A393" s="13" t="s">
        <v>1091</v>
      </c>
      <c r="B393" s="14">
        <v>45218.242361111108</v>
      </c>
      <c r="C393" s="15" t="s">
        <v>943</v>
      </c>
      <c r="D393" s="3">
        <v>64</v>
      </c>
      <c r="E393" s="15" t="s">
        <v>735</v>
      </c>
      <c r="F393" s="15" t="e">
        <v>#N/A</v>
      </c>
      <c r="G393" s="15" t="e">
        <v>#N/A</v>
      </c>
      <c r="H393" s="15" t="e">
        <v>#N/A</v>
      </c>
      <c r="I393" s="15" t="e">
        <v>#N/A</v>
      </c>
      <c r="J393" s="16" t="e">
        <v>#N/A</v>
      </c>
    </row>
    <row r="394" spans="1:10" x14ac:dyDescent="0.35">
      <c r="A394" s="9" t="s">
        <v>1247</v>
      </c>
      <c r="B394" s="10">
        <v>45202.868055555547</v>
      </c>
      <c r="C394" s="11" t="s">
        <v>943</v>
      </c>
      <c r="D394" s="4">
        <v>91</v>
      </c>
      <c r="E394" s="11" t="s">
        <v>738</v>
      </c>
      <c r="F394" s="11" t="e">
        <v>#N/A</v>
      </c>
      <c r="G394" s="11" t="e">
        <v>#N/A</v>
      </c>
      <c r="H394" s="11" t="e">
        <v>#N/A</v>
      </c>
      <c r="I394" s="11" t="e">
        <v>#N/A</v>
      </c>
      <c r="J394" s="12" t="e">
        <v>#N/A</v>
      </c>
    </row>
    <row r="395" spans="1:10" x14ac:dyDescent="0.35">
      <c r="A395" s="13" t="s">
        <v>733</v>
      </c>
      <c r="B395" s="14">
        <v>45221.997916666667</v>
      </c>
      <c r="C395" s="15" t="s">
        <v>739</v>
      </c>
      <c r="D395" s="3">
        <v>79</v>
      </c>
      <c r="E395" s="15" t="s">
        <v>740</v>
      </c>
      <c r="F395" s="15" t="e">
        <v>#N/A</v>
      </c>
      <c r="G395" s="15" t="e">
        <v>#N/A</v>
      </c>
      <c r="H395" s="15" t="e">
        <v>#N/A</v>
      </c>
      <c r="I395" s="15" t="e">
        <v>#N/A</v>
      </c>
      <c r="J395" s="16" t="e">
        <v>#N/A</v>
      </c>
    </row>
    <row r="396" spans="1:10" x14ac:dyDescent="0.35">
      <c r="A396" s="9" t="s">
        <v>1171</v>
      </c>
      <c r="B396" s="10">
        <v>45207.304861111108</v>
      </c>
      <c r="C396" s="11" t="s">
        <v>739</v>
      </c>
      <c r="D396" s="4">
        <v>50</v>
      </c>
      <c r="E396" s="11" t="s">
        <v>738</v>
      </c>
      <c r="F396" s="11" t="e">
        <v>#N/A</v>
      </c>
      <c r="G396" s="11" t="e">
        <v>#N/A</v>
      </c>
      <c r="H396" s="11" t="e">
        <v>#N/A</v>
      </c>
      <c r="I396" s="11" t="e">
        <v>#N/A</v>
      </c>
      <c r="J396" s="12" t="e">
        <v>#N/A</v>
      </c>
    </row>
    <row r="397" spans="1:10" x14ac:dyDescent="0.35">
      <c r="A397" s="13" t="s">
        <v>1144</v>
      </c>
      <c r="B397" s="14">
        <v>45202.686111111107</v>
      </c>
      <c r="C397" s="15" t="s">
        <v>1165</v>
      </c>
      <c r="D397" s="3">
        <v>53</v>
      </c>
      <c r="E397" s="15" t="s">
        <v>735</v>
      </c>
      <c r="F397" s="15" t="e">
        <v>#N/A</v>
      </c>
      <c r="G397" s="15" t="e">
        <v>#N/A</v>
      </c>
      <c r="H397" s="15" t="e">
        <v>#N/A</v>
      </c>
      <c r="I397" s="15" t="e">
        <v>#N/A</v>
      </c>
      <c r="J397" s="16" t="e">
        <v>#N/A</v>
      </c>
    </row>
    <row r="398" spans="1:10" x14ac:dyDescent="0.35">
      <c r="A398" s="9" t="s">
        <v>1414</v>
      </c>
      <c r="B398" s="10">
        <v>45201.95416666667</v>
      </c>
      <c r="C398" s="11" t="s">
        <v>1419</v>
      </c>
      <c r="D398" s="4">
        <v>32</v>
      </c>
      <c r="E398" s="11" t="s">
        <v>738</v>
      </c>
      <c r="F398" s="11" t="e">
        <v>#N/A</v>
      </c>
      <c r="G398" s="11" t="e">
        <v>#N/A</v>
      </c>
      <c r="H398" s="11" t="e">
        <v>#N/A</v>
      </c>
      <c r="I398" s="11" t="e">
        <v>#N/A</v>
      </c>
      <c r="J398" s="12" t="e">
        <v>#N/A</v>
      </c>
    </row>
    <row r="399" spans="1:10" x14ac:dyDescent="0.35">
      <c r="A399" s="13" t="s">
        <v>1294</v>
      </c>
      <c r="B399" s="14">
        <v>45217.29583333333</v>
      </c>
      <c r="C399" s="15" t="s">
        <v>1296</v>
      </c>
      <c r="D399" s="3">
        <v>119</v>
      </c>
      <c r="E399" s="15" t="s">
        <v>735</v>
      </c>
      <c r="F399" s="15" t="e">
        <v>#N/A</v>
      </c>
      <c r="G399" s="15" t="e">
        <v>#N/A</v>
      </c>
      <c r="H399" s="15" t="e">
        <v>#N/A</v>
      </c>
      <c r="I399" s="15" t="e">
        <v>#N/A</v>
      </c>
      <c r="J399" s="16" t="e">
        <v>#N/A</v>
      </c>
    </row>
    <row r="400" spans="1:10" x14ac:dyDescent="0.35">
      <c r="A400" s="9" t="s">
        <v>1120</v>
      </c>
      <c r="B400" s="10">
        <v>45222.938194444447</v>
      </c>
      <c r="C400" s="11" t="s">
        <v>1143</v>
      </c>
      <c r="D400" s="4">
        <v>36</v>
      </c>
      <c r="E400" s="11" t="s">
        <v>735</v>
      </c>
      <c r="F400" s="11" t="e">
        <v>#N/A</v>
      </c>
      <c r="G400" s="11" t="e">
        <v>#N/A</v>
      </c>
      <c r="H400" s="11" t="e">
        <v>#N/A</v>
      </c>
      <c r="I400" s="11" t="e">
        <v>#N/A</v>
      </c>
      <c r="J400" s="12" t="e">
        <v>#N/A</v>
      </c>
    </row>
    <row r="401" spans="1:10" x14ac:dyDescent="0.35">
      <c r="A401" s="13" t="s">
        <v>1225</v>
      </c>
      <c r="B401" s="14">
        <v>45211.38958333333</v>
      </c>
      <c r="C401" s="15" t="s">
        <v>1230</v>
      </c>
      <c r="D401" s="3">
        <v>76</v>
      </c>
      <c r="E401" s="15" t="s">
        <v>738</v>
      </c>
      <c r="F401" s="15" t="e">
        <v>#N/A</v>
      </c>
      <c r="G401" s="15" t="e">
        <v>#N/A</v>
      </c>
      <c r="H401" s="15" t="e">
        <v>#N/A</v>
      </c>
      <c r="I401" s="15" t="e">
        <v>#N/A</v>
      </c>
      <c r="J401" s="16" t="e">
        <v>#N/A</v>
      </c>
    </row>
    <row r="402" spans="1:10" x14ac:dyDescent="0.35">
      <c r="A402" s="9" t="s">
        <v>826</v>
      </c>
      <c r="B402" s="10">
        <v>45212.929166666669</v>
      </c>
      <c r="C402" s="11" t="s">
        <v>845</v>
      </c>
      <c r="D402" s="4">
        <v>118</v>
      </c>
      <c r="E402" s="11" t="s">
        <v>740</v>
      </c>
      <c r="F402" s="11" t="e">
        <v>#N/A</v>
      </c>
      <c r="G402" s="11" t="e">
        <v>#N/A</v>
      </c>
      <c r="H402" s="11" t="e">
        <v>#N/A</v>
      </c>
      <c r="I402" s="11" t="e">
        <v>#N/A</v>
      </c>
      <c r="J402" s="12" t="e">
        <v>#N/A</v>
      </c>
    </row>
    <row r="403" spans="1:10" x14ac:dyDescent="0.35">
      <c r="A403" s="13" t="s">
        <v>864</v>
      </c>
      <c r="B403" s="14">
        <v>45215.143750000003</v>
      </c>
      <c r="C403" s="15" t="s">
        <v>902</v>
      </c>
      <c r="D403" s="3">
        <v>107</v>
      </c>
      <c r="E403" s="15" t="s">
        <v>738</v>
      </c>
      <c r="F403" s="15" t="e">
        <v>#N/A</v>
      </c>
      <c r="G403" s="15" t="e">
        <v>#N/A</v>
      </c>
      <c r="H403" s="15" t="e">
        <v>#N/A</v>
      </c>
      <c r="I403" s="15" t="e">
        <v>#N/A</v>
      </c>
      <c r="J403" s="16" t="e">
        <v>#N/A</v>
      </c>
    </row>
    <row r="404" spans="1:10" x14ac:dyDescent="0.35">
      <c r="A404" s="9" t="s">
        <v>1002</v>
      </c>
      <c r="B404" s="10">
        <v>45215.811111111107</v>
      </c>
      <c r="C404" s="11" t="s">
        <v>902</v>
      </c>
      <c r="D404" s="4">
        <v>7</v>
      </c>
      <c r="E404" s="11" t="s">
        <v>740</v>
      </c>
      <c r="F404" s="11" t="e">
        <v>#N/A</v>
      </c>
      <c r="G404" s="11" t="e">
        <v>#N/A</v>
      </c>
      <c r="H404" s="11" t="e">
        <v>#N/A</v>
      </c>
      <c r="I404" s="11" t="e">
        <v>#N/A</v>
      </c>
      <c r="J404" s="12" t="e">
        <v>#N/A</v>
      </c>
    </row>
    <row r="405" spans="1:10" x14ac:dyDescent="0.35">
      <c r="A405" s="13" t="s">
        <v>942</v>
      </c>
      <c r="B405" s="14">
        <v>45223.102083333331</v>
      </c>
      <c r="C405" s="15" t="s">
        <v>963</v>
      </c>
      <c r="D405" s="3">
        <v>104</v>
      </c>
      <c r="E405" s="15" t="s">
        <v>738</v>
      </c>
      <c r="F405" s="15" t="e">
        <v>#N/A</v>
      </c>
      <c r="G405" s="15" t="e">
        <v>#N/A</v>
      </c>
      <c r="H405" s="15" t="e">
        <v>#N/A</v>
      </c>
      <c r="I405" s="15" t="e">
        <v>#N/A</v>
      </c>
      <c r="J405" s="16" t="e">
        <v>#N/A</v>
      </c>
    </row>
    <row r="406" spans="1:10" x14ac:dyDescent="0.35">
      <c r="A406" s="9" t="s">
        <v>1247</v>
      </c>
      <c r="B406" s="10">
        <v>45201.04583333333</v>
      </c>
      <c r="C406" s="11" t="s">
        <v>963</v>
      </c>
      <c r="D406" s="4">
        <v>83</v>
      </c>
      <c r="E406" s="11" t="s">
        <v>738</v>
      </c>
      <c r="F406" s="11" t="e">
        <v>#N/A</v>
      </c>
      <c r="G406" s="11" t="e">
        <v>#N/A</v>
      </c>
      <c r="H406" s="11" t="e">
        <v>#N/A</v>
      </c>
      <c r="I406" s="11" t="e">
        <v>#N/A</v>
      </c>
      <c r="J406" s="12" t="e">
        <v>#N/A</v>
      </c>
    </row>
    <row r="407" spans="1:10" x14ac:dyDescent="0.35">
      <c r="A407" s="13" t="s">
        <v>1267</v>
      </c>
      <c r="B407" s="14">
        <v>45218.906944444447</v>
      </c>
      <c r="C407" s="15" t="s">
        <v>963</v>
      </c>
      <c r="D407" s="3">
        <v>8</v>
      </c>
      <c r="E407" s="15" t="s">
        <v>740</v>
      </c>
      <c r="F407" s="15" t="e">
        <v>#N/A</v>
      </c>
      <c r="G407" s="15" t="e">
        <v>#N/A</v>
      </c>
      <c r="H407" s="15" t="e">
        <v>#N/A</v>
      </c>
      <c r="I407" s="15" t="e">
        <v>#N/A</v>
      </c>
      <c r="J407" s="16" t="e">
        <v>#N/A</v>
      </c>
    </row>
    <row r="408" spans="1:10" x14ac:dyDescent="0.35">
      <c r="A408" s="9" t="s">
        <v>1314</v>
      </c>
      <c r="B408" s="10">
        <v>45230.767361111109</v>
      </c>
      <c r="C408" s="11" t="s">
        <v>1317</v>
      </c>
      <c r="D408" s="4">
        <v>16</v>
      </c>
      <c r="E408" s="11" t="s">
        <v>740</v>
      </c>
      <c r="F408" s="11" t="e">
        <v>#N/A</v>
      </c>
      <c r="G408" s="11" t="e">
        <v>#N/A</v>
      </c>
      <c r="H408" s="11" t="e">
        <v>#N/A</v>
      </c>
      <c r="I408" s="11" t="e">
        <v>#N/A</v>
      </c>
      <c r="J408" s="12" t="e">
        <v>#N/A</v>
      </c>
    </row>
    <row r="409" spans="1:10" x14ac:dyDescent="0.35">
      <c r="A409" s="13" t="s">
        <v>826</v>
      </c>
      <c r="B409" s="14">
        <v>45211.993055555547</v>
      </c>
      <c r="C409" s="15" t="s">
        <v>831</v>
      </c>
      <c r="D409" s="3">
        <v>29</v>
      </c>
      <c r="E409" s="15" t="s">
        <v>738</v>
      </c>
      <c r="F409" s="15" t="e">
        <v>#N/A</v>
      </c>
      <c r="G409" s="15" t="e">
        <v>#N/A</v>
      </c>
      <c r="H409" s="15" t="e">
        <v>#N/A</v>
      </c>
      <c r="I409" s="15" t="e">
        <v>#N/A</v>
      </c>
      <c r="J409" s="16" t="e">
        <v>#N/A</v>
      </c>
    </row>
    <row r="410" spans="1:10" x14ac:dyDescent="0.35">
      <c r="A410" s="9" t="s">
        <v>864</v>
      </c>
      <c r="B410" s="10">
        <v>45220.117361111108</v>
      </c>
      <c r="C410" s="11" t="s">
        <v>880</v>
      </c>
      <c r="D410" s="4">
        <v>39</v>
      </c>
      <c r="E410" s="11" t="s">
        <v>735</v>
      </c>
      <c r="F410" s="11" t="e">
        <v>#N/A</v>
      </c>
      <c r="G410" s="11" t="e">
        <v>#N/A</v>
      </c>
      <c r="H410" s="11" t="e">
        <v>#N/A</v>
      </c>
      <c r="I410" s="11" t="e">
        <v>#N/A</v>
      </c>
      <c r="J410" s="12" t="e">
        <v>#N/A</v>
      </c>
    </row>
    <row r="411" spans="1:10" x14ac:dyDescent="0.35">
      <c r="A411" s="13" t="s">
        <v>905</v>
      </c>
      <c r="B411" s="14">
        <v>45209.954861111109</v>
      </c>
      <c r="C411" s="15" t="s">
        <v>927</v>
      </c>
      <c r="D411" s="3">
        <v>57</v>
      </c>
      <c r="E411" s="15" t="s">
        <v>735</v>
      </c>
      <c r="F411" s="15" t="e">
        <v>#N/A</v>
      </c>
      <c r="G411" s="15" t="e">
        <v>#N/A</v>
      </c>
      <c r="H411" s="15" t="e">
        <v>#N/A</v>
      </c>
      <c r="I411" s="15" t="e">
        <v>#N/A</v>
      </c>
      <c r="J411" s="16" t="e">
        <v>#N/A</v>
      </c>
    </row>
    <row r="412" spans="1:10" x14ac:dyDescent="0.35">
      <c r="A412" s="9" t="s">
        <v>1225</v>
      </c>
      <c r="B412" s="10">
        <v>45218.558333333327</v>
      </c>
      <c r="C412" s="11" t="s">
        <v>927</v>
      </c>
      <c r="D412" s="4">
        <v>54</v>
      </c>
      <c r="E412" s="11" t="s">
        <v>740</v>
      </c>
      <c r="F412" s="11" t="e">
        <v>#N/A</v>
      </c>
      <c r="G412" s="11" t="e">
        <v>#N/A</v>
      </c>
      <c r="H412" s="11" t="e">
        <v>#N/A</v>
      </c>
      <c r="I412" s="11" t="e">
        <v>#N/A</v>
      </c>
      <c r="J412" s="12" t="e">
        <v>#N/A</v>
      </c>
    </row>
    <row r="413" spans="1:10" x14ac:dyDescent="0.35">
      <c r="A413" s="13" t="s">
        <v>733</v>
      </c>
      <c r="B413" s="14">
        <v>45220.94027777778</v>
      </c>
      <c r="C413" s="15" t="s">
        <v>746</v>
      </c>
      <c r="D413" s="3">
        <v>33</v>
      </c>
      <c r="E413" s="15" t="s">
        <v>740</v>
      </c>
      <c r="F413" s="15" t="e">
        <v>#N/A</v>
      </c>
      <c r="G413" s="15" t="e">
        <v>#N/A</v>
      </c>
      <c r="H413" s="15" t="e">
        <v>#N/A</v>
      </c>
      <c r="I413" s="15" t="e">
        <v>#N/A</v>
      </c>
      <c r="J413" s="16" t="e">
        <v>#N/A</v>
      </c>
    </row>
    <row r="414" spans="1:10" x14ac:dyDescent="0.35">
      <c r="A414" s="9" t="s">
        <v>733</v>
      </c>
      <c r="B414" s="10">
        <v>45227.48333333333</v>
      </c>
      <c r="C414" s="11" t="s">
        <v>746</v>
      </c>
      <c r="D414" s="4">
        <v>81</v>
      </c>
      <c r="E414" s="11" t="s">
        <v>738</v>
      </c>
      <c r="F414" s="11" t="e">
        <v>#N/A</v>
      </c>
      <c r="G414" s="11" t="e">
        <v>#N/A</v>
      </c>
      <c r="H414" s="11" t="e">
        <v>#N/A</v>
      </c>
      <c r="I414" s="11" t="e">
        <v>#N/A</v>
      </c>
      <c r="J414" s="12" t="e">
        <v>#N/A</v>
      </c>
    </row>
    <row r="415" spans="1:10" x14ac:dyDescent="0.35">
      <c r="A415" s="13" t="s">
        <v>1091</v>
      </c>
      <c r="B415" s="14">
        <v>45203.67291666667</v>
      </c>
      <c r="C415" s="15" t="s">
        <v>1109</v>
      </c>
      <c r="D415" s="3">
        <v>82</v>
      </c>
      <c r="E415" s="15" t="s">
        <v>735</v>
      </c>
      <c r="F415" s="15" t="e">
        <v>#N/A</v>
      </c>
      <c r="G415" s="15" t="e">
        <v>#N/A</v>
      </c>
      <c r="H415" s="15" t="e">
        <v>#N/A</v>
      </c>
      <c r="I415" s="15" t="e">
        <v>#N/A</v>
      </c>
      <c r="J415" s="16" t="e">
        <v>#N/A</v>
      </c>
    </row>
    <row r="416" spans="1:10" x14ac:dyDescent="0.35">
      <c r="A416" s="9" t="s">
        <v>1144</v>
      </c>
      <c r="B416" s="10">
        <v>45225.061805555553</v>
      </c>
      <c r="C416" s="11" t="s">
        <v>1166</v>
      </c>
      <c r="D416" s="4">
        <v>15</v>
      </c>
      <c r="E416" s="11" t="s">
        <v>740</v>
      </c>
      <c r="F416" s="11" t="e">
        <v>#N/A</v>
      </c>
      <c r="G416" s="11" t="e">
        <v>#N/A</v>
      </c>
      <c r="H416" s="11" t="e">
        <v>#N/A</v>
      </c>
      <c r="I416" s="11" t="e">
        <v>#N/A</v>
      </c>
      <c r="J416" s="12" t="e">
        <v>#N/A</v>
      </c>
    </row>
    <row r="417" spans="1:10" x14ac:dyDescent="0.35">
      <c r="A417" s="13" t="s">
        <v>1336</v>
      </c>
      <c r="B417" s="14">
        <v>45205.365972222222</v>
      </c>
      <c r="C417" s="15" t="s">
        <v>1166</v>
      </c>
      <c r="D417" s="3">
        <v>32</v>
      </c>
      <c r="E417" s="15" t="s">
        <v>735</v>
      </c>
      <c r="F417" s="15" t="e">
        <v>#N/A</v>
      </c>
      <c r="G417" s="15" t="e">
        <v>#N/A</v>
      </c>
      <c r="H417" s="15" t="e">
        <v>#N/A</v>
      </c>
      <c r="I417" s="15" t="e">
        <v>#N/A</v>
      </c>
      <c r="J417" s="16" t="e">
        <v>#N/A</v>
      </c>
    </row>
    <row r="418" spans="1:10" x14ac:dyDescent="0.35">
      <c r="A418" s="9" t="s">
        <v>826</v>
      </c>
      <c r="B418" s="10">
        <v>45214.613194444442</v>
      </c>
      <c r="C418" s="11" t="s">
        <v>853</v>
      </c>
      <c r="D418" s="4">
        <v>11</v>
      </c>
      <c r="E418" s="11" t="s">
        <v>740</v>
      </c>
      <c r="F418" s="11" t="e">
        <v>#N/A</v>
      </c>
      <c r="G418" s="11" t="e">
        <v>#N/A</v>
      </c>
      <c r="H418" s="11" t="e">
        <v>#N/A</v>
      </c>
      <c r="I418" s="11" t="e">
        <v>#N/A</v>
      </c>
      <c r="J418" s="12" t="e">
        <v>#N/A</v>
      </c>
    </row>
    <row r="419" spans="1:10" x14ac:dyDescent="0.35">
      <c r="A419" s="13" t="s">
        <v>1225</v>
      </c>
      <c r="B419" s="14">
        <v>45215.479166666657</v>
      </c>
      <c r="C419" s="15" t="s">
        <v>853</v>
      </c>
      <c r="D419" s="3">
        <v>67</v>
      </c>
      <c r="E419" s="15" t="s">
        <v>740</v>
      </c>
      <c r="F419" s="15" t="e">
        <v>#N/A</v>
      </c>
      <c r="G419" s="15" t="e">
        <v>#N/A</v>
      </c>
      <c r="H419" s="15" t="e">
        <v>#N/A</v>
      </c>
      <c r="I419" s="15" t="e">
        <v>#N/A</v>
      </c>
      <c r="J419" s="16" t="e">
        <v>#N/A</v>
      </c>
    </row>
    <row r="420" spans="1:10" x14ac:dyDescent="0.35">
      <c r="A420" s="9" t="s">
        <v>1199</v>
      </c>
      <c r="B420" s="10">
        <v>45202.095138888893</v>
      </c>
      <c r="C420" s="11" t="s">
        <v>1210</v>
      </c>
      <c r="D420" s="4">
        <v>61</v>
      </c>
      <c r="E420" s="11" t="s">
        <v>738</v>
      </c>
      <c r="F420" s="11" t="e">
        <v>#N/A</v>
      </c>
      <c r="G420" s="11" t="e">
        <v>#N/A</v>
      </c>
      <c r="H420" s="11" t="e">
        <v>#N/A</v>
      </c>
      <c r="I420" s="11" t="e">
        <v>#N/A</v>
      </c>
      <c r="J420" s="12" t="e">
        <v>#N/A</v>
      </c>
    </row>
    <row r="421" spans="1:10" x14ac:dyDescent="0.35">
      <c r="A421" s="13" t="s">
        <v>905</v>
      </c>
      <c r="B421" s="14">
        <v>45215.10833333333</v>
      </c>
      <c r="C421" s="15" t="s">
        <v>909</v>
      </c>
      <c r="D421" s="3">
        <v>39</v>
      </c>
      <c r="E421" s="15" t="s">
        <v>740</v>
      </c>
      <c r="F421" s="15" t="e">
        <v>#N/A</v>
      </c>
      <c r="G421" s="15" t="e">
        <v>#N/A</v>
      </c>
      <c r="H421" s="15" t="e">
        <v>#N/A</v>
      </c>
      <c r="I421" s="15" t="e">
        <v>#N/A</v>
      </c>
      <c r="J421" s="16" t="e">
        <v>#N/A</v>
      </c>
    </row>
    <row r="422" spans="1:10" x14ac:dyDescent="0.35">
      <c r="A422" s="9" t="s">
        <v>1225</v>
      </c>
      <c r="B422" s="10">
        <v>45214.272916666669</v>
      </c>
      <c r="C422" s="11" t="s">
        <v>909</v>
      </c>
      <c r="D422" s="4">
        <v>26</v>
      </c>
      <c r="E422" s="11" t="s">
        <v>738</v>
      </c>
      <c r="F422" s="11" t="e">
        <v>#N/A</v>
      </c>
      <c r="G422" s="11" t="e">
        <v>#N/A</v>
      </c>
      <c r="H422" s="11" t="e">
        <v>#N/A</v>
      </c>
      <c r="I422" s="11" t="e">
        <v>#N/A</v>
      </c>
      <c r="J422" s="12" t="e">
        <v>#N/A</v>
      </c>
    </row>
    <row r="423" spans="1:10" x14ac:dyDescent="0.35">
      <c r="A423" s="13" t="s">
        <v>1389</v>
      </c>
      <c r="B423" s="14">
        <v>45217.944444444453</v>
      </c>
      <c r="C423" s="15" t="s">
        <v>1403</v>
      </c>
      <c r="D423" s="3">
        <v>33</v>
      </c>
      <c r="E423" s="15" t="s">
        <v>735</v>
      </c>
      <c r="F423" s="15" t="e">
        <v>#N/A</v>
      </c>
      <c r="G423" s="15" t="e">
        <v>#N/A</v>
      </c>
      <c r="H423" s="15" t="e">
        <v>#N/A</v>
      </c>
      <c r="I423" s="15" t="e">
        <v>#N/A</v>
      </c>
      <c r="J423" s="16" t="e">
        <v>#N/A</v>
      </c>
    </row>
    <row r="424" spans="1:10" x14ac:dyDescent="0.35">
      <c r="A424" s="9" t="s">
        <v>733</v>
      </c>
      <c r="B424" s="10">
        <v>45227.329861111109</v>
      </c>
      <c r="C424" s="11" t="s">
        <v>762</v>
      </c>
      <c r="D424" s="4">
        <v>81</v>
      </c>
      <c r="E424" s="11" t="s">
        <v>738</v>
      </c>
      <c r="F424" s="11" t="e">
        <v>#N/A</v>
      </c>
      <c r="G424" s="11" t="e">
        <v>#N/A</v>
      </c>
      <c r="H424" s="11" t="e">
        <v>#N/A</v>
      </c>
      <c r="I424" s="11" t="e">
        <v>#N/A</v>
      </c>
      <c r="J424" s="12" t="e">
        <v>#N/A</v>
      </c>
    </row>
    <row r="425" spans="1:10" x14ac:dyDescent="0.35">
      <c r="A425" s="13" t="s">
        <v>1002</v>
      </c>
      <c r="B425" s="14">
        <v>45209.904861111107</v>
      </c>
      <c r="C425" s="15" t="s">
        <v>762</v>
      </c>
      <c r="D425" s="3">
        <v>45</v>
      </c>
      <c r="E425" s="15" t="s">
        <v>740</v>
      </c>
      <c r="F425" s="15" t="e">
        <v>#N/A</v>
      </c>
      <c r="G425" s="15" t="e">
        <v>#N/A</v>
      </c>
      <c r="H425" s="15" t="e">
        <v>#N/A</v>
      </c>
      <c r="I425" s="15" t="e">
        <v>#N/A</v>
      </c>
      <c r="J425" s="16" t="e">
        <v>#N/A</v>
      </c>
    </row>
    <row r="426" spans="1:10" x14ac:dyDescent="0.35">
      <c r="A426" s="9" t="s">
        <v>1063</v>
      </c>
      <c r="B426" s="10">
        <v>45220.428472222222</v>
      </c>
      <c r="C426" s="11" t="s">
        <v>762</v>
      </c>
      <c r="D426" s="4">
        <v>26</v>
      </c>
      <c r="E426" s="11" t="s">
        <v>740</v>
      </c>
      <c r="F426" s="11" t="e">
        <v>#N/A</v>
      </c>
      <c r="G426" s="11" t="e">
        <v>#N/A</v>
      </c>
      <c r="H426" s="11" t="e">
        <v>#N/A</v>
      </c>
      <c r="I426" s="11" t="e">
        <v>#N/A</v>
      </c>
      <c r="J426" s="12" t="e">
        <v>#N/A</v>
      </c>
    </row>
    <row r="427" spans="1:10" x14ac:dyDescent="0.35">
      <c r="A427" s="13" t="s">
        <v>1247</v>
      </c>
      <c r="B427" s="14">
        <v>45222.478472222218</v>
      </c>
      <c r="C427" s="15" t="s">
        <v>762</v>
      </c>
      <c r="D427" s="3">
        <v>72</v>
      </c>
      <c r="E427" s="15" t="s">
        <v>738</v>
      </c>
      <c r="F427" s="15" t="e">
        <v>#N/A</v>
      </c>
      <c r="G427" s="15" t="e">
        <v>#N/A</v>
      </c>
      <c r="H427" s="15" t="e">
        <v>#N/A</v>
      </c>
      <c r="I427" s="15" t="e">
        <v>#N/A</v>
      </c>
      <c r="J427" s="16" t="e">
        <v>#N/A</v>
      </c>
    </row>
    <row r="428" spans="1:10" x14ac:dyDescent="0.35">
      <c r="A428" s="9" t="s">
        <v>1225</v>
      </c>
      <c r="B428" s="10">
        <v>45209.581944444442</v>
      </c>
      <c r="C428" s="11" t="s">
        <v>1228</v>
      </c>
      <c r="D428" s="4">
        <v>93</v>
      </c>
      <c r="E428" s="11" t="s">
        <v>738</v>
      </c>
      <c r="F428" s="11" t="e">
        <v>#N/A</v>
      </c>
      <c r="G428" s="11" t="e">
        <v>#N/A</v>
      </c>
      <c r="H428" s="11" t="e">
        <v>#N/A</v>
      </c>
      <c r="I428" s="11" t="e">
        <v>#N/A</v>
      </c>
      <c r="J428" s="12" t="e">
        <v>#N/A</v>
      </c>
    </row>
    <row r="429" spans="1:10" x14ac:dyDescent="0.35">
      <c r="A429" s="13" t="s">
        <v>1063</v>
      </c>
      <c r="B429" s="14">
        <v>45201.457638888889</v>
      </c>
      <c r="C429" s="15" t="s">
        <v>1086</v>
      </c>
      <c r="D429" s="3">
        <v>42</v>
      </c>
      <c r="E429" s="15" t="s">
        <v>740</v>
      </c>
      <c r="F429" s="15" t="e">
        <v>#N/A</v>
      </c>
      <c r="G429" s="15" t="e">
        <v>#N/A</v>
      </c>
      <c r="H429" s="15" t="e">
        <v>#N/A</v>
      </c>
      <c r="I429" s="15" t="e">
        <v>#N/A</v>
      </c>
      <c r="J429" s="16" t="e">
        <v>#N/A</v>
      </c>
    </row>
    <row r="430" spans="1:10" x14ac:dyDescent="0.35">
      <c r="A430" s="9" t="s">
        <v>1247</v>
      </c>
      <c r="B430" s="10">
        <v>45204.84652777778</v>
      </c>
      <c r="C430" s="11" t="s">
        <v>1256</v>
      </c>
      <c r="D430" s="4">
        <v>16</v>
      </c>
      <c r="E430" s="11" t="s">
        <v>740</v>
      </c>
      <c r="F430" s="11" t="e">
        <v>#N/A</v>
      </c>
      <c r="G430" s="11" t="e">
        <v>#N/A</v>
      </c>
      <c r="H430" s="11" t="e">
        <v>#N/A</v>
      </c>
      <c r="I430" s="11" t="e">
        <v>#N/A</v>
      </c>
      <c r="J430" s="12" t="e">
        <v>#N/A</v>
      </c>
    </row>
    <row r="431" spans="1:10" x14ac:dyDescent="0.35">
      <c r="A431" s="13" t="s">
        <v>1389</v>
      </c>
      <c r="B431" s="14">
        <v>45221.339583333327</v>
      </c>
      <c r="C431" s="15" t="s">
        <v>1256</v>
      </c>
      <c r="D431" s="3">
        <v>97</v>
      </c>
      <c r="E431" s="15" t="s">
        <v>738</v>
      </c>
      <c r="F431" s="15" t="e">
        <v>#N/A</v>
      </c>
      <c r="G431" s="15" t="e">
        <v>#N/A</v>
      </c>
      <c r="H431" s="15" t="e">
        <v>#N/A</v>
      </c>
      <c r="I431" s="15" t="e">
        <v>#N/A</v>
      </c>
      <c r="J431" s="16" t="e">
        <v>#N/A</v>
      </c>
    </row>
    <row r="432" spans="1:10" x14ac:dyDescent="0.35">
      <c r="A432" s="9" t="s">
        <v>1199</v>
      </c>
      <c r="B432" s="10">
        <v>45213.328472222223</v>
      </c>
      <c r="C432" s="11" t="s">
        <v>1203</v>
      </c>
      <c r="D432" s="4">
        <v>22</v>
      </c>
      <c r="E432" s="11" t="s">
        <v>740</v>
      </c>
      <c r="F432" s="11" t="e">
        <v>#N/A</v>
      </c>
      <c r="G432" s="11" t="e">
        <v>#N/A</v>
      </c>
      <c r="H432" s="11" t="e">
        <v>#N/A</v>
      </c>
      <c r="I432" s="11" t="e">
        <v>#N/A</v>
      </c>
      <c r="J432" s="12" t="e">
        <v>#N/A</v>
      </c>
    </row>
    <row r="433" spans="1:10" x14ac:dyDescent="0.35">
      <c r="A433" s="13" t="s">
        <v>942</v>
      </c>
      <c r="B433" s="14">
        <v>45210.054166666669</v>
      </c>
      <c r="C433" s="15" t="s">
        <v>968</v>
      </c>
      <c r="D433" s="3">
        <v>68</v>
      </c>
      <c r="E433" s="15" t="s">
        <v>740</v>
      </c>
      <c r="F433" s="15" t="e">
        <v>#N/A</v>
      </c>
      <c r="G433" s="15" t="e">
        <v>#N/A</v>
      </c>
      <c r="H433" s="15" t="e">
        <v>#N/A</v>
      </c>
      <c r="I433" s="15" t="e">
        <v>#N/A</v>
      </c>
      <c r="J433" s="16" t="e">
        <v>#N/A</v>
      </c>
    </row>
    <row r="434" spans="1:10" x14ac:dyDescent="0.35">
      <c r="A434" s="9" t="s">
        <v>942</v>
      </c>
      <c r="B434" s="10">
        <v>45227.839583333327</v>
      </c>
      <c r="C434" s="11" t="s">
        <v>953</v>
      </c>
      <c r="D434" s="4">
        <v>94</v>
      </c>
      <c r="E434" s="11" t="s">
        <v>740</v>
      </c>
      <c r="F434" s="11" t="e">
        <v>#N/A</v>
      </c>
      <c r="G434" s="11" t="e">
        <v>#N/A</v>
      </c>
      <c r="H434" s="11" t="e">
        <v>#N/A</v>
      </c>
      <c r="I434" s="11" t="e">
        <v>#N/A</v>
      </c>
      <c r="J434" s="12" t="e">
        <v>#N/A</v>
      </c>
    </row>
    <row r="435" spans="1:10" x14ac:dyDescent="0.35">
      <c r="A435" s="13" t="s">
        <v>1171</v>
      </c>
      <c r="B435" s="14">
        <v>45211.705555555563</v>
      </c>
      <c r="C435" s="15" t="s">
        <v>1189</v>
      </c>
      <c r="D435" s="3">
        <v>95</v>
      </c>
      <c r="E435" s="15" t="s">
        <v>738</v>
      </c>
      <c r="F435" s="15" t="e">
        <v>#N/A</v>
      </c>
      <c r="G435" s="15" t="e">
        <v>#N/A</v>
      </c>
      <c r="H435" s="15" t="e">
        <v>#N/A</v>
      </c>
      <c r="I435" s="15" t="e">
        <v>#N/A</v>
      </c>
      <c r="J435" s="16" t="e">
        <v>#N/A</v>
      </c>
    </row>
    <row r="436" spans="1:10" x14ac:dyDescent="0.35">
      <c r="A436" s="9" t="s">
        <v>1199</v>
      </c>
      <c r="B436" s="10">
        <v>45207.772916666669</v>
      </c>
      <c r="C436" s="11" t="s">
        <v>1189</v>
      </c>
      <c r="D436" s="4">
        <v>55</v>
      </c>
      <c r="E436" s="11" t="s">
        <v>738</v>
      </c>
      <c r="F436" s="11" t="e">
        <v>#N/A</v>
      </c>
      <c r="G436" s="11" t="e">
        <v>#N/A</v>
      </c>
      <c r="H436" s="11" t="e">
        <v>#N/A</v>
      </c>
      <c r="I436" s="11" t="e">
        <v>#N/A</v>
      </c>
      <c r="J436" s="12" t="e">
        <v>#N/A</v>
      </c>
    </row>
    <row r="437" spans="1:10" x14ac:dyDescent="0.35">
      <c r="A437" s="13" t="s">
        <v>1199</v>
      </c>
      <c r="B437" s="14">
        <v>45205.89166666667</v>
      </c>
      <c r="C437" s="15" t="s">
        <v>1189</v>
      </c>
      <c r="D437" s="3">
        <v>45</v>
      </c>
      <c r="E437" s="15" t="s">
        <v>738</v>
      </c>
      <c r="F437" s="15" t="e">
        <v>#N/A</v>
      </c>
      <c r="G437" s="15" t="e">
        <v>#N/A</v>
      </c>
      <c r="H437" s="15" t="e">
        <v>#N/A</v>
      </c>
      <c r="I437" s="15" t="e">
        <v>#N/A</v>
      </c>
      <c r="J437" s="16" t="e">
        <v>#N/A</v>
      </c>
    </row>
    <row r="438" spans="1:10" x14ac:dyDescent="0.35">
      <c r="A438" s="9" t="s">
        <v>1199</v>
      </c>
      <c r="B438" s="10">
        <v>45203.003472222219</v>
      </c>
      <c r="C438" s="11" t="s">
        <v>1216</v>
      </c>
      <c r="D438" s="4">
        <v>46</v>
      </c>
      <c r="E438" s="11" t="s">
        <v>738</v>
      </c>
      <c r="F438" s="11" t="e">
        <v>#N/A</v>
      </c>
      <c r="G438" s="11" t="e">
        <v>#N/A</v>
      </c>
      <c r="H438" s="11" t="e">
        <v>#N/A</v>
      </c>
      <c r="I438" s="11" t="e">
        <v>#N/A</v>
      </c>
      <c r="J438" s="12" t="e">
        <v>#N/A</v>
      </c>
    </row>
    <row r="439" spans="1:10" x14ac:dyDescent="0.35">
      <c r="A439" s="13" t="s">
        <v>905</v>
      </c>
      <c r="B439" s="14">
        <v>45210.802777777782</v>
      </c>
      <c r="C439" s="15" t="s">
        <v>940</v>
      </c>
      <c r="D439" s="3">
        <v>9</v>
      </c>
      <c r="E439" s="15" t="s">
        <v>738</v>
      </c>
      <c r="F439" s="15" t="e">
        <v>#N/A</v>
      </c>
      <c r="G439" s="15" t="e">
        <v>#N/A</v>
      </c>
      <c r="H439" s="15" t="e">
        <v>#N/A</v>
      </c>
      <c r="I439" s="15" t="e">
        <v>#N/A</v>
      </c>
      <c r="J439" s="16" t="e">
        <v>#N/A</v>
      </c>
    </row>
    <row r="440" spans="1:10" x14ac:dyDescent="0.35">
      <c r="A440" s="9" t="s">
        <v>1414</v>
      </c>
      <c r="B440" s="10">
        <v>45221.578472222223</v>
      </c>
      <c r="C440" s="11" t="s">
        <v>940</v>
      </c>
      <c r="D440" s="4">
        <v>76</v>
      </c>
      <c r="E440" s="11" t="s">
        <v>740</v>
      </c>
      <c r="F440" s="11" t="e">
        <v>#N/A</v>
      </c>
      <c r="G440" s="11" t="e">
        <v>#N/A</v>
      </c>
      <c r="H440" s="11" t="e">
        <v>#N/A</v>
      </c>
      <c r="I440" s="11" t="e">
        <v>#N/A</v>
      </c>
      <c r="J440" s="12" t="e">
        <v>#N/A</v>
      </c>
    </row>
    <row r="441" spans="1:10" x14ac:dyDescent="0.35">
      <c r="A441" s="13" t="s">
        <v>1314</v>
      </c>
      <c r="B441" s="14">
        <v>45212.774305555547</v>
      </c>
      <c r="C441" s="15" t="s">
        <v>1334</v>
      </c>
      <c r="D441" s="3">
        <v>33</v>
      </c>
      <c r="E441" s="15" t="s">
        <v>735</v>
      </c>
      <c r="F441" s="15" t="e">
        <v>#N/A</v>
      </c>
      <c r="G441" s="15" t="e">
        <v>#N/A</v>
      </c>
      <c r="H441" s="15" t="e">
        <v>#N/A</v>
      </c>
      <c r="I441" s="15" t="e">
        <v>#N/A</v>
      </c>
      <c r="J441" s="16" t="e">
        <v>#N/A</v>
      </c>
    </row>
    <row r="442" spans="1:10" x14ac:dyDescent="0.35">
      <c r="A442" s="9" t="s">
        <v>1336</v>
      </c>
      <c r="B442" s="10">
        <v>45218.287499999999</v>
      </c>
      <c r="C442" s="11" t="s">
        <v>1350</v>
      </c>
      <c r="D442" s="4">
        <v>71</v>
      </c>
      <c r="E442" s="11" t="s">
        <v>740</v>
      </c>
      <c r="F442" s="11" t="e">
        <v>#N/A</v>
      </c>
      <c r="G442" s="11" t="e">
        <v>#N/A</v>
      </c>
      <c r="H442" s="11" t="e">
        <v>#N/A</v>
      </c>
      <c r="I442" s="11" t="e">
        <v>#N/A</v>
      </c>
      <c r="J442" s="12" t="e">
        <v>#N/A</v>
      </c>
    </row>
    <row r="443" spans="1:10" x14ac:dyDescent="0.35">
      <c r="A443" s="13" t="s">
        <v>1314</v>
      </c>
      <c r="B443" s="14">
        <v>45207.472222222219</v>
      </c>
      <c r="C443" s="15" t="s">
        <v>1320</v>
      </c>
      <c r="D443" s="3">
        <v>30</v>
      </c>
      <c r="E443" s="15" t="s">
        <v>740</v>
      </c>
      <c r="F443" s="15" t="e">
        <v>#N/A</v>
      </c>
      <c r="G443" s="15" t="e">
        <v>#N/A</v>
      </c>
      <c r="H443" s="15" t="e">
        <v>#N/A</v>
      </c>
      <c r="I443" s="15" t="e">
        <v>#N/A</v>
      </c>
      <c r="J443" s="16" t="e">
        <v>#N/A</v>
      </c>
    </row>
    <row r="444" spans="1:10" x14ac:dyDescent="0.35">
      <c r="A444" s="9" t="s">
        <v>1294</v>
      </c>
      <c r="B444" s="10">
        <v>45221.549305555563</v>
      </c>
      <c r="C444" s="11" t="s">
        <v>1305</v>
      </c>
      <c r="D444" s="4">
        <v>39</v>
      </c>
      <c r="E444" s="11" t="s">
        <v>738</v>
      </c>
      <c r="F444" s="11" t="e">
        <v>#N/A</v>
      </c>
      <c r="G444" s="11" t="e">
        <v>#N/A</v>
      </c>
      <c r="H444" s="11" t="e">
        <v>#N/A</v>
      </c>
      <c r="I444" s="11" t="e">
        <v>#N/A</v>
      </c>
      <c r="J444" s="12" t="e">
        <v>#N/A</v>
      </c>
    </row>
    <row r="445" spans="1:10" x14ac:dyDescent="0.35">
      <c r="A445" s="13" t="s">
        <v>1091</v>
      </c>
      <c r="B445" s="14">
        <v>45210.836111111108</v>
      </c>
      <c r="C445" s="15" t="s">
        <v>1104</v>
      </c>
      <c r="D445" s="3">
        <v>25</v>
      </c>
      <c r="E445" s="15" t="s">
        <v>740</v>
      </c>
      <c r="F445" s="15" t="e">
        <v>#N/A</v>
      </c>
      <c r="G445" s="15" t="e">
        <v>#N/A</v>
      </c>
      <c r="H445" s="15" t="e">
        <v>#N/A</v>
      </c>
      <c r="I445" s="15" t="e">
        <v>#N/A</v>
      </c>
      <c r="J445" s="16" t="e">
        <v>#N/A</v>
      </c>
    </row>
    <row r="446" spans="1:10" x14ac:dyDescent="0.35">
      <c r="A446" s="9" t="s">
        <v>1267</v>
      </c>
      <c r="B446" s="10">
        <v>45225.949305555558</v>
      </c>
      <c r="C446" s="11" t="s">
        <v>1287</v>
      </c>
      <c r="D446" s="4">
        <v>117</v>
      </c>
      <c r="E446" s="11" t="s">
        <v>735</v>
      </c>
      <c r="F446" s="11" t="e">
        <v>#N/A</v>
      </c>
      <c r="G446" s="11" t="e">
        <v>#N/A</v>
      </c>
      <c r="H446" s="11" t="e">
        <v>#N/A</v>
      </c>
      <c r="I446" s="11" t="e">
        <v>#N/A</v>
      </c>
      <c r="J446" s="12" t="e">
        <v>#N/A</v>
      </c>
    </row>
    <row r="447" spans="1:10" x14ac:dyDescent="0.35">
      <c r="A447" s="13" t="s">
        <v>1144</v>
      </c>
      <c r="B447" s="14">
        <v>45219.106249999997</v>
      </c>
      <c r="C447" s="15" t="s">
        <v>1159</v>
      </c>
      <c r="D447" s="3">
        <v>87</v>
      </c>
      <c r="E447" s="15" t="s">
        <v>738</v>
      </c>
      <c r="F447" s="15" t="e">
        <v>#N/A</v>
      </c>
      <c r="G447" s="15" t="e">
        <v>#N/A</v>
      </c>
      <c r="H447" s="15" t="e">
        <v>#N/A</v>
      </c>
      <c r="I447" s="15" t="e">
        <v>#N/A</v>
      </c>
      <c r="J447" s="16" t="e">
        <v>#N/A</v>
      </c>
    </row>
    <row r="448" spans="1:10" x14ac:dyDescent="0.35">
      <c r="A448" s="9" t="s">
        <v>1225</v>
      </c>
      <c r="B448" s="10">
        <v>45213.593055555553</v>
      </c>
      <c r="C448" s="11" t="s">
        <v>1159</v>
      </c>
      <c r="D448" s="4">
        <v>50</v>
      </c>
      <c r="E448" s="11" t="s">
        <v>740</v>
      </c>
      <c r="F448" s="11" t="e">
        <v>#N/A</v>
      </c>
      <c r="G448" s="11" t="e">
        <v>#N/A</v>
      </c>
      <c r="H448" s="11" t="e">
        <v>#N/A</v>
      </c>
      <c r="I448" s="11" t="e">
        <v>#N/A</v>
      </c>
      <c r="J448" s="12" t="e">
        <v>#N/A</v>
      </c>
    </row>
    <row r="449" spans="1:10" x14ac:dyDescent="0.35">
      <c r="A449" s="13" t="s">
        <v>1171</v>
      </c>
      <c r="B449" s="14">
        <v>45217.863194444442</v>
      </c>
      <c r="C449" s="15" t="s">
        <v>1197</v>
      </c>
      <c r="D449" s="3">
        <v>89</v>
      </c>
      <c r="E449" s="15" t="s">
        <v>735</v>
      </c>
      <c r="F449" s="15" t="e">
        <v>#N/A</v>
      </c>
      <c r="G449" s="15" t="e">
        <v>#N/A</v>
      </c>
      <c r="H449" s="15" t="e">
        <v>#N/A</v>
      </c>
      <c r="I449" s="15" t="e">
        <v>#N/A</v>
      </c>
      <c r="J449" s="16" t="e">
        <v>#N/A</v>
      </c>
    </row>
    <row r="450" spans="1:10" x14ac:dyDescent="0.35">
      <c r="A450" s="9" t="s">
        <v>826</v>
      </c>
      <c r="B450" s="10">
        <v>45213.112500000003</v>
      </c>
      <c r="C450" s="11" t="s">
        <v>839</v>
      </c>
      <c r="D450" s="4">
        <v>93</v>
      </c>
      <c r="E450" s="11" t="s">
        <v>735</v>
      </c>
      <c r="F450" s="11" t="e">
        <v>#N/A</v>
      </c>
      <c r="G450" s="11" t="e">
        <v>#N/A</v>
      </c>
      <c r="H450" s="11" t="e">
        <v>#N/A</v>
      </c>
      <c r="I450" s="11" t="e">
        <v>#N/A</v>
      </c>
      <c r="J450" s="12" t="e">
        <v>#N/A</v>
      </c>
    </row>
    <row r="451" spans="1:10" x14ac:dyDescent="0.35">
      <c r="A451" s="13" t="s">
        <v>942</v>
      </c>
      <c r="B451" s="14">
        <v>45207.611111111109</v>
      </c>
      <c r="C451" s="15" t="s">
        <v>839</v>
      </c>
      <c r="D451" s="3">
        <v>107</v>
      </c>
      <c r="E451" s="15" t="s">
        <v>738</v>
      </c>
      <c r="F451" s="15" t="e">
        <v>#N/A</v>
      </c>
      <c r="G451" s="15" t="e">
        <v>#N/A</v>
      </c>
      <c r="H451" s="15" t="e">
        <v>#N/A</v>
      </c>
      <c r="I451" s="15" t="e">
        <v>#N/A</v>
      </c>
      <c r="J451" s="16" t="e">
        <v>#N/A</v>
      </c>
    </row>
    <row r="452" spans="1:10" x14ac:dyDescent="0.35">
      <c r="A452" s="9" t="s">
        <v>1351</v>
      </c>
      <c r="B452" s="10">
        <v>45220.96875</v>
      </c>
      <c r="C452" s="11" t="s">
        <v>839</v>
      </c>
      <c r="D452" s="4">
        <v>103</v>
      </c>
      <c r="E452" s="11" t="s">
        <v>735</v>
      </c>
      <c r="F452" s="11" t="e">
        <v>#N/A</v>
      </c>
      <c r="G452" s="11" t="e">
        <v>#N/A</v>
      </c>
      <c r="H452" s="11" t="e">
        <v>#N/A</v>
      </c>
      <c r="I452" s="11" t="e">
        <v>#N/A</v>
      </c>
      <c r="J452" s="12" t="e">
        <v>#N/A</v>
      </c>
    </row>
    <row r="453" spans="1:10" x14ac:dyDescent="0.35">
      <c r="A453" s="13" t="s">
        <v>1294</v>
      </c>
      <c r="B453" s="14">
        <v>45215.01666666667</v>
      </c>
      <c r="C453" s="15" t="s">
        <v>1304</v>
      </c>
      <c r="D453" s="3">
        <v>35</v>
      </c>
      <c r="E453" s="15" t="s">
        <v>738</v>
      </c>
      <c r="F453" s="15" t="e">
        <v>#N/A</v>
      </c>
      <c r="G453" s="15" t="e">
        <v>#N/A</v>
      </c>
      <c r="H453" s="15" t="e">
        <v>#N/A</v>
      </c>
      <c r="I453" s="15" t="e">
        <v>#N/A</v>
      </c>
      <c r="J453" s="16" t="e">
        <v>#N/A</v>
      </c>
    </row>
    <row r="454" spans="1:10" x14ac:dyDescent="0.35">
      <c r="A454" s="9" t="s">
        <v>942</v>
      </c>
      <c r="B454" s="10">
        <v>45210.979166666657</v>
      </c>
      <c r="C454" s="11" t="s">
        <v>946</v>
      </c>
      <c r="D454" s="4">
        <v>114</v>
      </c>
      <c r="E454" s="11" t="s">
        <v>740</v>
      </c>
      <c r="F454" s="11" t="e">
        <v>#N/A</v>
      </c>
      <c r="G454" s="11" t="e">
        <v>#N/A</v>
      </c>
      <c r="H454" s="11" t="e">
        <v>#N/A</v>
      </c>
      <c r="I454" s="11" t="e">
        <v>#N/A</v>
      </c>
      <c r="J454" s="12" t="e">
        <v>#N/A</v>
      </c>
    </row>
    <row r="455" spans="1:10" x14ac:dyDescent="0.35">
      <c r="A455" s="13" t="s">
        <v>1336</v>
      </c>
      <c r="B455" s="14">
        <v>45226.388194444437</v>
      </c>
      <c r="C455" s="15" t="s">
        <v>1341</v>
      </c>
      <c r="D455" s="3">
        <v>115</v>
      </c>
      <c r="E455" s="15" t="s">
        <v>740</v>
      </c>
      <c r="F455" s="15" t="e">
        <v>#N/A</v>
      </c>
      <c r="G455" s="15" t="e">
        <v>#N/A</v>
      </c>
      <c r="H455" s="15" t="e">
        <v>#N/A</v>
      </c>
      <c r="I455" s="15" t="e">
        <v>#N/A</v>
      </c>
      <c r="J455" s="16" t="e">
        <v>#N/A</v>
      </c>
    </row>
    <row r="456" spans="1:10" x14ac:dyDescent="0.35">
      <c r="A456" s="9" t="s">
        <v>826</v>
      </c>
      <c r="B456" s="10">
        <v>45209.268750000003</v>
      </c>
      <c r="C456" s="11" t="s">
        <v>852</v>
      </c>
      <c r="D456" s="4">
        <v>94</v>
      </c>
      <c r="E456" s="11" t="s">
        <v>738</v>
      </c>
      <c r="F456" s="11" t="e">
        <v>#N/A</v>
      </c>
      <c r="G456" s="11" t="e">
        <v>#N/A</v>
      </c>
      <c r="H456" s="11" t="e">
        <v>#N/A</v>
      </c>
      <c r="I456" s="11" t="e">
        <v>#N/A</v>
      </c>
      <c r="J456" s="12" t="e">
        <v>#N/A</v>
      </c>
    </row>
    <row r="457" spans="1:10" x14ac:dyDescent="0.35">
      <c r="A457" s="13" t="s">
        <v>1314</v>
      </c>
      <c r="B457" s="14">
        <v>45201.519444444442</v>
      </c>
      <c r="C457" s="15" t="s">
        <v>852</v>
      </c>
      <c r="D457" s="3">
        <v>113</v>
      </c>
      <c r="E457" s="15" t="s">
        <v>740</v>
      </c>
      <c r="F457" s="15" t="e">
        <v>#N/A</v>
      </c>
      <c r="G457" s="15" t="e">
        <v>#N/A</v>
      </c>
      <c r="H457" s="15" t="e">
        <v>#N/A</v>
      </c>
      <c r="I457" s="15" t="e">
        <v>#N/A</v>
      </c>
      <c r="J457" s="16" t="e">
        <v>#N/A</v>
      </c>
    </row>
    <row r="458" spans="1:10" x14ac:dyDescent="0.35">
      <c r="A458" s="9" t="s">
        <v>1336</v>
      </c>
      <c r="B458" s="10">
        <v>45211.01458333333</v>
      </c>
      <c r="C458" s="11" t="s">
        <v>1340</v>
      </c>
      <c r="D458" s="4">
        <v>7</v>
      </c>
      <c r="E458" s="11" t="s">
        <v>740</v>
      </c>
      <c r="F458" s="11" t="e">
        <v>#N/A</v>
      </c>
      <c r="G458" s="11" t="e">
        <v>#N/A</v>
      </c>
      <c r="H458" s="11" t="e">
        <v>#N/A</v>
      </c>
      <c r="I458" s="11" t="e">
        <v>#N/A</v>
      </c>
      <c r="J458" s="12" t="e">
        <v>#N/A</v>
      </c>
    </row>
    <row r="459" spans="1:10" x14ac:dyDescent="0.35">
      <c r="A459" s="13" t="s">
        <v>1389</v>
      </c>
      <c r="B459" s="14">
        <v>45230.90625</v>
      </c>
      <c r="C459" s="15" t="s">
        <v>1340</v>
      </c>
      <c r="D459" s="3">
        <v>87</v>
      </c>
      <c r="E459" s="15" t="s">
        <v>735</v>
      </c>
      <c r="F459" s="15" t="e">
        <v>#N/A</v>
      </c>
      <c r="G459" s="15" t="e">
        <v>#N/A</v>
      </c>
      <c r="H459" s="15" t="e">
        <v>#N/A</v>
      </c>
      <c r="I459" s="15" t="e">
        <v>#N/A</v>
      </c>
      <c r="J459" s="16" t="e">
        <v>#N/A</v>
      </c>
    </row>
    <row r="460" spans="1:10" x14ac:dyDescent="0.35">
      <c r="A460" s="9" t="s">
        <v>1267</v>
      </c>
      <c r="B460" s="10">
        <v>45225.553472222222</v>
      </c>
      <c r="C460" s="11" t="s">
        <v>1275</v>
      </c>
      <c r="D460" s="4">
        <v>120</v>
      </c>
      <c r="E460" s="11" t="s">
        <v>735</v>
      </c>
      <c r="F460" s="11" t="e">
        <v>#N/A</v>
      </c>
      <c r="G460" s="11" t="e">
        <v>#N/A</v>
      </c>
      <c r="H460" s="11" t="e">
        <v>#N/A</v>
      </c>
      <c r="I460" s="11" t="e">
        <v>#N/A</v>
      </c>
      <c r="J460" s="12" t="e">
        <v>#N/A</v>
      </c>
    </row>
    <row r="461" spans="1:10" x14ac:dyDescent="0.35">
      <c r="A461" s="13" t="s">
        <v>1267</v>
      </c>
      <c r="B461" s="14">
        <v>45225.553472222222</v>
      </c>
      <c r="C461" s="15" t="s">
        <v>1275</v>
      </c>
      <c r="D461" s="3">
        <v>120</v>
      </c>
      <c r="E461" s="15" t="s">
        <v>735</v>
      </c>
      <c r="F461" s="15" t="e">
        <v>#N/A</v>
      </c>
      <c r="G461" s="15" t="e">
        <v>#N/A</v>
      </c>
      <c r="H461" s="15" t="e">
        <v>#N/A</v>
      </c>
      <c r="I461" s="15" t="e">
        <v>#N/A</v>
      </c>
      <c r="J461" s="16" t="e">
        <v>#N/A</v>
      </c>
    </row>
    <row r="462" spans="1:10" x14ac:dyDescent="0.35">
      <c r="A462" s="9" t="s">
        <v>782</v>
      </c>
      <c r="B462" s="10">
        <v>45223.45208333333</v>
      </c>
      <c r="C462" s="11" t="s">
        <v>790</v>
      </c>
      <c r="D462" s="4">
        <v>117</v>
      </c>
      <c r="E462" s="11" t="s">
        <v>740</v>
      </c>
      <c r="F462" s="11" t="e">
        <v>#N/A</v>
      </c>
      <c r="G462" s="11" t="e">
        <v>#N/A</v>
      </c>
      <c r="H462" s="11" t="e">
        <v>#N/A</v>
      </c>
      <c r="I462" s="11" t="e">
        <v>#N/A</v>
      </c>
      <c r="J462" s="12" t="e">
        <v>#N/A</v>
      </c>
    </row>
    <row r="463" spans="1:10" x14ac:dyDescent="0.35">
      <c r="A463" s="13" t="s">
        <v>1028</v>
      </c>
      <c r="B463" s="14">
        <v>45211.382638888892</v>
      </c>
      <c r="C463" s="15" t="s">
        <v>790</v>
      </c>
      <c r="D463" s="3">
        <v>105</v>
      </c>
      <c r="E463" s="15" t="s">
        <v>735</v>
      </c>
      <c r="F463" s="15" t="e">
        <v>#N/A</v>
      </c>
      <c r="G463" s="15" t="e">
        <v>#N/A</v>
      </c>
      <c r="H463" s="15" t="e">
        <v>#N/A</v>
      </c>
      <c r="I463" s="15" t="e">
        <v>#N/A</v>
      </c>
      <c r="J463" s="16" t="e">
        <v>#N/A</v>
      </c>
    </row>
    <row r="464" spans="1:10" x14ac:dyDescent="0.35">
      <c r="A464" s="9" t="s">
        <v>1389</v>
      </c>
      <c r="B464" s="10">
        <v>45219.95</v>
      </c>
      <c r="C464" s="11" t="s">
        <v>790</v>
      </c>
      <c r="D464" s="4">
        <v>45</v>
      </c>
      <c r="E464" s="11" t="s">
        <v>740</v>
      </c>
      <c r="F464" s="11" t="e">
        <v>#N/A</v>
      </c>
      <c r="G464" s="11" t="e">
        <v>#N/A</v>
      </c>
      <c r="H464" s="11" t="e">
        <v>#N/A</v>
      </c>
      <c r="I464" s="11" t="e">
        <v>#N/A</v>
      </c>
      <c r="J464" s="12" t="e">
        <v>#N/A</v>
      </c>
    </row>
    <row r="465" spans="1:10" x14ac:dyDescent="0.35">
      <c r="A465" s="13" t="s">
        <v>1247</v>
      </c>
      <c r="B465" s="14">
        <v>45221.931944444441</v>
      </c>
      <c r="C465" s="15" t="s">
        <v>1249</v>
      </c>
      <c r="D465" s="3">
        <v>26</v>
      </c>
      <c r="E465" s="15" t="s">
        <v>735</v>
      </c>
      <c r="F465" s="15" t="e">
        <v>#N/A</v>
      </c>
      <c r="G465" s="15" t="e">
        <v>#N/A</v>
      </c>
      <c r="H465" s="15" t="e">
        <v>#N/A</v>
      </c>
      <c r="I465" s="15" t="e">
        <v>#N/A</v>
      </c>
      <c r="J465" s="16" t="e">
        <v>#N/A</v>
      </c>
    </row>
    <row r="466" spans="1:10" x14ac:dyDescent="0.35">
      <c r="A466" s="9" t="s">
        <v>1414</v>
      </c>
      <c r="B466" s="10">
        <v>45226.955555555563</v>
      </c>
      <c r="C466" s="11" t="s">
        <v>1416</v>
      </c>
      <c r="D466" s="4">
        <v>20</v>
      </c>
      <c r="E466" s="11" t="s">
        <v>738</v>
      </c>
      <c r="F466" s="11" t="e">
        <v>#N/A</v>
      </c>
      <c r="G466" s="11" t="e">
        <v>#N/A</v>
      </c>
      <c r="H466" s="11" t="e">
        <v>#N/A</v>
      </c>
      <c r="I466" s="11" t="e">
        <v>#N/A</v>
      </c>
      <c r="J466" s="12" t="e">
        <v>#N/A</v>
      </c>
    </row>
    <row r="467" spans="1:10" x14ac:dyDescent="0.35">
      <c r="A467" s="13" t="s">
        <v>782</v>
      </c>
      <c r="B467" s="14">
        <v>45225.660416666673</v>
      </c>
      <c r="C467" s="15" t="s">
        <v>784</v>
      </c>
      <c r="D467" s="3">
        <v>14</v>
      </c>
      <c r="E467" s="15" t="s">
        <v>735</v>
      </c>
      <c r="F467" s="15" t="e">
        <v>#N/A</v>
      </c>
      <c r="G467" s="15" t="e">
        <v>#N/A</v>
      </c>
      <c r="H467" s="15" t="e">
        <v>#N/A</v>
      </c>
      <c r="I467" s="15" t="e">
        <v>#N/A</v>
      </c>
      <c r="J467" s="16" t="e">
        <v>#N/A</v>
      </c>
    </row>
    <row r="468" spans="1:10" x14ac:dyDescent="0.35">
      <c r="A468" s="9" t="s">
        <v>981</v>
      </c>
      <c r="B468" s="10">
        <v>45208.047222222223</v>
      </c>
      <c r="C468" s="11" t="s">
        <v>784</v>
      </c>
      <c r="D468" s="4">
        <v>92</v>
      </c>
      <c r="E468" s="11" t="s">
        <v>740</v>
      </c>
      <c r="F468" s="11" t="e">
        <v>#N/A</v>
      </c>
      <c r="G468" s="11" t="e">
        <v>#N/A</v>
      </c>
      <c r="H468" s="11" t="e">
        <v>#N/A</v>
      </c>
      <c r="I468" s="11" t="e">
        <v>#N/A</v>
      </c>
      <c r="J468" s="12" t="e">
        <v>#N/A</v>
      </c>
    </row>
    <row r="469" spans="1:10" x14ac:dyDescent="0.35">
      <c r="A469" s="13" t="s">
        <v>1091</v>
      </c>
      <c r="B469" s="14">
        <v>45211.73333333333</v>
      </c>
      <c r="C469" s="15" t="s">
        <v>1098</v>
      </c>
      <c r="D469" s="3">
        <v>108</v>
      </c>
      <c r="E469" s="15" t="s">
        <v>738</v>
      </c>
      <c r="F469" s="15" t="e">
        <v>#N/A</v>
      </c>
      <c r="G469" s="15" t="e">
        <v>#N/A</v>
      </c>
      <c r="H469" s="15" t="e">
        <v>#N/A</v>
      </c>
      <c r="I469" s="15" t="e">
        <v>#N/A</v>
      </c>
      <c r="J469" s="16" t="e">
        <v>#N/A</v>
      </c>
    </row>
    <row r="470" spans="1:10" x14ac:dyDescent="0.35">
      <c r="A470" s="9" t="s">
        <v>905</v>
      </c>
      <c r="B470" s="10">
        <v>45204.20208333333</v>
      </c>
      <c r="C470" s="11" t="s">
        <v>911</v>
      </c>
      <c r="D470" s="4">
        <v>10</v>
      </c>
      <c r="E470" s="11" t="s">
        <v>735</v>
      </c>
      <c r="F470" s="11" t="e">
        <v>#N/A</v>
      </c>
      <c r="G470" s="11" t="e">
        <v>#N/A</v>
      </c>
      <c r="H470" s="11" t="e">
        <v>#N/A</v>
      </c>
      <c r="I470" s="11" t="e">
        <v>#N/A</v>
      </c>
      <c r="J470" s="12" t="e">
        <v>#N/A</v>
      </c>
    </row>
    <row r="471" spans="1:10" x14ac:dyDescent="0.35">
      <c r="A471" s="13" t="s">
        <v>1091</v>
      </c>
      <c r="B471" s="14">
        <v>45223.647916666669</v>
      </c>
      <c r="C471" s="15" t="s">
        <v>1102</v>
      </c>
      <c r="D471" s="3">
        <v>14</v>
      </c>
      <c r="E471" s="15" t="s">
        <v>740</v>
      </c>
      <c r="F471" s="15" t="e">
        <v>#N/A</v>
      </c>
      <c r="G471" s="15" t="e">
        <v>#N/A</v>
      </c>
      <c r="H471" s="15" t="e">
        <v>#N/A</v>
      </c>
      <c r="I471" s="15" t="e">
        <v>#N/A</v>
      </c>
      <c r="J471" s="16" t="e">
        <v>#N/A</v>
      </c>
    </row>
    <row r="472" spans="1:10" x14ac:dyDescent="0.35">
      <c r="A472" s="9" t="s">
        <v>1314</v>
      </c>
      <c r="B472" s="10">
        <v>45205.586111111108</v>
      </c>
      <c r="C472" s="11" t="s">
        <v>1326</v>
      </c>
      <c r="D472" s="4">
        <v>89</v>
      </c>
      <c r="E472" s="11" t="s">
        <v>740</v>
      </c>
      <c r="F472" s="11" t="e">
        <v>#N/A</v>
      </c>
      <c r="G472" s="11" t="e">
        <v>#N/A</v>
      </c>
      <c r="H472" s="11" t="e">
        <v>#N/A</v>
      </c>
      <c r="I472" s="11" t="e">
        <v>#N/A</v>
      </c>
      <c r="J472" s="12" t="e">
        <v>#N/A</v>
      </c>
    </row>
    <row r="473" spans="1:10" x14ac:dyDescent="0.35">
      <c r="A473" s="13" t="s">
        <v>905</v>
      </c>
      <c r="B473" s="14">
        <v>45224.683333333327</v>
      </c>
      <c r="C473" s="15" t="s">
        <v>916</v>
      </c>
      <c r="D473" s="3">
        <v>71</v>
      </c>
      <c r="E473" s="15" t="s">
        <v>735</v>
      </c>
      <c r="F473" s="15" t="e">
        <v>#N/A</v>
      </c>
      <c r="G473" s="15" t="e">
        <v>#N/A</v>
      </c>
      <c r="H473" s="15" t="e">
        <v>#N/A</v>
      </c>
      <c r="I473" s="15" t="e">
        <v>#N/A</v>
      </c>
      <c r="J473" s="16" t="e">
        <v>#N/A</v>
      </c>
    </row>
    <row r="474" spans="1:10" x14ac:dyDescent="0.35">
      <c r="A474" s="9" t="s">
        <v>1063</v>
      </c>
      <c r="B474" s="10">
        <v>45217.027777777781</v>
      </c>
      <c r="C474" s="11" t="s">
        <v>916</v>
      </c>
      <c r="D474" s="4">
        <v>54</v>
      </c>
      <c r="E474" s="11" t="s">
        <v>738</v>
      </c>
      <c r="F474" s="11" t="e">
        <v>#N/A</v>
      </c>
      <c r="G474" s="11" t="e">
        <v>#N/A</v>
      </c>
      <c r="H474" s="11" t="e">
        <v>#N/A</v>
      </c>
      <c r="I474" s="11" t="e">
        <v>#N/A</v>
      </c>
      <c r="J474" s="12" t="e">
        <v>#N/A</v>
      </c>
    </row>
    <row r="475" spans="1:10" x14ac:dyDescent="0.35">
      <c r="A475" s="13" t="s">
        <v>733</v>
      </c>
      <c r="B475" s="14">
        <v>45213.428472222222</v>
      </c>
      <c r="C475" s="15" t="s">
        <v>751</v>
      </c>
      <c r="D475" s="3">
        <v>101</v>
      </c>
      <c r="E475" s="15" t="s">
        <v>738</v>
      </c>
      <c r="F475" s="15" t="e">
        <v>#N/A</v>
      </c>
      <c r="G475" s="15" t="e">
        <v>#N/A</v>
      </c>
      <c r="H475" s="15" t="e">
        <v>#N/A</v>
      </c>
      <c r="I475" s="15" t="e">
        <v>#N/A</v>
      </c>
      <c r="J475" s="16" t="e">
        <v>#N/A</v>
      </c>
    </row>
    <row r="476" spans="1:10" x14ac:dyDescent="0.35">
      <c r="A476" s="9" t="s">
        <v>1002</v>
      </c>
      <c r="B476" s="10" t="s">
        <v>1022</v>
      </c>
      <c r="C476" s="11" t="s">
        <v>751</v>
      </c>
      <c r="D476" s="4">
        <v>10</v>
      </c>
      <c r="E476" s="11" t="s">
        <v>738</v>
      </c>
      <c r="F476" s="11" t="e">
        <v>#N/A</v>
      </c>
      <c r="G476" s="11" t="e">
        <v>#N/A</v>
      </c>
      <c r="H476" s="11" t="e">
        <v>#N/A</v>
      </c>
      <c r="I476" s="11" t="e">
        <v>#N/A</v>
      </c>
      <c r="J476" s="12" t="e">
        <v>#N/A</v>
      </c>
    </row>
    <row r="477" spans="1:10" x14ac:dyDescent="0.35">
      <c r="A477" s="13" t="s">
        <v>1028</v>
      </c>
      <c r="B477" s="14">
        <v>45220.452777777777</v>
      </c>
      <c r="C477" s="15" t="s">
        <v>1053</v>
      </c>
      <c r="D477" s="3">
        <v>35</v>
      </c>
      <c r="E477" s="15" t="s">
        <v>738</v>
      </c>
      <c r="F477" s="15" t="e">
        <v>#N/A</v>
      </c>
      <c r="G477" s="15" t="e">
        <v>#N/A</v>
      </c>
      <c r="H477" s="15" t="e">
        <v>#N/A</v>
      </c>
      <c r="I477" s="15" t="e">
        <v>#N/A</v>
      </c>
      <c r="J477" s="16" t="e">
        <v>#N/A</v>
      </c>
    </row>
    <row r="478" spans="1:10" x14ac:dyDescent="0.35">
      <c r="A478" s="9" t="s">
        <v>1225</v>
      </c>
      <c r="B478" s="10">
        <v>45226.90625</v>
      </c>
      <c r="C478" s="11" t="s">
        <v>1053</v>
      </c>
      <c r="D478" s="4">
        <v>26</v>
      </c>
      <c r="E478" s="11" t="s">
        <v>738</v>
      </c>
      <c r="F478" s="11" t="e">
        <v>#N/A</v>
      </c>
      <c r="G478" s="11" t="e">
        <v>#N/A</v>
      </c>
      <c r="H478" s="11" t="e">
        <v>#N/A</v>
      </c>
      <c r="I478" s="11" t="e">
        <v>#N/A</v>
      </c>
      <c r="J478" s="12" t="e">
        <v>#N/A</v>
      </c>
    </row>
    <row r="479" spans="1:10" x14ac:dyDescent="0.35">
      <c r="A479" s="13" t="s">
        <v>733</v>
      </c>
      <c r="B479" s="14">
        <v>45217.109027777777</v>
      </c>
      <c r="C479" s="15" t="s">
        <v>741</v>
      </c>
      <c r="D479" s="3">
        <v>59</v>
      </c>
      <c r="E479" s="15" t="s">
        <v>735</v>
      </c>
      <c r="F479" s="15" t="e">
        <v>#N/A</v>
      </c>
      <c r="G479" s="15" t="e">
        <v>#N/A</v>
      </c>
      <c r="H479" s="15" t="e">
        <v>#N/A</v>
      </c>
      <c r="I479" s="15" t="e">
        <v>#N/A</v>
      </c>
      <c r="J479" s="16" t="e">
        <v>#N/A</v>
      </c>
    </row>
    <row r="480" spans="1:10" x14ac:dyDescent="0.35">
      <c r="A480" s="9" t="s">
        <v>1144</v>
      </c>
      <c r="B480" s="10">
        <v>45222.771527777782</v>
      </c>
      <c r="C480" s="11" t="s">
        <v>741</v>
      </c>
      <c r="D480" s="4">
        <v>53</v>
      </c>
      <c r="E480" s="11" t="s">
        <v>740</v>
      </c>
      <c r="F480" s="11" t="e">
        <v>#N/A</v>
      </c>
      <c r="G480" s="11" t="e">
        <v>#N/A</v>
      </c>
      <c r="H480" s="11" t="e">
        <v>#N/A</v>
      </c>
      <c r="I480" s="11" t="e">
        <v>#N/A</v>
      </c>
      <c r="J480" s="12" t="e">
        <v>#N/A</v>
      </c>
    </row>
    <row r="481" spans="1:10" x14ac:dyDescent="0.35">
      <c r="A481" s="13" t="s">
        <v>1247</v>
      </c>
      <c r="B481" s="14">
        <v>45217.509027777778</v>
      </c>
      <c r="C481" s="15" t="s">
        <v>741</v>
      </c>
      <c r="D481" s="3">
        <v>49</v>
      </c>
      <c r="E481" s="15" t="s">
        <v>735</v>
      </c>
      <c r="F481" s="15" t="e">
        <v>#N/A</v>
      </c>
      <c r="G481" s="15" t="e">
        <v>#N/A</v>
      </c>
      <c r="H481" s="15" t="e">
        <v>#N/A</v>
      </c>
      <c r="I481" s="15" t="e">
        <v>#N/A</v>
      </c>
      <c r="J481" s="16" t="e">
        <v>#N/A</v>
      </c>
    </row>
    <row r="482" spans="1:10" x14ac:dyDescent="0.35">
      <c r="A482" s="9" t="s">
        <v>942</v>
      </c>
      <c r="B482" s="10">
        <v>45204.314583333333</v>
      </c>
      <c r="C482" s="11" t="s">
        <v>969</v>
      </c>
      <c r="D482" s="4">
        <v>120</v>
      </c>
      <c r="E482" s="11" t="s">
        <v>738</v>
      </c>
      <c r="F482" s="11" t="e">
        <v>#N/A</v>
      </c>
      <c r="G482" s="11" t="e">
        <v>#N/A</v>
      </c>
      <c r="H482" s="11" t="e">
        <v>#N/A</v>
      </c>
      <c r="I482" s="11" t="e">
        <v>#N/A</v>
      </c>
      <c r="J482" s="12" t="e">
        <v>#N/A</v>
      </c>
    </row>
    <row r="483" spans="1:10" x14ac:dyDescent="0.35">
      <c r="A483" s="13" t="s">
        <v>1091</v>
      </c>
      <c r="B483" s="14">
        <v>45208.194444444453</v>
      </c>
      <c r="C483" s="15" t="s">
        <v>1112</v>
      </c>
      <c r="D483" s="3">
        <v>98</v>
      </c>
      <c r="E483" s="15" t="s">
        <v>738</v>
      </c>
      <c r="F483" s="15" t="e">
        <v>#N/A</v>
      </c>
      <c r="G483" s="15" t="e">
        <v>#N/A</v>
      </c>
      <c r="H483" s="15" t="e">
        <v>#N/A</v>
      </c>
      <c r="I483" s="15" t="e">
        <v>#N/A</v>
      </c>
      <c r="J483" s="16" t="e">
        <v>#N/A</v>
      </c>
    </row>
    <row r="484" spans="1:10" x14ac:dyDescent="0.35">
      <c r="A484" s="9" t="s">
        <v>1294</v>
      </c>
      <c r="B484" s="10">
        <v>45211.290277777778</v>
      </c>
      <c r="C484" s="11" t="s">
        <v>1306</v>
      </c>
      <c r="D484" s="4">
        <v>73</v>
      </c>
      <c r="E484" s="11" t="s">
        <v>740</v>
      </c>
      <c r="F484" s="11" t="e">
        <v>#N/A</v>
      </c>
      <c r="G484" s="11" t="e">
        <v>#N/A</v>
      </c>
      <c r="H484" s="11" t="e">
        <v>#N/A</v>
      </c>
      <c r="I484" s="11" t="e">
        <v>#N/A</v>
      </c>
      <c r="J484" s="12" t="e">
        <v>#N/A</v>
      </c>
    </row>
    <row r="485" spans="1:10" x14ac:dyDescent="0.35">
      <c r="A485" s="13" t="s">
        <v>1314</v>
      </c>
      <c r="B485" s="14">
        <v>45210.24722222222</v>
      </c>
      <c r="C485" s="15" t="s">
        <v>1306</v>
      </c>
      <c r="D485" s="3">
        <v>74</v>
      </c>
      <c r="E485" s="15" t="s">
        <v>735</v>
      </c>
      <c r="F485" s="15" t="e">
        <v>#N/A</v>
      </c>
      <c r="G485" s="15" t="e">
        <v>#N/A</v>
      </c>
      <c r="H485" s="15" t="e">
        <v>#N/A</v>
      </c>
      <c r="I485" s="15" t="e">
        <v>#N/A</v>
      </c>
      <c r="J485" s="16" t="e">
        <v>#N/A</v>
      </c>
    </row>
    <row r="486" spans="1:10" x14ac:dyDescent="0.35">
      <c r="A486" s="9" t="s">
        <v>782</v>
      </c>
      <c r="B486" s="10">
        <v>45227.211111111108</v>
      </c>
      <c r="C486" s="11" t="s">
        <v>811</v>
      </c>
      <c r="D486" s="4">
        <v>38</v>
      </c>
      <c r="E486" s="11" t="s">
        <v>735</v>
      </c>
      <c r="F486" s="11" t="e">
        <v>#N/A</v>
      </c>
      <c r="G486" s="11" t="e">
        <v>#N/A</v>
      </c>
      <c r="H486" s="11" t="e">
        <v>#N/A</v>
      </c>
      <c r="I486" s="11" t="e">
        <v>#N/A</v>
      </c>
      <c r="J486" s="12" t="e">
        <v>#N/A</v>
      </c>
    </row>
    <row r="487" spans="1:10" x14ac:dyDescent="0.35">
      <c r="A487" s="13" t="s">
        <v>1247</v>
      </c>
      <c r="B487" s="14">
        <v>45226.163194444453</v>
      </c>
      <c r="C487" s="15" t="s">
        <v>1263</v>
      </c>
      <c r="D487" s="3">
        <v>36</v>
      </c>
      <c r="E487" s="15" t="s">
        <v>738</v>
      </c>
      <c r="F487" s="15" t="e">
        <v>#N/A</v>
      </c>
      <c r="G487" s="15" t="e">
        <v>#N/A</v>
      </c>
      <c r="H487" s="15" t="e">
        <v>#N/A</v>
      </c>
      <c r="I487" s="15" t="e">
        <v>#N/A</v>
      </c>
      <c r="J487" s="16" t="e">
        <v>#N/A</v>
      </c>
    </row>
    <row r="488" spans="1:10" x14ac:dyDescent="0.35">
      <c r="A488" s="9" t="s">
        <v>1368</v>
      </c>
      <c r="B488" s="10">
        <v>45225.779861111107</v>
      </c>
      <c r="C488" s="11" t="s">
        <v>1377</v>
      </c>
      <c r="D488" s="4">
        <v>69</v>
      </c>
      <c r="E488" s="11" t="s">
        <v>738</v>
      </c>
      <c r="F488" s="11" t="e">
        <v>#N/A</v>
      </c>
      <c r="G488" s="11" t="e">
        <v>#N/A</v>
      </c>
      <c r="H488" s="11" t="e">
        <v>#N/A</v>
      </c>
      <c r="I488" s="11" t="e">
        <v>#N/A</v>
      </c>
      <c r="J488" s="12" t="e">
        <v>#N/A</v>
      </c>
    </row>
    <row r="489" spans="1:10" x14ac:dyDescent="0.35">
      <c r="A489" s="13" t="s">
        <v>1368</v>
      </c>
      <c r="B489" s="14">
        <v>45225.779861111107</v>
      </c>
      <c r="C489" s="15" t="s">
        <v>1377</v>
      </c>
      <c r="D489" s="3">
        <v>69</v>
      </c>
      <c r="E489" s="15" t="s">
        <v>738</v>
      </c>
      <c r="F489" s="15" t="e">
        <v>#N/A</v>
      </c>
      <c r="G489" s="15" t="e">
        <v>#N/A</v>
      </c>
      <c r="H489" s="15" t="e">
        <v>#N/A</v>
      </c>
      <c r="I489" s="15" t="e">
        <v>#N/A</v>
      </c>
      <c r="J489" s="16" t="e">
        <v>#N/A</v>
      </c>
    </row>
    <row r="490" spans="1:10" x14ac:dyDescent="0.35">
      <c r="A490" s="9" t="s">
        <v>826</v>
      </c>
      <c r="B490" s="10">
        <v>45209.679861111108</v>
      </c>
      <c r="C490" s="11" t="s">
        <v>843</v>
      </c>
      <c r="D490" s="4">
        <v>115</v>
      </c>
      <c r="E490" s="11" t="s">
        <v>740</v>
      </c>
      <c r="F490" s="11" t="e">
        <v>#N/A</v>
      </c>
      <c r="G490" s="11" t="e">
        <v>#N/A</v>
      </c>
      <c r="H490" s="11" t="e">
        <v>#N/A</v>
      </c>
      <c r="I490" s="11" t="e">
        <v>#N/A</v>
      </c>
      <c r="J490" s="12" t="e">
        <v>#N/A</v>
      </c>
    </row>
    <row r="491" spans="1:10" x14ac:dyDescent="0.35">
      <c r="A491" s="13" t="s">
        <v>1267</v>
      </c>
      <c r="B491" s="14">
        <v>45228.01458333333</v>
      </c>
      <c r="C491" s="15" t="s">
        <v>843</v>
      </c>
      <c r="D491" s="3">
        <v>98</v>
      </c>
      <c r="E491" s="15" t="s">
        <v>735</v>
      </c>
      <c r="F491" s="15" t="e">
        <v>#N/A</v>
      </c>
      <c r="G491" s="15" t="e">
        <v>#N/A</v>
      </c>
      <c r="H491" s="15" t="e">
        <v>#N/A</v>
      </c>
      <c r="I491" s="15" t="e">
        <v>#N/A</v>
      </c>
      <c r="J491" s="16" t="e">
        <v>#N/A</v>
      </c>
    </row>
    <row r="492" spans="1:10" x14ac:dyDescent="0.35">
      <c r="A492" s="9" t="s">
        <v>1247</v>
      </c>
      <c r="B492" s="10">
        <v>45205.336805555547</v>
      </c>
      <c r="C492" s="11" t="s">
        <v>1257</v>
      </c>
      <c r="D492" s="4">
        <v>119</v>
      </c>
      <c r="E492" s="11" t="s">
        <v>740</v>
      </c>
      <c r="F492" s="11" t="e">
        <v>#N/A</v>
      </c>
      <c r="G492" s="11" t="e">
        <v>#N/A</v>
      </c>
      <c r="H492" s="11" t="e">
        <v>#N/A</v>
      </c>
      <c r="I492" s="11" t="e">
        <v>#N/A</v>
      </c>
      <c r="J492" s="12" t="e">
        <v>#N/A</v>
      </c>
    </row>
    <row r="493" spans="1:10" x14ac:dyDescent="0.35">
      <c r="A493" s="13" t="s">
        <v>1336</v>
      </c>
      <c r="B493" s="14">
        <v>45209.01666666667</v>
      </c>
      <c r="C493" s="15" t="s">
        <v>1349</v>
      </c>
      <c r="D493" s="3">
        <v>43</v>
      </c>
      <c r="E493" s="15" t="s">
        <v>735</v>
      </c>
      <c r="F493" s="15" t="e">
        <v>#N/A</v>
      </c>
      <c r="G493" s="15" t="e">
        <v>#N/A</v>
      </c>
      <c r="H493" s="15" t="e">
        <v>#N/A</v>
      </c>
      <c r="I493" s="15" t="e">
        <v>#N/A</v>
      </c>
      <c r="J493" s="16" t="e">
        <v>#N/A</v>
      </c>
    </row>
    <row r="494" spans="1:10" x14ac:dyDescent="0.35">
      <c r="A494" s="9" t="s">
        <v>1091</v>
      </c>
      <c r="B494" s="10">
        <v>45213.577777777777</v>
      </c>
      <c r="C494" s="11" t="s">
        <v>1103</v>
      </c>
      <c r="D494" s="4">
        <v>93</v>
      </c>
      <c r="E494" s="11" t="s">
        <v>738</v>
      </c>
      <c r="F494" s="11" t="e">
        <v>#N/A</v>
      </c>
      <c r="G494" s="11" t="e">
        <v>#N/A</v>
      </c>
      <c r="H494" s="11" t="e">
        <v>#N/A</v>
      </c>
      <c r="I494" s="11" t="e">
        <v>#N/A</v>
      </c>
      <c r="J494" s="12" t="e">
        <v>#N/A</v>
      </c>
    </row>
    <row r="495" spans="1:10" x14ac:dyDescent="0.35">
      <c r="A495" s="13" t="s">
        <v>1120</v>
      </c>
      <c r="B495" s="14">
        <v>45225.647916666669</v>
      </c>
      <c r="C495" s="15" t="s">
        <v>1122</v>
      </c>
      <c r="D495" s="3">
        <v>49</v>
      </c>
      <c r="E495" s="15" t="s">
        <v>735</v>
      </c>
      <c r="F495" s="15" t="e">
        <v>#N/A</v>
      </c>
      <c r="G495" s="15" t="e">
        <v>#N/A</v>
      </c>
      <c r="H495" s="15" t="e">
        <v>#N/A</v>
      </c>
      <c r="I495" s="15" t="e">
        <v>#N/A</v>
      </c>
      <c r="J495" s="16" t="e">
        <v>#N/A</v>
      </c>
    </row>
    <row r="496" spans="1:10" x14ac:dyDescent="0.35">
      <c r="A496" s="9" t="s">
        <v>782</v>
      </c>
      <c r="B496" s="10">
        <v>45203.059027777781</v>
      </c>
      <c r="C496" s="11" t="s">
        <v>789</v>
      </c>
      <c r="D496" s="4">
        <v>49</v>
      </c>
      <c r="E496" s="11" t="s">
        <v>735</v>
      </c>
      <c r="F496" s="11" t="e">
        <v>#N/A</v>
      </c>
      <c r="G496" s="11" t="e">
        <v>#N/A</v>
      </c>
      <c r="H496" s="11" t="e">
        <v>#N/A</v>
      </c>
      <c r="I496" s="11" t="e">
        <v>#N/A</v>
      </c>
      <c r="J496" s="12" t="e">
        <v>#N/A</v>
      </c>
    </row>
    <row r="497" spans="1:10" x14ac:dyDescent="0.35">
      <c r="A497" s="13" t="s">
        <v>1120</v>
      </c>
      <c r="B497" s="14">
        <v>45224.988194444442</v>
      </c>
      <c r="C497" s="15" t="s">
        <v>789</v>
      </c>
      <c r="D497" s="3">
        <v>39</v>
      </c>
      <c r="E497" s="15" t="s">
        <v>735</v>
      </c>
      <c r="F497" s="15" t="e">
        <v>#N/A</v>
      </c>
      <c r="G497" s="15" t="e">
        <v>#N/A</v>
      </c>
      <c r="H497" s="15" t="e">
        <v>#N/A</v>
      </c>
      <c r="I497" s="15" t="e">
        <v>#N/A</v>
      </c>
      <c r="J497" s="16" t="e">
        <v>#N/A</v>
      </c>
    </row>
    <row r="498" spans="1:10" x14ac:dyDescent="0.35">
      <c r="A498" s="9" t="s">
        <v>942</v>
      </c>
      <c r="B498" s="10">
        <v>45217.068749999999</v>
      </c>
      <c r="C498" s="11" t="s">
        <v>960</v>
      </c>
      <c r="D498" s="4">
        <v>77</v>
      </c>
      <c r="E498" s="11" t="s">
        <v>740</v>
      </c>
      <c r="F498" s="11" t="e">
        <v>#N/A</v>
      </c>
      <c r="G498" s="11" t="e">
        <v>#N/A</v>
      </c>
      <c r="H498" s="11" t="e">
        <v>#N/A</v>
      </c>
      <c r="I498" s="11" t="e">
        <v>#N/A</v>
      </c>
      <c r="J498" s="12" t="e">
        <v>#N/A</v>
      </c>
    </row>
    <row r="499" spans="1:10" x14ac:dyDescent="0.35">
      <c r="A499" s="13" t="s">
        <v>981</v>
      </c>
      <c r="B499" s="14">
        <v>45230.726388888892</v>
      </c>
      <c r="C499" s="15" t="s">
        <v>960</v>
      </c>
      <c r="D499" s="3">
        <v>19</v>
      </c>
      <c r="E499" s="15" t="s">
        <v>738</v>
      </c>
      <c r="F499" s="15" t="e">
        <v>#N/A</v>
      </c>
      <c r="G499" s="15" t="e">
        <v>#N/A</v>
      </c>
      <c r="H499" s="15" t="e">
        <v>#N/A</v>
      </c>
      <c r="I499" s="15" t="e">
        <v>#N/A</v>
      </c>
      <c r="J499" s="16" t="e">
        <v>#N/A</v>
      </c>
    </row>
    <row r="500" spans="1:10" x14ac:dyDescent="0.35">
      <c r="A500" s="9" t="s">
        <v>1171</v>
      </c>
      <c r="B500" s="10">
        <v>45219.793055555558</v>
      </c>
      <c r="C500" s="11" t="s">
        <v>960</v>
      </c>
      <c r="D500" s="4">
        <v>9</v>
      </c>
      <c r="E500" s="11" t="s">
        <v>738</v>
      </c>
      <c r="F500" s="11" t="e">
        <v>#N/A</v>
      </c>
      <c r="G500" s="11" t="e">
        <v>#N/A</v>
      </c>
      <c r="H500" s="11" t="e">
        <v>#N/A</v>
      </c>
      <c r="I500" s="11" t="e">
        <v>#N/A</v>
      </c>
      <c r="J500" s="12" t="e">
        <v>#N/A</v>
      </c>
    </row>
    <row r="501" spans="1:10" x14ac:dyDescent="0.35">
      <c r="A501" s="13" t="s">
        <v>1267</v>
      </c>
      <c r="B501" s="14">
        <v>45223.365277777782</v>
      </c>
      <c r="C501" s="15" t="s">
        <v>1274</v>
      </c>
      <c r="D501" s="3">
        <v>104</v>
      </c>
      <c r="E501" s="15" t="s">
        <v>738</v>
      </c>
      <c r="F501" s="15" t="e">
        <v>#N/A</v>
      </c>
      <c r="G501" s="15" t="e">
        <v>#N/A</v>
      </c>
      <c r="H501" s="15" t="e">
        <v>#N/A</v>
      </c>
      <c r="I501" s="15" t="e">
        <v>#N/A</v>
      </c>
      <c r="J501" s="16" t="e">
        <v>#N/A</v>
      </c>
    </row>
    <row r="502" spans="1:10" x14ac:dyDescent="0.35">
      <c r="A502" s="9" t="s">
        <v>1389</v>
      </c>
      <c r="B502" s="10">
        <v>45219.929166666669</v>
      </c>
      <c r="C502" s="11" t="s">
        <v>1401</v>
      </c>
      <c r="D502" s="4">
        <v>115</v>
      </c>
      <c r="E502" s="11" t="s">
        <v>735</v>
      </c>
      <c r="F502" s="11" t="e">
        <v>#N/A</v>
      </c>
      <c r="G502" s="11" t="e">
        <v>#N/A</v>
      </c>
      <c r="H502" s="11" t="e">
        <v>#N/A</v>
      </c>
      <c r="I502" s="11" t="e">
        <v>#N/A</v>
      </c>
      <c r="J502" s="12" t="e">
        <v>#N/A</v>
      </c>
    </row>
    <row r="503" spans="1:10" x14ac:dyDescent="0.35">
      <c r="A503" s="13" t="s">
        <v>1389</v>
      </c>
      <c r="B503" s="14">
        <v>45219.929166666669</v>
      </c>
      <c r="C503" s="15" t="s">
        <v>1401</v>
      </c>
      <c r="D503" s="3">
        <v>115</v>
      </c>
      <c r="E503" s="15" t="s">
        <v>735</v>
      </c>
      <c r="F503" s="15" t="e">
        <v>#N/A</v>
      </c>
      <c r="G503" s="15" t="e">
        <v>#N/A</v>
      </c>
      <c r="H503" s="15" t="e">
        <v>#N/A</v>
      </c>
      <c r="I503" s="15" t="e">
        <v>#N/A</v>
      </c>
      <c r="J503" s="16" t="e">
        <v>#N/A</v>
      </c>
    </row>
    <row r="504" spans="1:10" x14ac:dyDescent="0.35">
      <c r="A504" s="9" t="s">
        <v>1199</v>
      </c>
      <c r="B504" s="10">
        <v>45220.368055555547</v>
      </c>
      <c r="C504" s="11" t="s">
        <v>1205</v>
      </c>
      <c r="D504" s="4">
        <v>47</v>
      </c>
      <c r="E504" s="11" t="s">
        <v>740</v>
      </c>
      <c r="F504" s="11" t="e">
        <v>#N/A</v>
      </c>
      <c r="G504" s="11" t="e">
        <v>#N/A</v>
      </c>
      <c r="H504" s="11" t="e">
        <v>#N/A</v>
      </c>
      <c r="I504" s="11" t="e">
        <v>#N/A</v>
      </c>
      <c r="J504" s="12" t="e">
        <v>#N/A</v>
      </c>
    </row>
    <row r="505" spans="1:10" x14ac:dyDescent="0.35">
      <c r="A505" s="13" t="s">
        <v>1389</v>
      </c>
      <c r="B505" s="14">
        <v>45210.921527777777</v>
      </c>
      <c r="C505" s="15" t="s">
        <v>1205</v>
      </c>
      <c r="D505" s="3">
        <v>86</v>
      </c>
      <c r="E505" s="15" t="s">
        <v>738</v>
      </c>
      <c r="F505" s="15" t="e">
        <v>#N/A</v>
      </c>
      <c r="G505" s="15" t="e">
        <v>#N/A</v>
      </c>
      <c r="H505" s="15" t="e">
        <v>#N/A</v>
      </c>
      <c r="I505" s="15" t="e">
        <v>#N/A</v>
      </c>
      <c r="J505" s="16" t="e">
        <v>#N/A</v>
      </c>
    </row>
    <row r="506" spans="1:10" x14ac:dyDescent="0.35">
      <c r="A506" s="9" t="s">
        <v>1414</v>
      </c>
      <c r="B506" s="10">
        <v>45214.931250000001</v>
      </c>
      <c r="C506" s="11" t="s">
        <v>1205</v>
      </c>
      <c r="D506" s="4">
        <v>81</v>
      </c>
      <c r="E506" s="11" t="s">
        <v>738</v>
      </c>
      <c r="F506" s="11" t="e">
        <v>#N/A</v>
      </c>
      <c r="G506" s="11" t="e">
        <v>#N/A</v>
      </c>
      <c r="H506" s="11" t="e">
        <v>#N/A</v>
      </c>
      <c r="I506" s="11" t="e">
        <v>#N/A</v>
      </c>
      <c r="J506" s="12" t="e">
        <v>#N/A</v>
      </c>
    </row>
    <row r="507" spans="1:10" x14ac:dyDescent="0.35">
      <c r="A507" s="13" t="s">
        <v>1120</v>
      </c>
      <c r="B507" s="14">
        <v>45201.780555555553</v>
      </c>
      <c r="C507" s="15" t="s">
        <v>1133</v>
      </c>
      <c r="D507" s="3">
        <v>15</v>
      </c>
      <c r="E507" s="15" t="s">
        <v>735</v>
      </c>
      <c r="F507" s="15" t="e">
        <v>#N/A</v>
      </c>
      <c r="G507" s="15" t="e">
        <v>#N/A</v>
      </c>
      <c r="H507" s="15" t="e">
        <v>#N/A</v>
      </c>
      <c r="I507" s="15" t="e">
        <v>#N/A</v>
      </c>
      <c r="J507" s="16" t="e">
        <v>#N/A</v>
      </c>
    </row>
    <row r="508" spans="1:10" x14ac:dyDescent="0.35">
      <c r="A508" s="9" t="s">
        <v>1144</v>
      </c>
      <c r="B508" s="10">
        <v>45203.884027777778</v>
      </c>
      <c r="C508" s="11" t="s">
        <v>1164</v>
      </c>
      <c r="D508" s="4">
        <v>116</v>
      </c>
      <c r="E508" s="11" t="s">
        <v>738</v>
      </c>
      <c r="F508" s="11" t="e">
        <v>#N/A</v>
      </c>
      <c r="G508" s="11" t="e">
        <v>#N/A</v>
      </c>
      <c r="H508" s="11" t="e">
        <v>#N/A</v>
      </c>
      <c r="I508" s="11" t="e">
        <v>#N/A</v>
      </c>
      <c r="J508" s="12" t="e">
        <v>#N/A</v>
      </c>
    </row>
    <row r="509" spans="1:10" x14ac:dyDescent="0.35">
      <c r="A509" s="13" t="s">
        <v>1389</v>
      </c>
      <c r="B509" s="14">
        <v>45209.940972222219</v>
      </c>
      <c r="C509" s="15" t="s">
        <v>1164</v>
      </c>
      <c r="D509" s="3">
        <v>30</v>
      </c>
      <c r="E509" s="15" t="s">
        <v>740</v>
      </c>
      <c r="F509" s="15" t="e">
        <v>#N/A</v>
      </c>
      <c r="G509" s="15" t="e">
        <v>#N/A</v>
      </c>
      <c r="H509" s="15" t="e">
        <v>#N/A</v>
      </c>
      <c r="I509" s="15" t="e">
        <v>#N/A</v>
      </c>
      <c r="J509" s="16" t="e">
        <v>#N/A</v>
      </c>
    </row>
    <row r="510" spans="1:10" x14ac:dyDescent="0.35">
      <c r="A510" s="9" t="s">
        <v>1171</v>
      </c>
      <c r="B510" s="10">
        <v>45208.529861111107</v>
      </c>
      <c r="C510" s="11" t="s">
        <v>1181</v>
      </c>
      <c r="D510" s="4">
        <v>72</v>
      </c>
      <c r="E510" s="11" t="s">
        <v>740</v>
      </c>
      <c r="F510" s="11" t="e">
        <v>#N/A</v>
      </c>
      <c r="G510" s="11" t="e">
        <v>#N/A</v>
      </c>
      <c r="H510" s="11" t="e">
        <v>#N/A</v>
      </c>
      <c r="I510" s="11" t="e">
        <v>#N/A</v>
      </c>
      <c r="J510" s="12" t="e">
        <v>#N/A</v>
      </c>
    </row>
    <row r="511" spans="1:10" x14ac:dyDescent="0.35">
      <c r="A511" s="13" t="s">
        <v>942</v>
      </c>
      <c r="B511" s="14">
        <v>45205.102777777778</v>
      </c>
      <c r="C511" s="15" t="s">
        <v>977</v>
      </c>
      <c r="D511" s="3">
        <v>84</v>
      </c>
      <c r="E511" s="15" t="s">
        <v>740</v>
      </c>
      <c r="F511" s="15" t="e">
        <v>#N/A</v>
      </c>
      <c r="G511" s="15" t="e">
        <v>#N/A</v>
      </c>
      <c r="H511" s="15" t="e">
        <v>#N/A</v>
      </c>
      <c r="I511" s="15" t="e">
        <v>#N/A</v>
      </c>
      <c r="J511" s="16" t="e">
        <v>#N/A</v>
      </c>
    </row>
    <row r="512" spans="1:10" x14ac:dyDescent="0.35">
      <c r="A512" s="9" t="s">
        <v>782</v>
      </c>
      <c r="B512" s="10">
        <v>45201.670138888891</v>
      </c>
      <c r="C512" s="11" t="s">
        <v>810</v>
      </c>
      <c r="D512" s="4">
        <v>22</v>
      </c>
      <c r="E512" s="11" t="s">
        <v>740</v>
      </c>
      <c r="F512" s="11" t="e">
        <v>#N/A</v>
      </c>
      <c r="G512" s="11" t="e">
        <v>#N/A</v>
      </c>
      <c r="H512" s="11" t="e">
        <v>#N/A</v>
      </c>
      <c r="I512" s="11" t="e">
        <v>#N/A</v>
      </c>
      <c r="J512" s="12" t="e">
        <v>#N/A</v>
      </c>
    </row>
    <row r="513" spans="1:10" x14ac:dyDescent="0.35">
      <c r="A513" s="13" t="s">
        <v>1091</v>
      </c>
      <c r="B513" s="14">
        <v>45219.997916666667</v>
      </c>
      <c r="C513" s="15" t="s">
        <v>810</v>
      </c>
      <c r="D513" s="3">
        <v>102</v>
      </c>
      <c r="E513" s="15" t="s">
        <v>738</v>
      </c>
      <c r="F513" s="15" t="e">
        <v>#N/A</v>
      </c>
      <c r="G513" s="15" t="e">
        <v>#N/A</v>
      </c>
      <c r="H513" s="15" t="e">
        <v>#N/A</v>
      </c>
      <c r="I513" s="15" t="e">
        <v>#N/A</v>
      </c>
      <c r="J513" s="16" t="e">
        <v>#N/A</v>
      </c>
    </row>
    <row r="514" spans="1:10" x14ac:dyDescent="0.35">
      <c r="A514" s="9" t="s">
        <v>1091</v>
      </c>
      <c r="B514" s="10">
        <v>45225.177083333343</v>
      </c>
      <c r="C514" s="11" t="s">
        <v>1096</v>
      </c>
      <c r="D514" s="4">
        <v>36</v>
      </c>
      <c r="E514" s="11" t="s">
        <v>740</v>
      </c>
      <c r="F514" s="11" t="e">
        <v>#N/A</v>
      </c>
      <c r="G514" s="11" t="e">
        <v>#N/A</v>
      </c>
      <c r="H514" s="11" t="e">
        <v>#N/A</v>
      </c>
      <c r="I514" s="11" t="e">
        <v>#N/A</v>
      </c>
      <c r="J514" s="12" t="e">
        <v>#N/A</v>
      </c>
    </row>
    <row r="515" spans="1:10" x14ac:dyDescent="0.35">
      <c r="A515" s="13" t="s">
        <v>864</v>
      </c>
      <c r="B515" s="14">
        <v>45201.35</v>
      </c>
      <c r="C515" s="15" t="s">
        <v>873</v>
      </c>
      <c r="D515" s="3">
        <v>73</v>
      </c>
      <c r="E515" s="15" t="s">
        <v>735</v>
      </c>
      <c r="F515" s="15" t="e">
        <v>#N/A</v>
      </c>
      <c r="G515" s="15" t="e">
        <v>#N/A</v>
      </c>
      <c r="H515" s="15" t="e">
        <v>#N/A</v>
      </c>
      <c r="I515" s="15" t="e">
        <v>#N/A</v>
      </c>
      <c r="J515" s="16" t="e">
        <v>#N/A</v>
      </c>
    </row>
    <row r="516" spans="1:10" x14ac:dyDescent="0.35">
      <c r="A516" s="9" t="s">
        <v>1002</v>
      </c>
      <c r="B516" s="10">
        <v>45217.818749999999</v>
      </c>
      <c r="C516" s="11" t="s">
        <v>873</v>
      </c>
      <c r="D516" s="4">
        <v>100</v>
      </c>
      <c r="E516" s="11" t="s">
        <v>735</v>
      </c>
      <c r="F516" s="11" t="e">
        <v>#N/A</v>
      </c>
      <c r="G516" s="11" t="e">
        <v>#N/A</v>
      </c>
      <c r="H516" s="11" t="e">
        <v>#N/A</v>
      </c>
      <c r="I516" s="11" t="e">
        <v>#N/A</v>
      </c>
      <c r="J516" s="12" t="e">
        <v>#N/A</v>
      </c>
    </row>
    <row r="517" spans="1:10" x14ac:dyDescent="0.35">
      <c r="A517" s="13" t="s">
        <v>1063</v>
      </c>
      <c r="B517" s="14">
        <v>45217.701388888891</v>
      </c>
      <c r="C517" s="15" t="s">
        <v>873</v>
      </c>
      <c r="D517" s="3">
        <v>71</v>
      </c>
      <c r="E517" s="15" t="s">
        <v>738</v>
      </c>
      <c r="F517" s="15" t="e">
        <v>#N/A</v>
      </c>
      <c r="G517" s="15" t="e">
        <v>#N/A</v>
      </c>
      <c r="H517" s="15" t="e">
        <v>#N/A</v>
      </c>
      <c r="I517" s="15" t="e">
        <v>#N/A</v>
      </c>
      <c r="J517" s="16" t="e">
        <v>#N/A</v>
      </c>
    </row>
    <row r="518" spans="1:10" x14ac:dyDescent="0.35">
      <c r="A518" s="9" t="s">
        <v>1294</v>
      </c>
      <c r="B518" s="10">
        <v>45202.289583333331</v>
      </c>
      <c r="C518" s="11" t="s">
        <v>873</v>
      </c>
      <c r="D518" s="4">
        <v>103</v>
      </c>
      <c r="E518" s="11" t="s">
        <v>738</v>
      </c>
      <c r="F518" s="11" t="e">
        <v>#N/A</v>
      </c>
      <c r="G518" s="11" t="e">
        <v>#N/A</v>
      </c>
      <c r="H518" s="11" t="e">
        <v>#N/A</v>
      </c>
      <c r="I518" s="11" t="e">
        <v>#N/A</v>
      </c>
      <c r="J518" s="12" t="e">
        <v>#N/A</v>
      </c>
    </row>
    <row r="519" spans="1:10" x14ac:dyDescent="0.35">
      <c r="A519" s="13" t="s">
        <v>826</v>
      </c>
      <c r="B519" s="14">
        <v>45203.810416666667</v>
      </c>
      <c r="C519" s="15" t="s">
        <v>830</v>
      </c>
      <c r="D519" s="3">
        <v>78</v>
      </c>
      <c r="E519" s="15" t="s">
        <v>740</v>
      </c>
      <c r="F519" s="15" t="e">
        <v>#N/A</v>
      </c>
      <c r="G519" s="15" t="e">
        <v>#N/A</v>
      </c>
      <c r="H519" s="15" t="e">
        <v>#N/A</v>
      </c>
      <c r="I519" s="15" t="e">
        <v>#N/A</v>
      </c>
      <c r="J519" s="16" t="e">
        <v>#N/A</v>
      </c>
    </row>
    <row r="520" spans="1:10" x14ac:dyDescent="0.35">
      <c r="A520" s="9" t="s">
        <v>1368</v>
      </c>
      <c r="B520" s="10">
        <v>45213.584722222222</v>
      </c>
      <c r="C520" s="11" t="s">
        <v>1383</v>
      </c>
      <c r="D520" s="4">
        <v>35</v>
      </c>
      <c r="E520" s="11" t="s">
        <v>738</v>
      </c>
      <c r="F520" s="11" t="e">
        <v>#N/A</v>
      </c>
      <c r="G520" s="11" t="e">
        <v>#N/A</v>
      </c>
      <c r="H520" s="11" t="e">
        <v>#N/A</v>
      </c>
      <c r="I520" s="11" t="e">
        <v>#N/A</v>
      </c>
      <c r="J520" s="12" t="e">
        <v>#N/A</v>
      </c>
    </row>
    <row r="521" spans="1:10" x14ac:dyDescent="0.35">
      <c r="A521" s="13" t="s">
        <v>1063</v>
      </c>
      <c r="B521" s="14">
        <v>45226.895138888889</v>
      </c>
      <c r="C521" s="15" t="s">
        <v>1082</v>
      </c>
      <c r="D521" s="3">
        <v>42</v>
      </c>
      <c r="E521" s="15" t="s">
        <v>735</v>
      </c>
      <c r="F521" s="15" t="e">
        <v>#N/A</v>
      </c>
      <c r="G521" s="15" t="e">
        <v>#N/A</v>
      </c>
      <c r="H521" s="15" t="e">
        <v>#N/A</v>
      </c>
      <c r="I521" s="15" t="e">
        <v>#N/A</v>
      </c>
      <c r="J521" s="16" t="e">
        <v>#N/A</v>
      </c>
    </row>
    <row r="522" spans="1:10" x14ac:dyDescent="0.35">
      <c r="A522" s="9" t="s">
        <v>1199</v>
      </c>
      <c r="B522" s="10">
        <v>45223.513888888891</v>
      </c>
      <c r="C522" s="11" t="s">
        <v>1082</v>
      </c>
      <c r="D522" s="4">
        <v>109</v>
      </c>
      <c r="E522" s="11" t="s">
        <v>738</v>
      </c>
      <c r="F522" s="11" t="e">
        <v>#N/A</v>
      </c>
      <c r="G522" s="11" t="e">
        <v>#N/A</v>
      </c>
      <c r="H522" s="11" t="e">
        <v>#N/A</v>
      </c>
      <c r="I522" s="11" t="e">
        <v>#N/A</v>
      </c>
      <c r="J522" s="12" t="e">
        <v>#N/A</v>
      </c>
    </row>
    <row r="523" spans="1:10" x14ac:dyDescent="0.35">
      <c r="A523" s="13" t="s">
        <v>1336</v>
      </c>
      <c r="B523" s="14">
        <v>45208.494444444441</v>
      </c>
      <c r="C523" s="15" t="s">
        <v>1082</v>
      </c>
      <c r="D523" s="3">
        <v>59</v>
      </c>
      <c r="E523" s="15" t="s">
        <v>738</v>
      </c>
      <c r="F523" s="15" t="e">
        <v>#N/A</v>
      </c>
      <c r="G523" s="15" t="e">
        <v>#N/A</v>
      </c>
      <c r="H523" s="15" t="e">
        <v>#N/A</v>
      </c>
      <c r="I523" s="15" t="e">
        <v>#N/A</v>
      </c>
      <c r="J523" s="16" t="e">
        <v>#N/A</v>
      </c>
    </row>
    <row r="524" spans="1:10" x14ac:dyDescent="0.35">
      <c r="A524" s="9" t="s">
        <v>733</v>
      </c>
      <c r="B524" s="10">
        <v>45204.962500000001</v>
      </c>
      <c r="C524" s="11" t="s">
        <v>737</v>
      </c>
      <c r="D524" s="4">
        <v>100</v>
      </c>
      <c r="E524" s="11" t="s">
        <v>738</v>
      </c>
      <c r="F524" s="11" t="e">
        <v>#N/A</v>
      </c>
      <c r="G524" s="11" t="e">
        <v>#N/A</v>
      </c>
      <c r="H524" s="11" t="e">
        <v>#N/A</v>
      </c>
      <c r="I524" s="11" t="e">
        <v>#N/A</v>
      </c>
      <c r="J524" s="12" t="e">
        <v>#N/A</v>
      </c>
    </row>
    <row r="525" spans="1:10" x14ac:dyDescent="0.35">
      <c r="A525" s="13" t="s">
        <v>733</v>
      </c>
      <c r="B525" s="14">
        <v>45224.378472222219</v>
      </c>
      <c r="C525" s="15" t="s">
        <v>737</v>
      </c>
      <c r="D525" s="3">
        <v>53</v>
      </c>
      <c r="E525" s="15" t="s">
        <v>740</v>
      </c>
      <c r="F525" s="15" t="e">
        <v>#N/A</v>
      </c>
      <c r="G525" s="15" t="e">
        <v>#N/A</v>
      </c>
      <c r="H525" s="15" t="e">
        <v>#N/A</v>
      </c>
      <c r="I525" s="15" t="e">
        <v>#N/A</v>
      </c>
      <c r="J525" s="16" t="e">
        <v>#N/A</v>
      </c>
    </row>
    <row r="526" spans="1:10" x14ac:dyDescent="0.35">
      <c r="A526" s="9" t="s">
        <v>1247</v>
      </c>
      <c r="B526" s="10">
        <v>45202.487500000003</v>
      </c>
      <c r="C526" s="11" t="s">
        <v>1258</v>
      </c>
      <c r="D526" s="4">
        <v>22</v>
      </c>
      <c r="E526" s="11" t="s">
        <v>740</v>
      </c>
      <c r="F526" s="11" t="e">
        <v>#N/A</v>
      </c>
      <c r="G526" s="11" t="e">
        <v>#N/A</v>
      </c>
      <c r="H526" s="11" t="e">
        <v>#N/A</v>
      </c>
      <c r="I526" s="11" t="e">
        <v>#N/A</v>
      </c>
      <c r="J526" s="12" t="e">
        <v>#N/A</v>
      </c>
    </row>
    <row r="527" spans="1:10" x14ac:dyDescent="0.35">
      <c r="A527" s="13" t="s">
        <v>1389</v>
      </c>
      <c r="B527" s="14">
        <v>45219.907638888893</v>
      </c>
      <c r="C527" s="15" t="s">
        <v>1411</v>
      </c>
      <c r="D527" s="3">
        <v>92</v>
      </c>
      <c r="E527" s="15" t="s">
        <v>738</v>
      </c>
      <c r="F527" s="15" t="e">
        <v>#N/A</v>
      </c>
      <c r="G527" s="15" t="e">
        <v>#N/A</v>
      </c>
      <c r="H527" s="15" t="e">
        <v>#N/A</v>
      </c>
      <c r="I527" s="15" t="e">
        <v>#N/A</v>
      </c>
      <c r="J527" s="16" t="e">
        <v>#N/A</v>
      </c>
    </row>
    <row r="528" spans="1:10" x14ac:dyDescent="0.35">
      <c r="A528" s="9" t="s">
        <v>1171</v>
      </c>
      <c r="B528" s="10">
        <v>45206.472222222219</v>
      </c>
      <c r="C528" s="11" t="s">
        <v>1191</v>
      </c>
      <c r="D528" s="4">
        <v>69</v>
      </c>
      <c r="E528" s="11" t="s">
        <v>740</v>
      </c>
      <c r="F528" s="11" t="e">
        <v>#N/A</v>
      </c>
      <c r="G528" s="11" t="e">
        <v>#N/A</v>
      </c>
      <c r="H528" s="11" t="e">
        <v>#N/A</v>
      </c>
      <c r="I528" s="11" t="e">
        <v>#N/A</v>
      </c>
      <c r="J528" s="12" t="e">
        <v>#N/A</v>
      </c>
    </row>
    <row r="529" spans="1:10" x14ac:dyDescent="0.35">
      <c r="A529" s="13" t="s">
        <v>1368</v>
      </c>
      <c r="B529" s="14">
        <v>45225.213194444441</v>
      </c>
      <c r="C529" s="15" t="s">
        <v>1374</v>
      </c>
      <c r="D529" s="3">
        <v>35</v>
      </c>
      <c r="E529" s="15" t="s">
        <v>740</v>
      </c>
      <c r="F529" s="15" t="e">
        <v>#N/A</v>
      </c>
      <c r="G529" s="15" t="e">
        <v>#N/A</v>
      </c>
      <c r="H529" s="15" t="e">
        <v>#N/A</v>
      </c>
      <c r="I529" s="15" t="e">
        <v>#N/A</v>
      </c>
      <c r="J529" s="16" t="e">
        <v>#N/A</v>
      </c>
    </row>
    <row r="530" spans="1:10" x14ac:dyDescent="0.35">
      <c r="A530" s="9" t="s">
        <v>733</v>
      </c>
      <c r="B530" s="10">
        <v>45216.792361111111</v>
      </c>
      <c r="C530" s="11" t="s">
        <v>744</v>
      </c>
      <c r="D530" s="4">
        <v>56</v>
      </c>
      <c r="E530" s="11" t="s">
        <v>735</v>
      </c>
      <c r="F530" s="11" t="e">
        <v>#N/A</v>
      </c>
      <c r="G530" s="11" t="e">
        <v>#N/A</v>
      </c>
      <c r="H530" s="11" t="e">
        <v>#N/A</v>
      </c>
      <c r="I530" s="11" t="e">
        <v>#N/A</v>
      </c>
      <c r="J530" s="12" t="e">
        <v>#N/A</v>
      </c>
    </row>
    <row r="531" spans="1:10" x14ac:dyDescent="0.35">
      <c r="A531" s="13" t="s">
        <v>1267</v>
      </c>
      <c r="B531" s="14">
        <v>45203.03125</v>
      </c>
      <c r="C531" s="15" t="s">
        <v>744</v>
      </c>
      <c r="D531" s="3">
        <v>36</v>
      </c>
      <c r="E531" s="15" t="s">
        <v>740</v>
      </c>
      <c r="F531" s="15" t="e">
        <v>#N/A</v>
      </c>
      <c r="G531" s="15" t="e">
        <v>#N/A</v>
      </c>
      <c r="H531" s="15" t="e">
        <v>#N/A</v>
      </c>
      <c r="I531" s="15" t="e">
        <v>#N/A</v>
      </c>
      <c r="J531" s="16" t="e">
        <v>#N/A</v>
      </c>
    </row>
    <row r="532" spans="1:10" x14ac:dyDescent="0.35">
      <c r="A532" s="9" t="s">
        <v>1267</v>
      </c>
      <c r="B532" s="10">
        <v>45224.164583333331</v>
      </c>
      <c r="C532" s="11" t="s">
        <v>1282</v>
      </c>
      <c r="D532" s="4">
        <v>57</v>
      </c>
      <c r="E532" s="11" t="s">
        <v>738</v>
      </c>
      <c r="F532" s="11" t="e">
        <v>#N/A</v>
      </c>
      <c r="G532" s="11" t="e">
        <v>#N/A</v>
      </c>
      <c r="H532" s="11" t="e">
        <v>#N/A</v>
      </c>
      <c r="I532" s="11" t="e">
        <v>#N/A</v>
      </c>
      <c r="J532" s="12" t="e"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AD42-B349-4EE3-ACBC-C75B6D703248}">
  <sheetPr>
    <tabColor theme="9" tint="-0.499984740745262"/>
  </sheetPr>
  <dimension ref="A1:E1069"/>
  <sheetViews>
    <sheetView workbookViewId="0">
      <selection activeCell="G1060" sqref="G1060"/>
    </sheetView>
  </sheetViews>
  <sheetFormatPr baseColWidth="10" defaultRowHeight="14.5" x14ac:dyDescent="0.35"/>
  <cols>
    <col min="1" max="1" width="22.08984375" bestFit="1" customWidth="1"/>
    <col min="2" max="2" width="19" style="2" bestFit="1" customWidth="1"/>
    <col min="3" max="3" width="9.08984375" bestFit="1" customWidth="1"/>
    <col min="4" max="4" width="18.1796875" bestFit="1" customWidth="1"/>
    <col min="5" max="5" width="18" bestFit="1" customWidth="1"/>
  </cols>
  <sheetData>
    <row r="1" spans="1:5" x14ac:dyDescent="0.35">
      <c r="A1" t="s">
        <v>0</v>
      </c>
      <c r="B1" s="2" t="s">
        <v>729</v>
      </c>
      <c r="C1" t="s">
        <v>730</v>
      </c>
      <c r="D1" t="s">
        <v>731</v>
      </c>
      <c r="E1" t="s">
        <v>732</v>
      </c>
    </row>
    <row r="2" spans="1:5" x14ac:dyDescent="0.35">
      <c r="A2" s="1" t="s">
        <v>733</v>
      </c>
      <c r="B2" s="2">
        <v>45211.279166666667</v>
      </c>
      <c r="C2" s="1" t="s">
        <v>766</v>
      </c>
      <c r="D2">
        <v>75</v>
      </c>
      <c r="E2" s="1" t="s">
        <v>735</v>
      </c>
    </row>
    <row r="3" spans="1:5" x14ac:dyDescent="0.35">
      <c r="A3" s="1" t="s">
        <v>1294</v>
      </c>
      <c r="B3" s="2">
        <v>45205.013888888891</v>
      </c>
      <c r="C3" s="1" t="s">
        <v>766</v>
      </c>
      <c r="D3">
        <v>35</v>
      </c>
      <c r="E3" s="1" t="s">
        <v>738</v>
      </c>
    </row>
    <row r="4" spans="1:5" x14ac:dyDescent="0.35">
      <c r="A4" s="1" t="s">
        <v>1368</v>
      </c>
      <c r="B4" s="2">
        <v>45203.517361111109</v>
      </c>
      <c r="C4" s="1" t="s">
        <v>766</v>
      </c>
      <c r="D4">
        <v>26</v>
      </c>
      <c r="E4" s="1" t="s">
        <v>735</v>
      </c>
    </row>
    <row r="5" spans="1:5" x14ac:dyDescent="0.35">
      <c r="A5" s="1" t="s">
        <v>905</v>
      </c>
      <c r="B5" s="2">
        <v>45224.568055555559</v>
      </c>
      <c r="C5" s="1" t="s">
        <v>914</v>
      </c>
      <c r="D5">
        <v>27</v>
      </c>
      <c r="E5" s="1" t="s">
        <v>735</v>
      </c>
    </row>
    <row r="6" spans="1:5" x14ac:dyDescent="0.35">
      <c r="A6" s="1" t="s">
        <v>733</v>
      </c>
      <c r="B6" s="2">
        <v>45208.301388888889</v>
      </c>
      <c r="C6" s="1" t="s">
        <v>736</v>
      </c>
      <c r="D6">
        <v>38</v>
      </c>
      <c r="E6" s="1" t="s">
        <v>735</v>
      </c>
    </row>
    <row r="7" spans="1:5" x14ac:dyDescent="0.35">
      <c r="A7" s="1" t="s">
        <v>782</v>
      </c>
      <c r="B7" s="2">
        <v>45226.003472222219</v>
      </c>
      <c r="C7" s="1" t="s">
        <v>736</v>
      </c>
      <c r="D7">
        <v>111</v>
      </c>
      <c r="E7" s="1" t="s">
        <v>735</v>
      </c>
    </row>
    <row r="8" spans="1:5" x14ac:dyDescent="0.35">
      <c r="A8" s="1" t="s">
        <v>1144</v>
      </c>
      <c r="B8" s="2">
        <v>45216.950694444437</v>
      </c>
      <c r="C8" s="1" t="s">
        <v>736</v>
      </c>
      <c r="D8">
        <v>12</v>
      </c>
      <c r="E8" s="1" t="s">
        <v>735</v>
      </c>
    </row>
    <row r="9" spans="1:5" x14ac:dyDescent="0.35">
      <c r="A9" s="1" t="s">
        <v>1120</v>
      </c>
      <c r="B9" s="2">
        <v>45230.868055555547</v>
      </c>
      <c r="C9" s="1" t="s">
        <v>1129</v>
      </c>
      <c r="D9">
        <v>103</v>
      </c>
      <c r="E9" s="1" t="s">
        <v>740</v>
      </c>
    </row>
    <row r="10" spans="1:5" x14ac:dyDescent="0.35">
      <c r="A10" s="1" t="s">
        <v>1389</v>
      </c>
      <c r="B10" s="2">
        <v>45230.429166666669</v>
      </c>
      <c r="C10" s="1" t="s">
        <v>1129</v>
      </c>
      <c r="D10">
        <v>11</v>
      </c>
      <c r="E10" s="1" t="s">
        <v>740</v>
      </c>
    </row>
    <row r="11" spans="1:5" x14ac:dyDescent="0.35">
      <c r="A11" s="1" t="s">
        <v>1171</v>
      </c>
      <c r="B11" s="2">
        <v>45221.565972222219</v>
      </c>
      <c r="C11" s="1" t="s">
        <v>1172</v>
      </c>
      <c r="D11">
        <v>87</v>
      </c>
      <c r="E11" s="1" t="s">
        <v>738</v>
      </c>
    </row>
    <row r="12" spans="1:5" x14ac:dyDescent="0.35">
      <c r="A12" s="1" t="s">
        <v>1336</v>
      </c>
      <c r="B12" s="2">
        <v>45222.501388888893</v>
      </c>
      <c r="C12" s="1" t="s">
        <v>1339</v>
      </c>
      <c r="D12">
        <v>39</v>
      </c>
      <c r="E12" s="1" t="s">
        <v>735</v>
      </c>
    </row>
    <row r="13" spans="1:5" x14ac:dyDescent="0.35">
      <c r="A13" s="1" t="s">
        <v>782</v>
      </c>
      <c r="B13" s="2">
        <v>45223.418749999997</v>
      </c>
      <c r="C13" s="1" t="s">
        <v>808</v>
      </c>
      <c r="D13">
        <v>89</v>
      </c>
      <c r="E13" s="1" t="s">
        <v>735</v>
      </c>
    </row>
    <row r="14" spans="1:5" x14ac:dyDescent="0.35">
      <c r="A14" s="1" t="s">
        <v>1351</v>
      </c>
      <c r="B14" s="2">
        <v>45210.835416666669</v>
      </c>
      <c r="C14" s="1" t="s">
        <v>808</v>
      </c>
      <c r="D14">
        <v>80</v>
      </c>
      <c r="E14" s="1" t="s">
        <v>738</v>
      </c>
    </row>
    <row r="15" spans="1:5" x14ac:dyDescent="0.35">
      <c r="A15" s="1" t="s">
        <v>864</v>
      </c>
      <c r="B15" s="2">
        <v>45202.852083333331</v>
      </c>
      <c r="C15" s="1" t="s">
        <v>871</v>
      </c>
      <c r="D15">
        <v>83</v>
      </c>
      <c r="E15" s="1" t="s">
        <v>735</v>
      </c>
    </row>
    <row r="16" spans="1:5" x14ac:dyDescent="0.35">
      <c r="A16" s="1" t="s">
        <v>1171</v>
      </c>
      <c r="B16" s="2">
        <v>45222.55972222222</v>
      </c>
      <c r="C16" s="1" t="s">
        <v>1174</v>
      </c>
      <c r="D16">
        <v>26</v>
      </c>
      <c r="E16" s="1" t="s">
        <v>740</v>
      </c>
    </row>
    <row r="17" spans="1:5" x14ac:dyDescent="0.35">
      <c r="A17" s="1" t="s">
        <v>1247</v>
      </c>
      <c r="B17" s="2">
        <v>45213.922222222223</v>
      </c>
      <c r="C17" s="1" t="s">
        <v>1174</v>
      </c>
      <c r="D17">
        <v>40</v>
      </c>
      <c r="E17" s="1" t="s">
        <v>735</v>
      </c>
    </row>
    <row r="18" spans="1:5" x14ac:dyDescent="0.35">
      <c r="A18" s="1" t="s">
        <v>864</v>
      </c>
      <c r="B18" s="2">
        <v>45219.989583333343</v>
      </c>
      <c r="C18" s="1" t="s">
        <v>887</v>
      </c>
      <c r="D18">
        <v>36</v>
      </c>
      <c r="E18" s="1" t="s">
        <v>735</v>
      </c>
    </row>
    <row r="19" spans="1:5" x14ac:dyDescent="0.35">
      <c r="A19" s="1" t="s">
        <v>1171</v>
      </c>
      <c r="B19" s="2">
        <v>45204.39166666667</v>
      </c>
      <c r="C19" s="1" t="s">
        <v>887</v>
      </c>
      <c r="D19">
        <v>98</v>
      </c>
      <c r="E19" s="1" t="s">
        <v>740</v>
      </c>
    </row>
    <row r="20" spans="1:5" x14ac:dyDescent="0.35">
      <c r="A20" s="1" t="s">
        <v>1171</v>
      </c>
      <c r="B20" s="2">
        <v>45230.565972222219</v>
      </c>
      <c r="C20" s="1" t="s">
        <v>887</v>
      </c>
      <c r="D20">
        <v>74</v>
      </c>
      <c r="E20" s="1" t="s">
        <v>735</v>
      </c>
    </row>
    <row r="21" spans="1:5" x14ac:dyDescent="0.35">
      <c r="A21" s="1" t="s">
        <v>1368</v>
      </c>
      <c r="B21" s="2">
        <v>45213.963194444441</v>
      </c>
      <c r="C21" s="1" t="s">
        <v>1369</v>
      </c>
      <c r="D21">
        <v>25</v>
      </c>
      <c r="E21" s="1" t="s">
        <v>738</v>
      </c>
    </row>
    <row r="22" spans="1:5" x14ac:dyDescent="0.35">
      <c r="A22" s="1" t="s">
        <v>733</v>
      </c>
      <c r="B22" s="2">
        <v>45217.96875</v>
      </c>
      <c r="C22" s="1" t="s">
        <v>770</v>
      </c>
      <c r="D22">
        <v>97</v>
      </c>
      <c r="E22" s="1" t="s">
        <v>738</v>
      </c>
    </row>
    <row r="23" spans="1:5" x14ac:dyDescent="0.35">
      <c r="A23" s="1" t="s">
        <v>1294</v>
      </c>
      <c r="B23" s="2">
        <v>45217.640277777777</v>
      </c>
      <c r="C23" s="1" t="s">
        <v>1312</v>
      </c>
      <c r="D23">
        <v>113</v>
      </c>
      <c r="E23" s="1" t="s">
        <v>740</v>
      </c>
    </row>
    <row r="24" spans="1:5" x14ac:dyDescent="0.35">
      <c r="A24" s="1" t="s">
        <v>1351</v>
      </c>
      <c r="B24" s="2">
        <v>45220.093055555553</v>
      </c>
      <c r="C24" s="1" t="s">
        <v>1312</v>
      </c>
      <c r="D24">
        <v>48</v>
      </c>
      <c r="E24" s="1" t="s">
        <v>735</v>
      </c>
    </row>
    <row r="25" spans="1:5" x14ac:dyDescent="0.35">
      <c r="A25" s="1" t="s">
        <v>1002</v>
      </c>
      <c r="B25" s="2">
        <v>45204.895833333343</v>
      </c>
      <c r="C25" s="1" t="s">
        <v>1005</v>
      </c>
      <c r="D25">
        <v>42</v>
      </c>
      <c r="E25" s="1" t="s">
        <v>738</v>
      </c>
    </row>
    <row r="26" spans="1:5" x14ac:dyDescent="0.35">
      <c r="A26" s="1" t="s">
        <v>1091</v>
      </c>
      <c r="B26" s="2">
        <v>45205.775694444441</v>
      </c>
      <c r="C26" s="1" t="s">
        <v>1114</v>
      </c>
      <c r="D26">
        <v>56</v>
      </c>
      <c r="E26" s="1" t="s">
        <v>740</v>
      </c>
    </row>
    <row r="27" spans="1:5" x14ac:dyDescent="0.35">
      <c r="A27" s="1" t="s">
        <v>1144</v>
      </c>
      <c r="B27" s="2">
        <v>45220.390972222223</v>
      </c>
      <c r="C27" s="1" t="s">
        <v>1114</v>
      </c>
      <c r="D27">
        <v>13</v>
      </c>
      <c r="E27" s="1" t="s">
        <v>738</v>
      </c>
    </row>
    <row r="28" spans="1:5" x14ac:dyDescent="0.35">
      <c r="A28" s="1" t="s">
        <v>1199</v>
      </c>
      <c r="B28" s="2">
        <v>45225.839583333327</v>
      </c>
      <c r="C28" s="1" t="s">
        <v>1211</v>
      </c>
      <c r="D28">
        <v>60</v>
      </c>
      <c r="E28" s="1" t="s">
        <v>740</v>
      </c>
    </row>
    <row r="29" spans="1:5" x14ac:dyDescent="0.35">
      <c r="A29" s="1" t="s">
        <v>1247</v>
      </c>
      <c r="B29" s="2">
        <v>45224.961805555547</v>
      </c>
      <c r="C29" s="1" t="s">
        <v>1211</v>
      </c>
      <c r="D29">
        <v>83</v>
      </c>
      <c r="E29" s="1" t="s">
        <v>740</v>
      </c>
    </row>
    <row r="30" spans="1:5" x14ac:dyDescent="0.35">
      <c r="A30" s="1" t="s">
        <v>1294</v>
      </c>
      <c r="B30" s="2">
        <v>45206.515972222223</v>
      </c>
      <c r="C30" s="1" t="s">
        <v>1299</v>
      </c>
      <c r="D30">
        <v>108</v>
      </c>
      <c r="E30" s="1" t="s">
        <v>735</v>
      </c>
    </row>
    <row r="31" spans="1:5" x14ac:dyDescent="0.35">
      <c r="A31" s="1" t="s">
        <v>905</v>
      </c>
      <c r="B31" s="2">
        <v>45222.511805555558</v>
      </c>
      <c r="C31" s="1" t="s">
        <v>937</v>
      </c>
      <c r="D31">
        <v>56</v>
      </c>
      <c r="E31" s="1" t="s">
        <v>735</v>
      </c>
    </row>
    <row r="32" spans="1:5" x14ac:dyDescent="0.35">
      <c r="A32" s="1" t="s">
        <v>1063</v>
      </c>
      <c r="B32" s="2">
        <v>45222.652777777781</v>
      </c>
      <c r="C32" s="1" t="s">
        <v>1083</v>
      </c>
      <c r="D32">
        <v>46</v>
      </c>
      <c r="E32" s="1" t="s">
        <v>740</v>
      </c>
    </row>
    <row r="33" spans="1:5" x14ac:dyDescent="0.35">
      <c r="A33" s="1" t="s">
        <v>1144</v>
      </c>
      <c r="B33" s="2">
        <v>45214.752083333333</v>
      </c>
      <c r="C33" s="1" t="s">
        <v>1168</v>
      </c>
      <c r="D33">
        <v>89</v>
      </c>
      <c r="E33" s="1" t="s">
        <v>738</v>
      </c>
    </row>
    <row r="34" spans="1:5" x14ac:dyDescent="0.35">
      <c r="A34" s="1" t="s">
        <v>1225</v>
      </c>
      <c r="B34" s="2">
        <v>45225.415277777778</v>
      </c>
      <c r="C34" s="1" t="s">
        <v>1244</v>
      </c>
      <c r="D34">
        <v>15</v>
      </c>
      <c r="E34" s="1" t="s">
        <v>735</v>
      </c>
    </row>
    <row r="35" spans="1:5" x14ac:dyDescent="0.35">
      <c r="A35" s="1" t="s">
        <v>942</v>
      </c>
      <c r="B35" s="2">
        <v>45208.443749999999</v>
      </c>
      <c r="C35" s="1" t="s">
        <v>955</v>
      </c>
      <c r="D35">
        <v>7</v>
      </c>
      <c r="E35" s="1" t="s">
        <v>740</v>
      </c>
    </row>
    <row r="36" spans="1:5" x14ac:dyDescent="0.35">
      <c r="A36" s="1" t="s">
        <v>1063</v>
      </c>
      <c r="B36" s="2">
        <v>45226.729166666657</v>
      </c>
      <c r="C36" s="1" t="s">
        <v>1087</v>
      </c>
      <c r="D36">
        <v>62</v>
      </c>
      <c r="E36" s="1" t="s">
        <v>738</v>
      </c>
    </row>
    <row r="37" spans="1:5" x14ac:dyDescent="0.35">
      <c r="A37" s="1" t="s">
        <v>1314</v>
      </c>
      <c r="B37" s="2">
        <v>45206.572222222218</v>
      </c>
      <c r="C37" s="1" t="s">
        <v>1087</v>
      </c>
      <c r="D37">
        <v>10</v>
      </c>
      <c r="E37" s="1" t="s">
        <v>735</v>
      </c>
    </row>
    <row r="38" spans="1:5" x14ac:dyDescent="0.35">
      <c r="A38" s="1" t="s">
        <v>782</v>
      </c>
      <c r="B38" s="2">
        <v>45219.101388888892</v>
      </c>
      <c r="C38" s="1" t="s">
        <v>816</v>
      </c>
      <c r="D38">
        <v>75</v>
      </c>
      <c r="E38" s="1" t="s">
        <v>735</v>
      </c>
    </row>
    <row r="39" spans="1:5" x14ac:dyDescent="0.35">
      <c r="A39" s="1" t="s">
        <v>1368</v>
      </c>
      <c r="B39" s="2">
        <v>45211.61041666667</v>
      </c>
      <c r="C39" s="1" t="s">
        <v>816</v>
      </c>
      <c r="D39">
        <v>114</v>
      </c>
      <c r="E39" s="1" t="s">
        <v>735</v>
      </c>
    </row>
    <row r="40" spans="1:5" x14ac:dyDescent="0.35">
      <c r="A40" s="1" t="s">
        <v>1294</v>
      </c>
      <c r="B40" s="2">
        <v>45202.35</v>
      </c>
      <c r="C40" s="1" t="s">
        <v>1308</v>
      </c>
      <c r="D40">
        <v>78</v>
      </c>
      <c r="E40" s="1" t="s">
        <v>735</v>
      </c>
    </row>
    <row r="41" spans="1:5" x14ac:dyDescent="0.35">
      <c r="A41" s="1" t="s">
        <v>942</v>
      </c>
      <c r="B41" s="2">
        <v>45216.583333333343</v>
      </c>
      <c r="C41" s="1" t="s">
        <v>951</v>
      </c>
      <c r="D41">
        <v>78</v>
      </c>
      <c r="E41" s="1" t="s">
        <v>740</v>
      </c>
    </row>
    <row r="42" spans="1:5" x14ac:dyDescent="0.35">
      <c r="A42" s="1" t="s">
        <v>1389</v>
      </c>
      <c r="B42" s="2">
        <v>45223.736111111109</v>
      </c>
      <c r="C42" s="1" t="s">
        <v>951</v>
      </c>
      <c r="D42">
        <v>116</v>
      </c>
      <c r="E42" s="1" t="s">
        <v>738</v>
      </c>
    </row>
    <row r="43" spans="1:5" x14ac:dyDescent="0.35">
      <c r="A43" s="1" t="s">
        <v>1389</v>
      </c>
      <c r="B43" s="2">
        <v>45217.578472222223</v>
      </c>
      <c r="C43" s="1" t="s">
        <v>1393</v>
      </c>
      <c r="D43">
        <v>93</v>
      </c>
      <c r="E43" s="1" t="s">
        <v>738</v>
      </c>
    </row>
    <row r="44" spans="1:5" x14ac:dyDescent="0.35">
      <c r="A44" s="1" t="s">
        <v>782</v>
      </c>
      <c r="B44" s="2">
        <v>45224.083333333343</v>
      </c>
      <c r="C44" s="1" t="s">
        <v>824</v>
      </c>
      <c r="D44">
        <v>31</v>
      </c>
      <c r="E44" s="1" t="s">
        <v>735</v>
      </c>
    </row>
    <row r="45" spans="1:5" x14ac:dyDescent="0.35">
      <c r="A45" s="1" t="s">
        <v>1225</v>
      </c>
      <c r="B45" s="2">
        <v>45228.269444444442</v>
      </c>
      <c r="C45" s="1" t="s">
        <v>824</v>
      </c>
      <c r="D45">
        <v>109</v>
      </c>
      <c r="E45" s="1" t="s">
        <v>738</v>
      </c>
    </row>
    <row r="46" spans="1:5" x14ac:dyDescent="0.35">
      <c r="A46" s="1" t="s">
        <v>1063</v>
      </c>
      <c r="B46" s="2">
        <v>45202.161805555559</v>
      </c>
      <c r="C46" s="1" t="s">
        <v>1066</v>
      </c>
      <c r="D46">
        <v>61</v>
      </c>
      <c r="E46" s="1" t="s">
        <v>738</v>
      </c>
    </row>
    <row r="47" spans="1:5" x14ac:dyDescent="0.35">
      <c r="A47" s="1" t="s">
        <v>1267</v>
      </c>
      <c r="B47" s="2">
        <v>45205.463888888888</v>
      </c>
      <c r="C47" s="1" t="s">
        <v>1273</v>
      </c>
      <c r="D47">
        <v>103</v>
      </c>
      <c r="E47" s="1" t="s">
        <v>735</v>
      </c>
    </row>
    <row r="48" spans="1:5" x14ac:dyDescent="0.35">
      <c r="A48" s="1" t="s">
        <v>782</v>
      </c>
      <c r="B48" s="2">
        <v>45201.856944444437</v>
      </c>
      <c r="C48" s="1" t="s">
        <v>796</v>
      </c>
      <c r="D48">
        <v>61</v>
      </c>
      <c r="E48" s="1" t="s">
        <v>735</v>
      </c>
    </row>
    <row r="49" spans="1:5" x14ac:dyDescent="0.35">
      <c r="A49" s="1" t="s">
        <v>1351</v>
      </c>
      <c r="B49" s="2">
        <v>45211.324305555558</v>
      </c>
      <c r="C49" s="1" t="s">
        <v>1352</v>
      </c>
      <c r="D49">
        <v>120</v>
      </c>
      <c r="E49" s="1" t="s">
        <v>740</v>
      </c>
    </row>
    <row r="50" spans="1:5" x14ac:dyDescent="0.35">
      <c r="A50" s="1" t="s">
        <v>1091</v>
      </c>
      <c r="B50" s="2">
        <v>45205.480555555558</v>
      </c>
      <c r="C50" s="1" t="s">
        <v>1094</v>
      </c>
      <c r="D50">
        <v>43</v>
      </c>
      <c r="E50" s="1" t="s">
        <v>738</v>
      </c>
    </row>
    <row r="51" spans="1:5" x14ac:dyDescent="0.35">
      <c r="A51" s="1" t="s">
        <v>1120</v>
      </c>
      <c r="B51" s="2">
        <v>45201.043055555558</v>
      </c>
      <c r="C51" s="1" t="s">
        <v>1094</v>
      </c>
      <c r="D51">
        <v>45</v>
      </c>
      <c r="E51" s="1" t="s">
        <v>738</v>
      </c>
    </row>
    <row r="52" spans="1:5" x14ac:dyDescent="0.35">
      <c r="A52" s="1" t="s">
        <v>782</v>
      </c>
      <c r="B52" s="2">
        <v>45227.135416666657</v>
      </c>
      <c r="C52" s="1" t="s">
        <v>791</v>
      </c>
      <c r="D52">
        <v>13</v>
      </c>
      <c r="E52" s="1" t="s">
        <v>738</v>
      </c>
    </row>
    <row r="53" spans="1:5" x14ac:dyDescent="0.35">
      <c r="A53" s="1" t="s">
        <v>905</v>
      </c>
      <c r="B53" s="2">
        <v>45214.113194444442</v>
      </c>
      <c r="C53" s="1" t="s">
        <v>791</v>
      </c>
      <c r="D53">
        <v>47</v>
      </c>
      <c r="E53" s="1" t="s">
        <v>740</v>
      </c>
    </row>
    <row r="54" spans="1:5" x14ac:dyDescent="0.35">
      <c r="A54" s="1" t="s">
        <v>1389</v>
      </c>
      <c r="B54" s="2">
        <v>45220.230555555558</v>
      </c>
      <c r="C54" s="1" t="s">
        <v>791</v>
      </c>
      <c r="D54">
        <v>111</v>
      </c>
      <c r="E54" s="1" t="s">
        <v>740</v>
      </c>
    </row>
    <row r="55" spans="1:5" x14ac:dyDescent="0.35">
      <c r="A55" s="1" t="s">
        <v>1028</v>
      </c>
      <c r="B55" s="2">
        <v>45221.505555555559</v>
      </c>
      <c r="C55" s="1" t="s">
        <v>1050</v>
      </c>
      <c r="D55">
        <v>51</v>
      </c>
      <c r="E55" s="1" t="s">
        <v>735</v>
      </c>
    </row>
    <row r="56" spans="1:5" x14ac:dyDescent="0.35">
      <c r="A56" s="1" t="s">
        <v>1120</v>
      </c>
      <c r="B56" s="2">
        <v>45223.400694444441</v>
      </c>
      <c r="C56" s="1" t="s">
        <v>1050</v>
      </c>
      <c r="D56">
        <v>41</v>
      </c>
      <c r="E56" s="1" t="s">
        <v>740</v>
      </c>
    </row>
    <row r="57" spans="1:5" x14ac:dyDescent="0.35">
      <c r="A57" s="1" t="s">
        <v>905</v>
      </c>
      <c r="B57" s="2">
        <v>45201.824305555558</v>
      </c>
      <c r="C57" s="1" t="s">
        <v>920</v>
      </c>
      <c r="D57">
        <v>28</v>
      </c>
      <c r="E57" s="1" t="s">
        <v>738</v>
      </c>
    </row>
    <row r="58" spans="1:5" x14ac:dyDescent="0.35">
      <c r="A58" s="1" t="s">
        <v>1247</v>
      </c>
      <c r="B58" s="2">
        <v>45206.956944444442</v>
      </c>
      <c r="C58" s="1" t="s">
        <v>920</v>
      </c>
      <c r="D58">
        <v>32</v>
      </c>
      <c r="E58" s="1" t="s">
        <v>738</v>
      </c>
    </row>
    <row r="59" spans="1:5" x14ac:dyDescent="0.35">
      <c r="A59" s="1" t="s">
        <v>1368</v>
      </c>
      <c r="B59" s="2">
        <v>45224.98333333333</v>
      </c>
      <c r="C59" s="1" t="s">
        <v>920</v>
      </c>
      <c r="D59">
        <v>107</v>
      </c>
      <c r="E59" s="1" t="s">
        <v>740</v>
      </c>
    </row>
    <row r="60" spans="1:5" x14ac:dyDescent="0.35">
      <c r="A60" s="1" t="s">
        <v>1414</v>
      </c>
      <c r="B60" s="2">
        <v>45223.570138888892</v>
      </c>
      <c r="C60" s="1" t="s">
        <v>920</v>
      </c>
      <c r="D60">
        <v>10</v>
      </c>
      <c r="E60" s="1" t="s">
        <v>738</v>
      </c>
    </row>
    <row r="61" spans="1:5" x14ac:dyDescent="0.35">
      <c r="A61" s="1" t="s">
        <v>1294</v>
      </c>
      <c r="B61" s="2">
        <v>45220.677083333343</v>
      </c>
      <c r="C61" s="1" t="s">
        <v>1309</v>
      </c>
      <c r="D61">
        <v>107</v>
      </c>
      <c r="E61" s="1" t="s">
        <v>740</v>
      </c>
    </row>
    <row r="62" spans="1:5" x14ac:dyDescent="0.35">
      <c r="A62" s="1" t="s">
        <v>1063</v>
      </c>
      <c r="B62" s="2">
        <v>45216.709027777782</v>
      </c>
      <c r="C62" s="1" t="s">
        <v>1073</v>
      </c>
      <c r="D62">
        <v>39</v>
      </c>
      <c r="E62" s="1" t="s">
        <v>735</v>
      </c>
    </row>
    <row r="63" spans="1:5" x14ac:dyDescent="0.35">
      <c r="A63" s="1" t="s">
        <v>1336</v>
      </c>
      <c r="B63" s="2">
        <v>45201.245833333327</v>
      </c>
      <c r="C63" s="1" t="s">
        <v>1073</v>
      </c>
      <c r="D63">
        <v>91</v>
      </c>
      <c r="E63" s="1" t="s">
        <v>738</v>
      </c>
    </row>
    <row r="64" spans="1:5" x14ac:dyDescent="0.35">
      <c r="A64" s="1" t="s">
        <v>733</v>
      </c>
      <c r="B64" s="2">
        <v>45222.425694444442</v>
      </c>
      <c r="C64" s="1" t="s">
        <v>778</v>
      </c>
      <c r="D64">
        <v>48</v>
      </c>
      <c r="E64" s="1" t="s">
        <v>735</v>
      </c>
    </row>
    <row r="65" spans="1:5" x14ac:dyDescent="0.35">
      <c r="A65" s="1" t="s">
        <v>1120</v>
      </c>
      <c r="B65" s="2">
        <v>45217.488194444442</v>
      </c>
      <c r="C65" s="1" t="s">
        <v>1137</v>
      </c>
      <c r="D65">
        <v>94</v>
      </c>
      <c r="E65" s="1" t="s">
        <v>735</v>
      </c>
    </row>
    <row r="66" spans="1:5" x14ac:dyDescent="0.35">
      <c r="A66" s="1" t="s">
        <v>1267</v>
      </c>
      <c r="B66" s="2">
        <v>45221.96597222222</v>
      </c>
      <c r="C66" s="1" t="s">
        <v>1271</v>
      </c>
      <c r="D66">
        <v>84</v>
      </c>
      <c r="E66" s="1" t="s">
        <v>740</v>
      </c>
    </row>
    <row r="67" spans="1:5" x14ac:dyDescent="0.35">
      <c r="A67" s="1" t="s">
        <v>1314</v>
      </c>
      <c r="B67" s="2">
        <v>45203.958333333343</v>
      </c>
      <c r="C67" s="1" t="s">
        <v>1323</v>
      </c>
      <c r="D67">
        <v>65</v>
      </c>
      <c r="E67" s="1" t="s">
        <v>740</v>
      </c>
    </row>
    <row r="68" spans="1:5" x14ac:dyDescent="0.35">
      <c r="A68" s="1" t="s">
        <v>1267</v>
      </c>
      <c r="B68" s="2">
        <v>45211.147222222222</v>
      </c>
      <c r="C68" s="1" t="s">
        <v>1290</v>
      </c>
      <c r="D68">
        <v>89</v>
      </c>
      <c r="E68" s="1" t="s">
        <v>738</v>
      </c>
    </row>
    <row r="69" spans="1:5" x14ac:dyDescent="0.35">
      <c r="A69" s="1" t="s">
        <v>1314</v>
      </c>
      <c r="B69" s="2">
        <v>45209.174305555563</v>
      </c>
      <c r="C69" s="1" t="s">
        <v>1290</v>
      </c>
      <c r="D69">
        <v>5</v>
      </c>
      <c r="E69" s="1" t="s">
        <v>735</v>
      </c>
    </row>
    <row r="70" spans="1:5" x14ac:dyDescent="0.35">
      <c r="A70" s="1" t="s">
        <v>1336</v>
      </c>
      <c r="B70" s="2">
        <v>45211.063888888893</v>
      </c>
      <c r="C70" s="1" t="s">
        <v>1345</v>
      </c>
      <c r="D70">
        <v>6</v>
      </c>
      <c r="E70" s="1" t="s">
        <v>740</v>
      </c>
    </row>
    <row r="71" spans="1:5" x14ac:dyDescent="0.35">
      <c r="A71" s="1" t="s">
        <v>981</v>
      </c>
      <c r="B71" s="2">
        <v>45221.481944444437</v>
      </c>
      <c r="C71" s="1" t="s">
        <v>990</v>
      </c>
      <c r="D71">
        <v>80</v>
      </c>
      <c r="E71" s="1" t="s">
        <v>740</v>
      </c>
    </row>
    <row r="72" spans="1:5" x14ac:dyDescent="0.35">
      <c r="A72" s="1" t="s">
        <v>1063</v>
      </c>
      <c r="B72" s="2">
        <v>45220.262499999997</v>
      </c>
      <c r="C72" s="1" t="s">
        <v>1088</v>
      </c>
      <c r="D72">
        <v>96</v>
      </c>
      <c r="E72" s="1" t="s">
        <v>735</v>
      </c>
    </row>
    <row r="73" spans="1:5" x14ac:dyDescent="0.35">
      <c r="A73" s="1" t="s">
        <v>1414</v>
      </c>
      <c r="B73" s="2">
        <v>45212.879861111112</v>
      </c>
      <c r="C73" s="1" t="s">
        <v>1088</v>
      </c>
      <c r="D73">
        <v>99</v>
      </c>
      <c r="E73" s="1" t="s">
        <v>735</v>
      </c>
    </row>
    <row r="74" spans="1:5" x14ac:dyDescent="0.35">
      <c r="A74" s="1" t="s">
        <v>1389</v>
      </c>
      <c r="B74" s="2">
        <v>45207.701388888891</v>
      </c>
      <c r="C74" s="1" t="s">
        <v>1413</v>
      </c>
      <c r="D74">
        <v>27</v>
      </c>
      <c r="E74" s="1" t="s">
        <v>740</v>
      </c>
    </row>
    <row r="75" spans="1:5" x14ac:dyDescent="0.35">
      <c r="A75" s="1" t="s">
        <v>1199</v>
      </c>
      <c r="B75" s="2">
        <v>45209.558333333327</v>
      </c>
      <c r="C75" s="1" t="s">
        <v>1219</v>
      </c>
      <c r="D75">
        <v>66</v>
      </c>
      <c r="E75" s="1" t="s">
        <v>738</v>
      </c>
    </row>
    <row r="76" spans="1:5" x14ac:dyDescent="0.35">
      <c r="A76" s="1" t="s">
        <v>1247</v>
      </c>
      <c r="B76" s="2">
        <v>45221.583333333343</v>
      </c>
      <c r="C76" s="1" t="s">
        <v>1262</v>
      </c>
      <c r="D76">
        <v>106</v>
      </c>
      <c r="E76" s="1" t="s">
        <v>740</v>
      </c>
    </row>
    <row r="77" spans="1:5" x14ac:dyDescent="0.35">
      <c r="A77" s="1" t="s">
        <v>1389</v>
      </c>
      <c r="B77" s="2">
        <v>45225.220833333333</v>
      </c>
      <c r="C77" s="1" t="s">
        <v>1407</v>
      </c>
      <c r="D77">
        <v>104</v>
      </c>
      <c r="E77" s="1" t="s">
        <v>738</v>
      </c>
    </row>
    <row r="78" spans="1:5" x14ac:dyDescent="0.35">
      <c r="A78" s="1" t="s">
        <v>1414</v>
      </c>
      <c r="B78" s="2">
        <v>45208.558333333327</v>
      </c>
      <c r="C78" s="1" t="s">
        <v>1407</v>
      </c>
      <c r="D78">
        <v>44</v>
      </c>
      <c r="E78" s="1" t="s">
        <v>740</v>
      </c>
    </row>
    <row r="79" spans="1:5" x14ac:dyDescent="0.35">
      <c r="A79" s="1" t="s">
        <v>981</v>
      </c>
      <c r="B79" s="2">
        <v>45204.570138888892</v>
      </c>
      <c r="C79" s="1" t="s">
        <v>985</v>
      </c>
      <c r="D79">
        <v>13</v>
      </c>
      <c r="E79" s="1" t="s">
        <v>740</v>
      </c>
    </row>
    <row r="80" spans="1:5" x14ac:dyDescent="0.35">
      <c r="A80" s="1" t="s">
        <v>1063</v>
      </c>
      <c r="B80" s="2">
        <v>45212.626388888893</v>
      </c>
      <c r="C80" s="1" t="s">
        <v>1074</v>
      </c>
      <c r="D80">
        <v>107</v>
      </c>
      <c r="E80" s="1" t="s">
        <v>738</v>
      </c>
    </row>
    <row r="81" spans="1:5" x14ac:dyDescent="0.35">
      <c r="A81" s="1" t="s">
        <v>1267</v>
      </c>
      <c r="B81" s="2">
        <v>45210.30972222222</v>
      </c>
      <c r="C81" s="1" t="s">
        <v>1074</v>
      </c>
      <c r="D81">
        <v>47</v>
      </c>
      <c r="E81" s="1" t="s">
        <v>738</v>
      </c>
    </row>
    <row r="82" spans="1:5" x14ac:dyDescent="0.35">
      <c r="A82" s="1" t="s">
        <v>782</v>
      </c>
      <c r="B82" s="2">
        <v>45216.673611111109</v>
      </c>
      <c r="C82" s="1" t="s">
        <v>809</v>
      </c>
      <c r="D82">
        <v>117</v>
      </c>
      <c r="E82" s="1" t="s">
        <v>735</v>
      </c>
    </row>
    <row r="83" spans="1:5" x14ac:dyDescent="0.35">
      <c r="A83" s="1" t="s">
        <v>1002</v>
      </c>
      <c r="B83" s="2">
        <v>45221.376388888893</v>
      </c>
      <c r="C83" s="1" t="s">
        <v>1026</v>
      </c>
      <c r="D83">
        <v>59</v>
      </c>
      <c r="E83" s="1" t="s">
        <v>740</v>
      </c>
    </row>
    <row r="84" spans="1:5" x14ac:dyDescent="0.35">
      <c r="A84" s="1" t="s">
        <v>826</v>
      </c>
      <c r="B84" s="2">
        <v>45206.167361111111</v>
      </c>
      <c r="C84" s="1" t="s">
        <v>861</v>
      </c>
      <c r="D84">
        <v>64</v>
      </c>
      <c r="E84" s="1" t="s">
        <v>738</v>
      </c>
    </row>
    <row r="85" spans="1:5" x14ac:dyDescent="0.35">
      <c r="A85" s="1" t="s">
        <v>1002</v>
      </c>
      <c r="B85" s="2">
        <v>45202.04791666667</v>
      </c>
      <c r="C85" s="1" t="s">
        <v>1020</v>
      </c>
      <c r="D85">
        <v>115</v>
      </c>
      <c r="E85" s="1" t="s">
        <v>738</v>
      </c>
    </row>
    <row r="86" spans="1:5" x14ac:dyDescent="0.35">
      <c r="A86" s="1" t="s">
        <v>1171</v>
      </c>
      <c r="B86" s="2">
        <v>45225.979166666657</v>
      </c>
      <c r="C86" s="1" t="s">
        <v>1020</v>
      </c>
      <c r="D86">
        <v>6</v>
      </c>
      <c r="E86" s="1" t="s">
        <v>735</v>
      </c>
    </row>
    <row r="87" spans="1:5" x14ac:dyDescent="0.35">
      <c r="A87" s="1" t="s">
        <v>1314</v>
      </c>
      <c r="B87" s="2">
        <v>45219.65625</v>
      </c>
      <c r="C87" s="1" t="s">
        <v>1020</v>
      </c>
      <c r="D87">
        <v>118</v>
      </c>
      <c r="E87" s="1" t="s">
        <v>738</v>
      </c>
    </row>
    <row r="88" spans="1:5" x14ac:dyDescent="0.35">
      <c r="A88" s="1" t="s">
        <v>981</v>
      </c>
      <c r="B88" s="2">
        <v>45213.334722222222</v>
      </c>
      <c r="C88" s="1" t="s">
        <v>987</v>
      </c>
      <c r="D88">
        <v>62</v>
      </c>
      <c r="E88" s="1" t="s">
        <v>735</v>
      </c>
    </row>
    <row r="89" spans="1:5" x14ac:dyDescent="0.35">
      <c r="A89" s="1" t="s">
        <v>1171</v>
      </c>
      <c r="B89" s="2">
        <v>45226.656944444447</v>
      </c>
      <c r="C89" s="1" t="s">
        <v>987</v>
      </c>
      <c r="D89">
        <v>7</v>
      </c>
      <c r="E89" s="1" t="s">
        <v>735</v>
      </c>
    </row>
    <row r="90" spans="1:5" x14ac:dyDescent="0.35">
      <c r="A90" s="1" t="s">
        <v>1028</v>
      </c>
      <c r="B90" s="2">
        <v>45225.147222222222</v>
      </c>
      <c r="C90" s="1" t="s">
        <v>1062</v>
      </c>
      <c r="D90">
        <v>44</v>
      </c>
      <c r="E90" s="1" t="s">
        <v>735</v>
      </c>
    </row>
    <row r="91" spans="1:5" x14ac:dyDescent="0.35">
      <c r="A91" s="1" t="s">
        <v>1267</v>
      </c>
      <c r="B91" s="2">
        <v>45203.324305555558</v>
      </c>
      <c r="C91" s="1" t="s">
        <v>1283</v>
      </c>
      <c r="D91">
        <v>34</v>
      </c>
      <c r="E91" s="1" t="s">
        <v>735</v>
      </c>
    </row>
    <row r="92" spans="1:5" x14ac:dyDescent="0.35">
      <c r="A92" s="1" t="s">
        <v>864</v>
      </c>
      <c r="B92" s="2">
        <v>45210.45</v>
      </c>
      <c r="C92" s="1" t="s">
        <v>875</v>
      </c>
      <c r="D92">
        <v>66</v>
      </c>
      <c r="E92" s="1" t="s">
        <v>735</v>
      </c>
    </row>
    <row r="93" spans="1:5" x14ac:dyDescent="0.35">
      <c r="A93" s="1" t="s">
        <v>1314</v>
      </c>
      <c r="B93" s="2">
        <v>45220.754166666673</v>
      </c>
      <c r="C93" s="1" t="s">
        <v>875</v>
      </c>
      <c r="D93">
        <v>85</v>
      </c>
      <c r="E93" s="1" t="s">
        <v>735</v>
      </c>
    </row>
    <row r="94" spans="1:5" x14ac:dyDescent="0.35">
      <c r="A94" s="1" t="s">
        <v>1225</v>
      </c>
      <c r="B94" s="2">
        <v>45212.568055555559</v>
      </c>
      <c r="C94" s="1" t="s">
        <v>1245</v>
      </c>
      <c r="D94">
        <v>42</v>
      </c>
      <c r="E94" s="1" t="s">
        <v>738</v>
      </c>
    </row>
    <row r="95" spans="1:5" x14ac:dyDescent="0.35">
      <c r="A95" s="1" t="s">
        <v>1002</v>
      </c>
      <c r="B95" s="2">
        <v>45205.191666666673</v>
      </c>
      <c r="C95" s="1" t="s">
        <v>1013</v>
      </c>
      <c r="D95">
        <v>34</v>
      </c>
      <c r="E95" s="1" t="s">
        <v>735</v>
      </c>
    </row>
    <row r="96" spans="1:5" x14ac:dyDescent="0.35">
      <c r="A96" s="1" t="s">
        <v>1120</v>
      </c>
      <c r="B96" s="2">
        <v>45219.633333333331</v>
      </c>
      <c r="C96" s="1" t="s">
        <v>1138</v>
      </c>
      <c r="D96">
        <v>18</v>
      </c>
      <c r="E96" s="1" t="s">
        <v>740</v>
      </c>
    </row>
    <row r="97" spans="1:5" x14ac:dyDescent="0.35">
      <c r="A97" s="1" t="s">
        <v>942</v>
      </c>
      <c r="B97" s="2">
        <v>45222.663194444453</v>
      </c>
      <c r="C97" s="1" t="s">
        <v>959</v>
      </c>
      <c r="D97">
        <v>6</v>
      </c>
      <c r="E97" s="1" t="s">
        <v>740</v>
      </c>
    </row>
    <row r="98" spans="1:5" x14ac:dyDescent="0.35">
      <c r="A98" s="1" t="s">
        <v>1091</v>
      </c>
      <c r="B98" s="2">
        <v>45204.237500000003</v>
      </c>
      <c r="C98" s="1" t="s">
        <v>959</v>
      </c>
      <c r="D98">
        <v>21</v>
      </c>
      <c r="E98" s="1" t="s">
        <v>738</v>
      </c>
    </row>
    <row r="99" spans="1:5" x14ac:dyDescent="0.35">
      <c r="A99" s="1" t="s">
        <v>1294</v>
      </c>
      <c r="B99" s="2">
        <v>45204.55</v>
      </c>
      <c r="C99" s="1" t="s">
        <v>959</v>
      </c>
      <c r="D99">
        <v>113</v>
      </c>
      <c r="E99" s="1" t="s">
        <v>738</v>
      </c>
    </row>
    <row r="100" spans="1:5" x14ac:dyDescent="0.35">
      <c r="A100" s="1" t="s">
        <v>1368</v>
      </c>
      <c r="B100" s="2">
        <v>45226.530555555553</v>
      </c>
      <c r="C100" s="1" t="s">
        <v>1372</v>
      </c>
      <c r="D100">
        <v>101</v>
      </c>
      <c r="E100" s="1" t="s">
        <v>740</v>
      </c>
    </row>
    <row r="101" spans="1:5" x14ac:dyDescent="0.35">
      <c r="A101" s="1" t="s">
        <v>782</v>
      </c>
      <c r="B101" s="2">
        <v>45206.273611111108</v>
      </c>
      <c r="C101" s="1" t="s">
        <v>792</v>
      </c>
      <c r="D101">
        <v>117</v>
      </c>
      <c r="E101" s="1" t="s">
        <v>740</v>
      </c>
    </row>
    <row r="102" spans="1:5" x14ac:dyDescent="0.35">
      <c r="A102" s="1" t="s">
        <v>864</v>
      </c>
      <c r="B102" s="2">
        <v>45203.22152777778</v>
      </c>
      <c r="C102" s="1" t="s">
        <v>888</v>
      </c>
      <c r="D102">
        <v>101</v>
      </c>
      <c r="E102" s="1" t="s">
        <v>735</v>
      </c>
    </row>
    <row r="103" spans="1:5" x14ac:dyDescent="0.35">
      <c r="A103" s="1" t="s">
        <v>1267</v>
      </c>
      <c r="B103" s="2">
        <v>45226.969444444447</v>
      </c>
      <c r="C103" s="1" t="s">
        <v>888</v>
      </c>
      <c r="D103">
        <v>68</v>
      </c>
      <c r="E103" s="1" t="s">
        <v>735</v>
      </c>
    </row>
    <row r="104" spans="1:5" x14ac:dyDescent="0.35">
      <c r="A104" s="1" t="s">
        <v>1267</v>
      </c>
      <c r="B104" s="2">
        <v>45227.010416666657</v>
      </c>
      <c r="C104" s="1" t="s">
        <v>1285</v>
      </c>
      <c r="D104">
        <v>49</v>
      </c>
      <c r="E104" s="1" t="s">
        <v>740</v>
      </c>
    </row>
    <row r="105" spans="1:5" x14ac:dyDescent="0.35">
      <c r="A105" s="1" t="s">
        <v>1171</v>
      </c>
      <c r="B105" s="2">
        <v>45215.288194444453</v>
      </c>
      <c r="C105" s="1" t="s">
        <v>1184</v>
      </c>
      <c r="D105">
        <v>109</v>
      </c>
      <c r="E105" s="1" t="s">
        <v>735</v>
      </c>
    </row>
    <row r="106" spans="1:5" x14ac:dyDescent="0.35">
      <c r="A106" s="1" t="s">
        <v>942</v>
      </c>
      <c r="B106" s="2">
        <v>45215.047222222223</v>
      </c>
      <c r="C106" s="1" t="s">
        <v>949</v>
      </c>
      <c r="D106">
        <v>35</v>
      </c>
      <c r="E106" s="1" t="s">
        <v>735</v>
      </c>
    </row>
    <row r="107" spans="1:5" x14ac:dyDescent="0.35">
      <c r="A107" s="1" t="s">
        <v>1091</v>
      </c>
      <c r="B107" s="2">
        <v>45222.944444444453</v>
      </c>
      <c r="C107" s="1" t="s">
        <v>949</v>
      </c>
      <c r="D107">
        <v>87</v>
      </c>
      <c r="E107" s="1" t="s">
        <v>738</v>
      </c>
    </row>
    <row r="108" spans="1:5" x14ac:dyDescent="0.35">
      <c r="A108" s="1" t="s">
        <v>1314</v>
      </c>
      <c r="B108" s="2">
        <v>45229.801388888889</v>
      </c>
      <c r="C108" s="1" t="s">
        <v>949</v>
      </c>
      <c r="D108">
        <v>89</v>
      </c>
      <c r="E108" s="1" t="s">
        <v>735</v>
      </c>
    </row>
    <row r="109" spans="1:5" x14ac:dyDescent="0.35">
      <c r="A109" s="1" t="s">
        <v>1414</v>
      </c>
      <c r="B109" s="2">
        <v>45223.794444444437</v>
      </c>
      <c r="C109" s="1" t="s">
        <v>1417</v>
      </c>
      <c r="D109">
        <v>97</v>
      </c>
      <c r="E109" s="1" t="s">
        <v>735</v>
      </c>
    </row>
    <row r="110" spans="1:5" x14ac:dyDescent="0.35">
      <c r="A110" s="1" t="s">
        <v>981</v>
      </c>
      <c r="B110" s="2">
        <v>45227.005555555559</v>
      </c>
      <c r="C110" s="1" t="s">
        <v>999</v>
      </c>
      <c r="D110">
        <v>66</v>
      </c>
      <c r="E110" s="1" t="s">
        <v>740</v>
      </c>
    </row>
    <row r="111" spans="1:5" x14ac:dyDescent="0.35">
      <c r="A111" s="1" t="s">
        <v>1120</v>
      </c>
      <c r="B111" s="2">
        <v>45210.703472222223</v>
      </c>
      <c r="C111" s="1" t="s">
        <v>1126</v>
      </c>
      <c r="D111">
        <v>20</v>
      </c>
      <c r="E111" s="1" t="s">
        <v>735</v>
      </c>
    </row>
    <row r="112" spans="1:5" x14ac:dyDescent="0.35">
      <c r="A112" s="1" t="s">
        <v>1120</v>
      </c>
      <c r="B112" s="2">
        <v>45213.763194444437</v>
      </c>
      <c r="C112" s="1" t="s">
        <v>1126</v>
      </c>
      <c r="D112">
        <v>119</v>
      </c>
      <c r="E112" s="1" t="s">
        <v>740</v>
      </c>
    </row>
    <row r="113" spans="1:5" x14ac:dyDescent="0.35">
      <c r="A113" s="1" t="s">
        <v>1414</v>
      </c>
      <c r="B113" s="2">
        <v>45230.839583333327</v>
      </c>
      <c r="C113" s="1" t="s">
        <v>1126</v>
      </c>
      <c r="D113">
        <v>83</v>
      </c>
      <c r="E113" s="1" t="s">
        <v>740</v>
      </c>
    </row>
    <row r="114" spans="1:5" x14ac:dyDescent="0.35">
      <c r="A114" s="1" t="s">
        <v>1351</v>
      </c>
      <c r="B114" s="2">
        <v>45225.088888888888</v>
      </c>
      <c r="C114" s="1" t="s">
        <v>1363</v>
      </c>
      <c r="D114">
        <v>51</v>
      </c>
      <c r="E114" s="1" t="s">
        <v>735</v>
      </c>
    </row>
    <row r="115" spans="1:5" x14ac:dyDescent="0.35">
      <c r="A115" s="1" t="s">
        <v>1225</v>
      </c>
      <c r="B115" s="2">
        <v>45214.136111111111</v>
      </c>
      <c r="C115" s="1" t="s">
        <v>1241</v>
      </c>
      <c r="D115">
        <v>92</v>
      </c>
      <c r="E115" s="1" t="s">
        <v>735</v>
      </c>
    </row>
    <row r="116" spans="1:5" x14ac:dyDescent="0.35">
      <c r="A116" s="1" t="s">
        <v>1336</v>
      </c>
      <c r="B116" s="2">
        <v>45219.821527777778</v>
      </c>
      <c r="C116" s="1" t="s">
        <v>1241</v>
      </c>
      <c r="D116">
        <v>31</v>
      </c>
      <c r="E116" s="1" t="s">
        <v>738</v>
      </c>
    </row>
    <row r="117" spans="1:5" x14ac:dyDescent="0.35">
      <c r="A117" s="1" t="s">
        <v>1028</v>
      </c>
      <c r="B117" s="2">
        <v>45220.893750000003</v>
      </c>
      <c r="C117" s="1" t="s">
        <v>1057</v>
      </c>
      <c r="D117">
        <v>101</v>
      </c>
      <c r="E117" s="1" t="s">
        <v>740</v>
      </c>
    </row>
    <row r="118" spans="1:5" x14ac:dyDescent="0.35">
      <c r="A118" s="1" t="s">
        <v>1368</v>
      </c>
      <c r="B118" s="2">
        <v>45203.041666666657</v>
      </c>
      <c r="C118" s="1" t="s">
        <v>1057</v>
      </c>
      <c r="D118">
        <v>69</v>
      </c>
      <c r="E118" s="1" t="s">
        <v>740</v>
      </c>
    </row>
    <row r="119" spans="1:5" x14ac:dyDescent="0.35">
      <c r="A119" s="1" t="s">
        <v>1351</v>
      </c>
      <c r="B119" s="2">
        <v>45211.380555555559</v>
      </c>
      <c r="C119" s="1" t="s">
        <v>1366</v>
      </c>
      <c r="D119">
        <v>84</v>
      </c>
      <c r="E119" s="1" t="s">
        <v>735</v>
      </c>
    </row>
    <row r="120" spans="1:5" x14ac:dyDescent="0.35">
      <c r="A120" s="1" t="s">
        <v>733</v>
      </c>
      <c r="B120" s="2">
        <v>45225.238888888889</v>
      </c>
      <c r="C120" s="1" t="s">
        <v>750</v>
      </c>
      <c r="D120">
        <v>16</v>
      </c>
      <c r="E120" s="1" t="s">
        <v>738</v>
      </c>
    </row>
    <row r="121" spans="1:5" x14ac:dyDescent="0.35">
      <c r="A121" s="1" t="s">
        <v>1002</v>
      </c>
      <c r="B121" s="2">
        <v>45200.115972222222</v>
      </c>
      <c r="C121" s="1" t="s">
        <v>750</v>
      </c>
      <c r="D121">
        <v>111</v>
      </c>
      <c r="E121" s="1" t="s">
        <v>740</v>
      </c>
    </row>
    <row r="122" spans="1:5" x14ac:dyDescent="0.35">
      <c r="A122" s="1" t="s">
        <v>1171</v>
      </c>
      <c r="B122" s="2">
        <v>45225.781944444447</v>
      </c>
      <c r="C122" s="1" t="s">
        <v>1183</v>
      </c>
      <c r="D122">
        <v>113</v>
      </c>
      <c r="E122" s="1" t="s">
        <v>738</v>
      </c>
    </row>
    <row r="123" spans="1:5" x14ac:dyDescent="0.35">
      <c r="A123" s="1" t="s">
        <v>981</v>
      </c>
      <c r="B123" s="2">
        <v>45207.713888888888</v>
      </c>
      <c r="C123" s="1" t="s">
        <v>982</v>
      </c>
      <c r="D123">
        <v>99</v>
      </c>
      <c r="E123" s="1" t="s">
        <v>738</v>
      </c>
    </row>
    <row r="124" spans="1:5" x14ac:dyDescent="0.35">
      <c r="A124" s="1" t="s">
        <v>1336</v>
      </c>
      <c r="B124" s="2">
        <v>45226.574305555558</v>
      </c>
      <c r="C124" s="1" t="s">
        <v>982</v>
      </c>
      <c r="D124">
        <v>81</v>
      </c>
      <c r="E124" s="1" t="s">
        <v>738</v>
      </c>
    </row>
    <row r="125" spans="1:5" x14ac:dyDescent="0.35">
      <c r="A125" s="1" t="s">
        <v>733</v>
      </c>
      <c r="B125" s="2">
        <v>45205.599999999999</v>
      </c>
      <c r="C125" s="1" t="s">
        <v>771</v>
      </c>
      <c r="D125">
        <v>19</v>
      </c>
      <c r="E125" s="1" t="s">
        <v>738</v>
      </c>
    </row>
    <row r="126" spans="1:5" x14ac:dyDescent="0.35">
      <c r="A126" s="1" t="s">
        <v>782</v>
      </c>
      <c r="B126" s="2">
        <v>45201.770833333343</v>
      </c>
      <c r="C126" s="1" t="s">
        <v>771</v>
      </c>
      <c r="D126">
        <v>18</v>
      </c>
      <c r="E126" s="1" t="s">
        <v>740</v>
      </c>
    </row>
    <row r="127" spans="1:5" x14ac:dyDescent="0.35">
      <c r="A127" s="1" t="s">
        <v>1144</v>
      </c>
      <c r="B127" s="2">
        <v>45204.68472222222</v>
      </c>
      <c r="C127" s="1" t="s">
        <v>1167</v>
      </c>
      <c r="D127">
        <v>92</v>
      </c>
      <c r="E127" s="1" t="s">
        <v>735</v>
      </c>
    </row>
    <row r="128" spans="1:5" x14ac:dyDescent="0.35">
      <c r="A128" s="1" t="s">
        <v>1225</v>
      </c>
      <c r="B128" s="2">
        <v>45225.921527777777</v>
      </c>
      <c r="C128" s="1" t="s">
        <v>1167</v>
      </c>
      <c r="D128">
        <v>45</v>
      </c>
      <c r="E128" s="1" t="s">
        <v>735</v>
      </c>
    </row>
    <row r="129" spans="1:5" x14ac:dyDescent="0.35">
      <c r="A129" s="1" t="s">
        <v>1247</v>
      </c>
      <c r="B129" s="2">
        <v>45224.310416666667</v>
      </c>
      <c r="C129" s="1" t="s">
        <v>1167</v>
      </c>
      <c r="D129">
        <v>98</v>
      </c>
      <c r="E129" s="1" t="s">
        <v>738</v>
      </c>
    </row>
    <row r="130" spans="1:5" x14ac:dyDescent="0.35">
      <c r="A130" s="1" t="s">
        <v>1199</v>
      </c>
      <c r="B130" s="2">
        <v>45212.417361111111</v>
      </c>
      <c r="C130" s="1" t="s">
        <v>1204</v>
      </c>
      <c r="D130">
        <v>55</v>
      </c>
      <c r="E130" s="1" t="s">
        <v>738</v>
      </c>
    </row>
    <row r="131" spans="1:5" x14ac:dyDescent="0.35">
      <c r="A131" s="1" t="s">
        <v>1225</v>
      </c>
      <c r="B131" s="2">
        <v>45203.910416666673</v>
      </c>
      <c r="C131" s="1" t="s">
        <v>1204</v>
      </c>
      <c r="D131">
        <v>62</v>
      </c>
      <c r="E131" s="1" t="s">
        <v>735</v>
      </c>
    </row>
    <row r="132" spans="1:5" x14ac:dyDescent="0.35">
      <c r="A132" s="1" t="s">
        <v>1351</v>
      </c>
      <c r="B132" s="2">
        <v>45216.435416666667</v>
      </c>
      <c r="C132" s="1" t="s">
        <v>1204</v>
      </c>
      <c r="D132">
        <v>88</v>
      </c>
      <c r="E132" s="1" t="s">
        <v>735</v>
      </c>
    </row>
    <row r="133" spans="1:5" x14ac:dyDescent="0.35">
      <c r="A133" s="1" t="s">
        <v>981</v>
      </c>
      <c r="B133" s="2">
        <v>45210.007638888892</v>
      </c>
      <c r="C133" s="1" t="s">
        <v>1001</v>
      </c>
      <c r="D133">
        <v>59</v>
      </c>
      <c r="E133" s="1" t="s">
        <v>738</v>
      </c>
    </row>
    <row r="134" spans="1:5" x14ac:dyDescent="0.35">
      <c r="A134" s="1" t="s">
        <v>1002</v>
      </c>
      <c r="B134" s="2">
        <v>45209.462500000001</v>
      </c>
      <c r="C134" s="1" t="s">
        <v>1001</v>
      </c>
      <c r="D134">
        <v>102</v>
      </c>
      <c r="E134" s="1" t="s">
        <v>740</v>
      </c>
    </row>
    <row r="135" spans="1:5" x14ac:dyDescent="0.35">
      <c r="A135" s="1" t="s">
        <v>1414</v>
      </c>
      <c r="B135" s="2">
        <v>45200.836111111108</v>
      </c>
      <c r="C135" s="1" t="s">
        <v>1001</v>
      </c>
      <c r="D135">
        <v>6</v>
      </c>
      <c r="E135" s="1" t="s">
        <v>735</v>
      </c>
    </row>
    <row r="136" spans="1:5" x14ac:dyDescent="0.35">
      <c r="A136" s="1" t="s">
        <v>905</v>
      </c>
      <c r="B136" s="2">
        <v>45230.629861111112</v>
      </c>
      <c r="C136" s="1" t="s">
        <v>907</v>
      </c>
      <c r="D136">
        <v>91</v>
      </c>
      <c r="E136" s="1" t="s">
        <v>735</v>
      </c>
    </row>
    <row r="137" spans="1:5" x14ac:dyDescent="0.35">
      <c r="A137" s="1" t="s">
        <v>1351</v>
      </c>
      <c r="B137" s="2">
        <v>45225.432638888888</v>
      </c>
      <c r="C137" s="1" t="s">
        <v>907</v>
      </c>
      <c r="D137">
        <v>50</v>
      </c>
      <c r="E137" s="1" t="s">
        <v>738</v>
      </c>
    </row>
    <row r="138" spans="1:5" x14ac:dyDescent="0.35">
      <c r="A138" s="1" t="s">
        <v>1351</v>
      </c>
      <c r="B138" s="2">
        <v>45230.395138888889</v>
      </c>
      <c r="C138" s="1" t="s">
        <v>1367</v>
      </c>
      <c r="D138">
        <v>89</v>
      </c>
      <c r="E138" s="1" t="s">
        <v>740</v>
      </c>
    </row>
    <row r="139" spans="1:5" x14ac:dyDescent="0.35">
      <c r="A139" s="1" t="s">
        <v>1144</v>
      </c>
      <c r="B139" s="2">
        <v>45207.011111111111</v>
      </c>
      <c r="C139" s="1" t="s">
        <v>1148</v>
      </c>
      <c r="D139">
        <v>32</v>
      </c>
      <c r="E139" s="1" t="s">
        <v>735</v>
      </c>
    </row>
    <row r="140" spans="1:5" x14ac:dyDescent="0.35">
      <c r="A140" s="1" t="s">
        <v>1389</v>
      </c>
      <c r="B140" s="2">
        <v>45204.625</v>
      </c>
      <c r="C140" s="1" t="s">
        <v>1391</v>
      </c>
      <c r="D140">
        <v>94</v>
      </c>
      <c r="E140" s="1" t="s">
        <v>740</v>
      </c>
    </row>
    <row r="141" spans="1:5" x14ac:dyDescent="0.35">
      <c r="A141" s="1" t="s">
        <v>905</v>
      </c>
      <c r="B141" s="2">
        <v>45214.929861111108</v>
      </c>
      <c r="C141" s="1" t="s">
        <v>936</v>
      </c>
      <c r="D141">
        <v>89</v>
      </c>
      <c r="E141" s="1" t="s">
        <v>740</v>
      </c>
    </row>
    <row r="142" spans="1:5" x14ac:dyDescent="0.35">
      <c r="A142" s="1" t="s">
        <v>1091</v>
      </c>
      <c r="B142" s="2">
        <v>45202.912499999999</v>
      </c>
      <c r="C142" s="1" t="s">
        <v>1092</v>
      </c>
      <c r="D142">
        <v>68</v>
      </c>
      <c r="E142" s="1" t="s">
        <v>740</v>
      </c>
    </row>
    <row r="143" spans="1:5" x14ac:dyDescent="0.35">
      <c r="A143" s="1" t="s">
        <v>1351</v>
      </c>
      <c r="B143" s="2">
        <v>45218.794444444437</v>
      </c>
      <c r="C143" s="1" t="s">
        <v>1355</v>
      </c>
      <c r="D143">
        <v>108</v>
      </c>
      <c r="E143" s="1" t="s">
        <v>735</v>
      </c>
    </row>
    <row r="144" spans="1:5" x14ac:dyDescent="0.35">
      <c r="A144" s="1" t="s">
        <v>1028</v>
      </c>
      <c r="B144" s="2">
        <v>45207.17291666667</v>
      </c>
      <c r="C144" s="1" t="s">
        <v>1060</v>
      </c>
      <c r="D144">
        <v>73</v>
      </c>
      <c r="E144" s="1" t="s">
        <v>740</v>
      </c>
    </row>
    <row r="145" spans="1:5" x14ac:dyDescent="0.35">
      <c r="A145" s="1" t="s">
        <v>981</v>
      </c>
      <c r="B145" s="2">
        <v>45228.848611111112</v>
      </c>
      <c r="C145" s="1" t="s">
        <v>991</v>
      </c>
      <c r="D145">
        <v>18</v>
      </c>
      <c r="E145" s="1" t="s">
        <v>740</v>
      </c>
    </row>
    <row r="146" spans="1:5" x14ac:dyDescent="0.35">
      <c r="A146" s="1" t="s">
        <v>1063</v>
      </c>
      <c r="B146" s="2">
        <v>45208.074999999997</v>
      </c>
      <c r="C146" s="1" t="s">
        <v>991</v>
      </c>
      <c r="D146">
        <v>82</v>
      </c>
      <c r="E146" s="1" t="s">
        <v>740</v>
      </c>
    </row>
    <row r="147" spans="1:5" x14ac:dyDescent="0.35">
      <c r="A147" s="1" t="s">
        <v>782</v>
      </c>
      <c r="B147" s="2">
        <v>45214.457638888889</v>
      </c>
      <c r="C147" s="1" t="s">
        <v>823</v>
      </c>
      <c r="D147">
        <v>48</v>
      </c>
      <c r="E147" s="1" t="s">
        <v>740</v>
      </c>
    </row>
    <row r="148" spans="1:5" x14ac:dyDescent="0.35">
      <c r="A148" s="1" t="s">
        <v>1144</v>
      </c>
      <c r="B148" s="2">
        <v>45220.488888888889</v>
      </c>
      <c r="C148" s="1" t="s">
        <v>823</v>
      </c>
      <c r="D148">
        <v>49</v>
      </c>
      <c r="E148" s="1" t="s">
        <v>740</v>
      </c>
    </row>
    <row r="149" spans="1:5" x14ac:dyDescent="0.35">
      <c r="A149" s="1" t="s">
        <v>1414</v>
      </c>
      <c r="B149" s="2">
        <v>45212.875694444447</v>
      </c>
      <c r="C149" s="1" t="s">
        <v>1423</v>
      </c>
      <c r="D149">
        <v>23</v>
      </c>
      <c r="E149" s="1" t="s">
        <v>735</v>
      </c>
    </row>
    <row r="150" spans="1:5" x14ac:dyDescent="0.35">
      <c r="A150" s="1" t="s">
        <v>782</v>
      </c>
      <c r="B150" s="2">
        <v>45206.539583333331</v>
      </c>
      <c r="C150" s="1" t="s">
        <v>799</v>
      </c>
      <c r="D150">
        <v>43</v>
      </c>
      <c r="E150" s="1" t="s">
        <v>735</v>
      </c>
    </row>
    <row r="151" spans="1:5" x14ac:dyDescent="0.35">
      <c r="A151" s="1" t="s">
        <v>1267</v>
      </c>
      <c r="B151" s="2">
        <v>45228.621527777781</v>
      </c>
      <c r="C151" s="1" t="s">
        <v>799</v>
      </c>
      <c r="D151">
        <v>98</v>
      </c>
      <c r="E151" s="1" t="s">
        <v>740</v>
      </c>
    </row>
    <row r="152" spans="1:5" x14ac:dyDescent="0.35">
      <c r="A152" s="1" t="s">
        <v>1389</v>
      </c>
      <c r="B152" s="2">
        <v>45212.901388888888</v>
      </c>
      <c r="C152" s="1" t="s">
        <v>799</v>
      </c>
      <c r="D152">
        <v>58</v>
      </c>
      <c r="E152" s="1" t="s">
        <v>735</v>
      </c>
    </row>
    <row r="153" spans="1:5" x14ac:dyDescent="0.35">
      <c r="A153" s="1" t="s">
        <v>905</v>
      </c>
      <c r="B153" s="2">
        <v>45203.718055555553</v>
      </c>
      <c r="C153" s="1" t="s">
        <v>931</v>
      </c>
      <c r="D153">
        <v>114</v>
      </c>
      <c r="E153" s="1" t="s">
        <v>738</v>
      </c>
    </row>
    <row r="154" spans="1:5" x14ac:dyDescent="0.35">
      <c r="A154" s="1" t="s">
        <v>942</v>
      </c>
      <c r="B154" s="2">
        <v>45230.444444444453</v>
      </c>
      <c r="C154" s="1" t="s">
        <v>931</v>
      </c>
      <c r="D154">
        <v>40</v>
      </c>
      <c r="E154" s="1" t="s">
        <v>735</v>
      </c>
    </row>
    <row r="155" spans="1:5" x14ac:dyDescent="0.35">
      <c r="A155" s="1" t="s">
        <v>942</v>
      </c>
      <c r="B155" s="2">
        <v>45228.001388888893</v>
      </c>
      <c r="C155" s="1" t="s">
        <v>967</v>
      </c>
      <c r="D155">
        <v>100</v>
      </c>
      <c r="E155" s="1" t="s">
        <v>738</v>
      </c>
    </row>
    <row r="156" spans="1:5" x14ac:dyDescent="0.35">
      <c r="A156" s="1" t="s">
        <v>1247</v>
      </c>
      <c r="B156" s="2">
        <v>45210.49722222222</v>
      </c>
      <c r="C156" s="1" t="s">
        <v>967</v>
      </c>
      <c r="D156">
        <v>75</v>
      </c>
      <c r="E156" s="1" t="s">
        <v>740</v>
      </c>
    </row>
    <row r="157" spans="1:5" x14ac:dyDescent="0.35">
      <c r="A157" s="1" t="s">
        <v>1267</v>
      </c>
      <c r="B157" s="2">
        <v>45212.174305555563</v>
      </c>
      <c r="C157" s="1" t="s">
        <v>1286</v>
      </c>
      <c r="D157">
        <v>112</v>
      </c>
      <c r="E157" s="1" t="s">
        <v>740</v>
      </c>
    </row>
    <row r="158" spans="1:5" x14ac:dyDescent="0.35">
      <c r="A158" s="1" t="s">
        <v>942</v>
      </c>
      <c r="B158" s="2">
        <v>45222.51666666667</v>
      </c>
      <c r="C158" s="1" t="s">
        <v>947</v>
      </c>
      <c r="D158">
        <v>66</v>
      </c>
      <c r="E158" s="1" t="s">
        <v>735</v>
      </c>
    </row>
    <row r="159" spans="1:5" x14ac:dyDescent="0.35">
      <c r="A159" s="1" t="s">
        <v>1120</v>
      </c>
      <c r="B159" s="2">
        <v>45219.636111111111</v>
      </c>
      <c r="C159" s="1" t="s">
        <v>947</v>
      </c>
      <c r="D159">
        <v>49</v>
      </c>
      <c r="E159" s="1" t="s">
        <v>735</v>
      </c>
    </row>
    <row r="160" spans="1:5" x14ac:dyDescent="0.35">
      <c r="A160" s="1" t="s">
        <v>1351</v>
      </c>
      <c r="B160" s="2">
        <v>45210.675000000003</v>
      </c>
      <c r="C160" s="1" t="s">
        <v>947</v>
      </c>
      <c r="D160">
        <v>86</v>
      </c>
      <c r="E160" s="1" t="s">
        <v>740</v>
      </c>
    </row>
    <row r="161" spans="1:5" x14ac:dyDescent="0.35">
      <c r="A161" s="1" t="s">
        <v>1028</v>
      </c>
      <c r="B161" s="2">
        <v>45202.779166666667</v>
      </c>
      <c r="C161" s="1" t="s">
        <v>1047</v>
      </c>
      <c r="D161">
        <v>61</v>
      </c>
      <c r="E161" s="1" t="s">
        <v>740</v>
      </c>
    </row>
    <row r="162" spans="1:5" x14ac:dyDescent="0.35">
      <c r="A162" s="1" t="s">
        <v>1199</v>
      </c>
      <c r="B162" s="2">
        <v>45213.351388888892</v>
      </c>
      <c r="C162" s="1" t="s">
        <v>1223</v>
      </c>
      <c r="D162">
        <v>86</v>
      </c>
      <c r="E162" s="1" t="s">
        <v>740</v>
      </c>
    </row>
    <row r="163" spans="1:5" x14ac:dyDescent="0.35">
      <c r="A163" s="1" t="s">
        <v>1091</v>
      </c>
      <c r="B163" s="2">
        <v>45209.239583333343</v>
      </c>
      <c r="C163" s="1" t="s">
        <v>1093</v>
      </c>
      <c r="D163">
        <v>42</v>
      </c>
      <c r="E163" s="1" t="s">
        <v>740</v>
      </c>
    </row>
    <row r="164" spans="1:5" x14ac:dyDescent="0.35">
      <c r="A164" s="1" t="s">
        <v>1267</v>
      </c>
      <c r="B164" s="2">
        <v>45204.916666666657</v>
      </c>
      <c r="C164" s="1" t="s">
        <v>1272</v>
      </c>
      <c r="D164">
        <v>64</v>
      </c>
      <c r="E164" s="1" t="s">
        <v>740</v>
      </c>
    </row>
    <row r="165" spans="1:5" x14ac:dyDescent="0.35">
      <c r="A165" s="1" t="s">
        <v>1294</v>
      </c>
      <c r="B165" s="2">
        <v>45227.421527777777</v>
      </c>
      <c r="C165" s="1" t="s">
        <v>1272</v>
      </c>
      <c r="D165">
        <v>25</v>
      </c>
      <c r="E165" s="1" t="s">
        <v>738</v>
      </c>
    </row>
    <row r="166" spans="1:5" x14ac:dyDescent="0.35">
      <c r="A166" s="1" t="s">
        <v>1063</v>
      </c>
      <c r="B166" s="2">
        <v>45205.169444444437</v>
      </c>
      <c r="C166" s="1" t="s">
        <v>1084</v>
      </c>
      <c r="D166">
        <v>18</v>
      </c>
      <c r="E166" s="1" t="s">
        <v>738</v>
      </c>
    </row>
    <row r="167" spans="1:5" x14ac:dyDescent="0.35">
      <c r="A167" s="1" t="s">
        <v>782</v>
      </c>
      <c r="B167" s="2">
        <v>45208.505555555559</v>
      </c>
      <c r="C167" s="1" t="s">
        <v>821</v>
      </c>
      <c r="D167">
        <v>31</v>
      </c>
      <c r="E167" s="1" t="s">
        <v>740</v>
      </c>
    </row>
    <row r="168" spans="1:5" x14ac:dyDescent="0.35">
      <c r="A168" s="1" t="s">
        <v>981</v>
      </c>
      <c r="B168" s="2">
        <v>45227.462500000001</v>
      </c>
      <c r="C168" s="1" t="s">
        <v>821</v>
      </c>
      <c r="D168">
        <v>70</v>
      </c>
      <c r="E168" s="1" t="s">
        <v>740</v>
      </c>
    </row>
    <row r="169" spans="1:5" x14ac:dyDescent="0.35">
      <c r="A169" s="1" t="s">
        <v>782</v>
      </c>
      <c r="B169" s="2">
        <v>45203.760416666657</v>
      </c>
      <c r="C169" s="1" t="s">
        <v>814</v>
      </c>
      <c r="D169">
        <v>18</v>
      </c>
      <c r="E169" s="1" t="s">
        <v>740</v>
      </c>
    </row>
    <row r="170" spans="1:5" x14ac:dyDescent="0.35">
      <c r="A170" s="1" t="s">
        <v>1171</v>
      </c>
      <c r="B170" s="2">
        <v>45230.009027777778</v>
      </c>
      <c r="C170" s="1" t="s">
        <v>814</v>
      </c>
      <c r="D170">
        <v>11</v>
      </c>
      <c r="E170" s="1" t="s">
        <v>738</v>
      </c>
    </row>
    <row r="171" spans="1:5" x14ac:dyDescent="0.35">
      <c r="A171" s="1" t="s">
        <v>1336</v>
      </c>
      <c r="B171" s="2">
        <v>45205.650694444441</v>
      </c>
      <c r="C171" s="1" t="s">
        <v>1348</v>
      </c>
      <c r="D171">
        <v>63</v>
      </c>
      <c r="E171" s="1" t="s">
        <v>735</v>
      </c>
    </row>
    <row r="172" spans="1:5" x14ac:dyDescent="0.35">
      <c r="A172" s="1" t="s">
        <v>1314</v>
      </c>
      <c r="B172" s="2">
        <v>45223.030555555553</v>
      </c>
      <c r="C172" s="1" t="s">
        <v>1316</v>
      </c>
      <c r="D172">
        <v>59</v>
      </c>
      <c r="E172" s="1" t="s">
        <v>735</v>
      </c>
    </row>
    <row r="173" spans="1:5" x14ac:dyDescent="0.35">
      <c r="A173" s="1" t="s">
        <v>733</v>
      </c>
      <c r="B173" s="2">
        <v>45217.411805555559</v>
      </c>
      <c r="C173" s="1" t="s">
        <v>758</v>
      </c>
      <c r="D173">
        <v>92</v>
      </c>
      <c r="E173" s="1" t="s">
        <v>740</v>
      </c>
    </row>
    <row r="174" spans="1:5" x14ac:dyDescent="0.35">
      <c r="A174" s="1" t="s">
        <v>1351</v>
      </c>
      <c r="B174" s="2">
        <v>45206.43472222222</v>
      </c>
      <c r="C174" s="1" t="s">
        <v>758</v>
      </c>
      <c r="D174">
        <v>98</v>
      </c>
      <c r="E174" s="1" t="s">
        <v>735</v>
      </c>
    </row>
    <row r="175" spans="1:5" x14ac:dyDescent="0.35">
      <c r="A175" s="1" t="s">
        <v>1389</v>
      </c>
      <c r="B175" s="2">
        <v>45206.259027777778</v>
      </c>
      <c r="C175" s="1" t="s">
        <v>1400</v>
      </c>
      <c r="D175">
        <v>104</v>
      </c>
      <c r="E175" s="1" t="s">
        <v>735</v>
      </c>
    </row>
    <row r="176" spans="1:5" x14ac:dyDescent="0.35">
      <c r="A176" s="1" t="s">
        <v>1144</v>
      </c>
      <c r="B176" s="2">
        <v>45216.275000000001</v>
      </c>
      <c r="C176" s="1" t="s">
        <v>1162</v>
      </c>
      <c r="D176">
        <v>119</v>
      </c>
      <c r="E176" s="1" t="s">
        <v>740</v>
      </c>
    </row>
    <row r="177" spans="1:5" x14ac:dyDescent="0.35">
      <c r="A177" s="1" t="s">
        <v>1389</v>
      </c>
      <c r="B177" s="2">
        <v>45227.447916666657</v>
      </c>
      <c r="C177" s="1" t="s">
        <v>1162</v>
      </c>
      <c r="D177">
        <v>84</v>
      </c>
      <c r="E177" s="1" t="s">
        <v>738</v>
      </c>
    </row>
    <row r="178" spans="1:5" x14ac:dyDescent="0.35">
      <c r="A178" s="1" t="s">
        <v>1120</v>
      </c>
      <c r="B178" s="2">
        <v>45216.865277777782</v>
      </c>
      <c r="C178" s="1" t="s">
        <v>1131</v>
      </c>
      <c r="D178">
        <v>10</v>
      </c>
      <c r="E178" s="1" t="s">
        <v>738</v>
      </c>
    </row>
    <row r="179" spans="1:5" x14ac:dyDescent="0.35">
      <c r="A179" s="1" t="s">
        <v>826</v>
      </c>
      <c r="B179" s="2">
        <v>45221.555555555547</v>
      </c>
      <c r="C179" s="1" t="s">
        <v>844</v>
      </c>
      <c r="D179">
        <v>103</v>
      </c>
      <c r="E179" s="1" t="s">
        <v>738</v>
      </c>
    </row>
    <row r="180" spans="1:5" x14ac:dyDescent="0.35">
      <c r="A180" s="1" t="s">
        <v>905</v>
      </c>
      <c r="B180" s="2">
        <v>45227.775694444441</v>
      </c>
      <c r="C180" s="1" t="s">
        <v>844</v>
      </c>
      <c r="D180">
        <v>45</v>
      </c>
      <c r="E180" s="1" t="s">
        <v>740</v>
      </c>
    </row>
    <row r="181" spans="1:5" x14ac:dyDescent="0.35">
      <c r="A181" s="1" t="s">
        <v>1063</v>
      </c>
      <c r="B181" s="2">
        <v>45226.84097222222</v>
      </c>
      <c r="C181" s="1" t="s">
        <v>1081</v>
      </c>
      <c r="D181">
        <v>74</v>
      </c>
      <c r="E181" s="1" t="s">
        <v>738</v>
      </c>
    </row>
    <row r="182" spans="1:5" x14ac:dyDescent="0.35">
      <c r="A182" s="1" t="s">
        <v>1091</v>
      </c>
      <c r="B182" s="2">
        <v>45218.088888888888</v>
      </c>
      <c r="C182" s="1" t="s">
        <v>1081</v>
      </c>
      <c r="D182">
        <v>12</v>
      </c>
      <c r="E182" s="1" t="s">
        <v>740</v>
      </c>
    </row>
    <row r="183" spans="1:5" x14ac:dyDescent="0.35">
      <c r="A183" s="1" t="s">
        <v>1091</v>
      </c>
      <c r="B183" s="2">
        <v>45209.215277777781</v>
      </c>
      <c r="C183" s="1" t="s">
        <v>1081</v>
      </c>
      <c r="D183">
        <v>23</v>
      </c>
      <c r="E183" s="1" t="s">
        <v>740</v>
      </c>
    </row>
    <row r="184" spans="1:5" x14ac:dyDescent="0.35">
      <c r="A184" s="1" t="s">
        <v>1389</v>
      </c>
      <c r="B184" s="2">
        <v>45219.438888888893</v>
      </c>
      <c r="C184" s="1" t="s">
        <v>1397</v>
      </c>
      <c r="D184">
        <v>105</v>
      </c>
      <c r="E184" s="1" t="s">
        <v>738</v>
      </c>
    </row>
    <row r="185" spans="1:5" x14ac:dyDescent="0.35">
      <c r="A185" s="1" t="s">
        <v>733</v>
      </c>
      <c r="B185" s="2">
        <v>45206.919444444444</v>
      </c>
      <c r="C185" s="1" t="s">
        <v>760</v>
      </c>
      <c r="D185">
        <v>13</v>
      </c>
      <c r="E185" s="1" t="s">
        <v>738</v>
      </c>
    </row>
    <row r="186" spans="1:5" x14ac:dyDescent="0.35">
      <c r="A186" s="1" t="s">
        <v>782</v>
      </c>
      <c r="B186" s="2">
        <v>45229.595833333333</v>
      </c>
      <c r="C186" s="1" t="s">
        <v>760</v>
      </c>
      <c r="D186">
        <v>88</v>
      </c>
      <c r="E186" s="1" t="s">
        <v>740</v>
      </c>
    </row>
    <row r="187" spans="1:5" x14ac:dyDescent="0.35">
      <c r="A187" s="1" t="s">
        <v>1028</v>
      </c>
      <c r="B187" s="2">
        <v>45202.42083333333</v>
      </c>
      <c r="C187" s="1" t="s">
        <v>760</v>
      </c>
      <c r="D187">
        <v>84</v>
      </c>
      <c r="E187" s="1" t="s">
        <v>735</v>
      </c>
    </row>
    <row r="188" spans="1:5" x14ac:dyDescent="0.35">
      <c r="A188" s="1" t="s">
        <v>942</v>
      </c>
      <c r="B188" s="2">
        <v>45208.594444444447</v>
      </c>
      <c r="C188" s="1" t="s">
        <v>975</v>
      </c>
      <c r="D188">
        <v>50</v>
      </c>
      <c r="E188" s="1" t="s">
        <v>735</v>
      </c>
    </row>
    <row r="189" spans="1:5" x14ac:dyDescent="0.35">
      <c r="A189" s="1" t="s">
        <v>1002</v>
      </c>
      <c r="B189" s="2">
        <v>45218.647916666669</v>
      </c>
      <c r="C189" s="1" t="s">
        <v>1025</v>
      </c>
      <c r="D189">
        <v>78</v>
      </c>
      <c r="E189" s="1" t="s">
        <v>735</v>
      </c>
    </row>
    <row r="190" spans="1:5" x14ac:dyDescent="0.35">
      <c r="A190" s="1" t="s">
        <v>1225</v>
      </c>
      <c r="B190" s="2">
        <v>45200.629166666673</v>
      </c>
      <c r="C190" s="1" t="s">
        <v>1025</v>
      </c>
      <c r="D190">
        <v>73</v>
      </c>
      <c r="E190" s="1" t="s">
        <v>738</v>
      </c>
    </row>
    <row r="191" spans="1:5" x14ac:dyDescent="0.35">
      <c r="A191" s="1" t="s">
        <v>1002</v>
      </c>
      <c r="B191" s="2">
        <v>45203.35833333333</v>
      </c>
      <c r="C191" s="1" t="s">
        <v>1007</v>
      </c>
      <c r="D191">
        <v>5</v>
      </c>
      <c r="E191" s="1" t="s">
        <v>735</v>
      </c>
    </row>
    <row r="192" spans="1:5" x14ac:dyDescent="0.35">
      <c r="A192" s="1" t="s">
        <v>942</v>
      </c>
      <c r="B192" s="2">
        <v>45227.144444444442</v>
      </c>
      <c r="C192" s="1" t="s">
        <v>965</v>
      </c>
      <c r="D192">
        <v>11</v>
      </c>
      <c r="E192" s="1" t="s">
        <v>738</v>
      </c>
    </row>
    <row r="193" spans="1:5" x14ac:dyDescent="0.35">
      <c r="A193" s="1" t="s">
        <v>1294</v>
      </c>
      <c r="B193" s="2">
        <v>45215.580555555563</v>
      </c>
      <c r="C193" s="1" t="s">
        <v>965</v>
      </c>
      <c r="D193">
        <v>102</v>
      </c>
      <c r="E193" s="1" t="s">
        <v>740</v>
      </c>
    </row>
    <row r="194" spans="1:5" x14ac:dyDescent="0.35">
      <c r="A194" s="1" t="s">
        <v>733</v>
      </c>
      <c r="B194" s="2">
        <v>45213.311111111114</v>
      </c>
      <c r="C194" s="1" t="s">
        <v>747</v>
      </c>
      <c r="D194">
        <v>22</v>
      </c>
      <c r="E194" s="1" t="s">
        <v>738</v>
      </c>
    </row>
    <row r="195" spans="1:5" x14ac:dyDescent="0.35">
      <c r="A195" s="1" t="s">
        <v>1144</v>
      </c>
      <c r="B195" s="2">
        <v>45212.311111111107</v>
      </c>
      <c r="C195" s="1" t="s">
        <v>747</v>
      </c>
      <c r="D195">
        <v>79</v>
      </c>
      <c r="E195" s="1" t="s">
        <v>735</v>
      </c>
    </row>
    <row r="196" spans="1:5" x14ac:dyDescent="0.35">
      <c r="A196" s="1" t="s">
        <v>1171</v>
      </c>
      <c r="B196" s="2">
        <v>45227.091666666667</v>
      </c>
      <c r="C196" s="1" t="s">
        <v>1182</v>
      </c>
      <c r="D196">
        <v>112</v>
      </c>
      <c r="E196" s="1" t="s">
        <v>735</v>
      </c>
    </row>
    <row r="197" spans="1:5" x14ac:dyDescent="0.35">
      <c r="A197" s="1" t="s">
        <v>1199</v>
      </c>
      <c r="B197" s="2">
        <v>45202.804166666669</v>
      </c>
      <c r="C197" s="1" t="s">
        <v>1208</v>
      </c>
      <c r="D197">
        <v>115</v>
      </c>
      <c r="E197" s="1" t="s">
        <v>738</v>
      </c>
    </row>
    <row r="198" spans="1:5" x14ac:dyDescent="0.35">
      <c r="A198" s="1" t="s">
        <v>1414</v>
      </c>
      <c r="B198" s="2">
        <v>45206.902777777781</v>
      </c>
      <c r="C198" s="1" t="s">
        <v>1415</v>
      </c>
      <c r="D198">
        <v>75</v>
      </c>
      <c r="E198" s="1" t="s">
        <v>740</v>
      </c>
    </row>
    <row r="199" spans="1:5" x14ac:dyDescent="0.35">
      <c r="A199" s="1" t="s">
        <v>1389</v>
      </c>
      <c r="B199" s="2">
        <v>45217.324305555558</v>
      </c>
      <c r="C199" s="1" t="s">
        <v>1412</v>
      </c>
      <c r="D199">
        <v>14</v>
      </c>
      <c r="E199" s="1" t="s">
        <v>738</v>
      </c>
    </row>
    <row r="200" spans="1:5" x14ac:dyDescent="0.35">
      <c r="A200" s="1" t="s">
        <v>905</v>
      </c>
      <c r="B200" s="2">
        <v>45203.277777777781</v>
      </c>
      <c r="C200" s="1" t="s">
        <v>921</v>
      </c>
      <c r="D200">
        <v>79</v>
      </c>
      <c r="E200" s="1" t="s">
        <v>738</v>
      </c>
    </row>
    <row r="201" spans="1:5" x14ac:dyDescent="0.35">
      <c r="A201" s="1" t="s">
        <v>1294</v>
      </c>
      <c r="B201" s="2">
        <v>45226.975694444453</v>
      </c>
      <c r="C201" s="1" t="s">
        <v>921</v>
      </c>
      <c r="D201">
        <v>89</v>
      </c>
      <c r="E201" s="1" t="s">
        <v>740</v>
      </c>
    </row>
    <row r="202" spans="1:5" x14ac:dyDescent="0.35">
      <c r="A202" s="1" t="s">
        <v>1336</v>
      </c>
      <c r="B202" s="2">
        <v>45215.811111111107</v>
      </c>
      <c r="C202" s="1" t="s">
        <v>921</v>
      </c>
      <c r="D202">
        <v>49</v>
      </c>
      <c r="E202" s="1" t="s">
        <v>738</v>
      </c>
    </row>
    <row r="203" spans="1:5" x14ac:dyDescent="0.35">
      <c r="A203" s="1" t="s">
        <v>1144</v>
      </c>
      <c r="B203" s="2">
        <v>45210.686111111107</v>
      </c>
      <c r="C203" s="1" t="s">
        <v>1163</v>
      </c>
      <c r="D203">
        <v>62</v>
      </c>
      <c r="E203" s="1" t="s">
        <v>738</v>
      </c>
    </row>
    <row r="204" spans="1:5" x14ac:dyDescent="0.35">
      <c r="A204" s="1" t="s">
        <v>1247</v>
      </c>
      <c r="B204" s="2">
        <v>45210.908333333333</v>
      </c>
      <c r="C204" s="1" t="s">
        <v>1163</v>
      </c>
      <c r="D204">
        <v>57</v>
      </c>
      <c r="E204" s="1" t="s">
        <v>740</v>
      </c>
    </row>
    <row r="205" spans="1:5" x14ac:dyDescent="0.35">
      <c r="A205" s="1" t="s">
        <v>1091</v>
      </c>
      <c r="B205" s="2">
        <v>45216.078472222223</v>
      </c>
      <c r="C205" s="1" t="s">
        <v>1108</v>
      </c>
      <c r="D205">
        <v>48</v>
      </c>
      <c r="E205" s="1" t="s">
        <v>738</v>
      </c>
    </row>
    <row r="206" spans="1:5" x14ac:dyDescent="0.35">
      <c r="A206" s="1" t="s">
        <v>864</v>
      </c>
      <c r="B206" s="2">
        <v>45210.270138888889</v>
      </c>
      <c r="C206" s="1" t="s">
        <v>874</v>
      </c>
      <c r="D206">
        <v>104</v>
      </c>
      <c r="E206" s="1" t="s">
        <v>740</v>
      </c>
    </row>
    <row r="207" spans="1:5" x14ac:dyDescent="0.35">
      <c r="A207" s="1" t="s">
        <v>1171</v>
      </c>
      <c r="B207" s="2">
        <v>45203.991666666669</v>
      </c>
      <c r="C207" s="1" t="s">
        <v>1185</v>
      </c>
      <c r="D207">
        <v>5</v>
      </c>
      <c r="E207" s="1" t="s">
        <v>740</v>
      </c>
    </row>
    <row r="208" spans="1:5" x14ac:dyDescent="0.35">
      <c r="A208" s="1" t="s">
        <v>1028</v>
      </c>
      <c r="B208" s="2">
        <v>45201.623611111107</v>
      </c>
      <c r="C208" s="1" t="s">
        <v>1034</v>
      </c>
      <c r="D208">
        <v>9</v>
      </c>
      <c r="E208" s="1" t="s">
        <v>735</v>
      </c>
    </row>
    <row r="209" spans="1:5" x14ac:dyDescent="0.35">
      <c r="A209" s="1" t="s">
        <v>1414</v>
      </c>
      <c r="B209" s="2">
        <v>45230.731944444437</v>
      </c>
      <c r="C209" s="1" t="s">
        <v>1034</v>
      </c>
      <c r="D209">
        <v>52</v>
      </c>
      <c r="E209" s="1" t="s">
        <v>735</v>
      </c>
    </row>
    <row r="210" spans="1:5" x14ac:dyDescent="0.35">
      <c r="A210" s="1" t="s">
        <v>1414</v>
      </c>
      <c r="B210" s="2">
        <v>45224.984027777777</v>
      </c>
      <c r="C210" s="1" t="s">
        <v>1418</v>
      </c>
      <c r="D210">
        <v>49</v>
      </c>
      <c r="E210" s="1" t="s">
        <v>735</v>
      </c>
    </row>
    <row r="211" spans="1:5" x14ac:dyDescent="0.35">
      <c r="A211" s="1" t="s">
        <v>733</v>
      </c>
      <c r="B211" s="2">
        <v>45229.503472222219</v>
      </c>
      <c r="C211" s="1" t="s">
        <v>757</v>
      </c>
      <c r="D211">
        <v>106</v>
      </c>
      <c r="E211" s="1" t="s">
        <v>738</v>
      </c>
    </row>
    <row r="212" spans="1:5" x14ac:dyDescent="0.35">
      <c r="A212" s="1" t="s">
        <v>1028</v>
      </c>
      <c r="B212" s="2">
        <v>45209.365277777782</v>
      </c>
      <c r="C212" s="1" t="s">
        <v>1046</v>
      </c>
      <c r="D212">
        <v>120</v>
      </c>
      <c r="E212" s="1" t="s">
        <v>735</v>
      </c>
    </row>
    <row r="213" spans="1:5" x14ac:dyDescent="0.35">
      <c r="A213" s="1" t="s">
        <v>1120</v>
      </c>
      <c r="B213" s="2">
        <v>45215.990277777782</v>
      </c>
      <c r="C213" s="1" t="s">
        <v>1046</v>
      </c>
      <c r="D213">
        <v>66</v>
      </c>
      <c r="E213" s="1" t="s">
        <v>740</v>
      </c>
    </row>
    <row r="214" spans="1:5" x14ac:dyDescent="0.35">
      <c r="A214" s="1" t="s">
        <v>1199</v>
      </c>
      <c r="B214" s="2">
        <v>45211.724999999999</v>
      </c>
      <c r="C214" s="1" t="s">
        <v>1046</v>
      </c>
      <c r="D214">
        <v>84</v>
      </c>
      <c r="E214" s="1" t="s">
        <v>740</v>
      </c>
    </row>
    <row r="215" spans="1:5" x14ac:dyDescent="0.35">
      <c r="A215" s="1" t="s">
        <v>942</v>
      </c>
      <c r="B215" s="2">
        <v>45205.929861111108</v>
      </c>
      <c r="C215" s="1" t="s">
        <v>966</v>
      </c>
      <c r="D215">
        <v>82</v>
      </c>
      <c r="E215" s="1" t="s">
        <v>740</v>
      </c>
    </row>
    <row r="216" spans="1:5" x14ac:dyDescent="0.35">
      <c r="A216" s="1" t="s">
        <v>905</v>
      </c>
      <c r="B216" s="2">
        <v>45207.368055555547</v>
      </c>
      <c r="C216" s="1" t="s">
        <v>928</v>
      </c>
      <c r="D216">
        <v>46</v>
      </c>
      <c r="E216" s="1" t="s">
        <v>735</v>
      </c>
    </row>
    <row r="217" spans="1:5" x14ac:dyDescent="0.35">
      <c r="A217" s="1" t="s">
        <v>1247</v>
      </c>
      <c r="B217" s="2">
        <v>45206.636805555558</v>
      </c>
      <c r="C217" s="1" t="s">
        <v>1252</v>
      </c>
      <c r="D217">
        <v>32</v>
      </c>
      <c r="E217" s="1" t="s">
        <v>740</v>
      </c>
    </row>
    <row r="218" spans="1:5" x14ac:dyDescent="0.35">
      <c r="A218" s="1" t="s">
        <v>1351</v>
      </c>
      <c r="B218" s="2">
        <v>45218.589583333327</v>
      </c>
      <c r="C218" s="1" t="s">
        <v>1252</v>
      </c>
      <c r="D218">
        <v>21</v>
      </c>
      <c r="E218" s="1" t="s">
        <v>735</v>
      </c>
    </row>
    <row r="219" spans="1:5" x14ac:dyDescent="0.35">
      <c r="A219" s="1" t="s">
        <v>1368</v>
      </c>
      <c r="B219" s="2">
        <v>45200.913888888892</v>
      </c>
      <c r="C219" s="1" t="s">
        <v>1380</v>
      </c>
      <c r="D219">
        <v>87</v>
      </c>
      <c r="E219" s="1" t="s">
        <v>735</v>
      </c>
    </row>
    <row r="220" spans="1:5" x14ac:dyDescent="0.35">
      <c r="A220" s="1" t="s">
        <v>1199</v>
      </c>
      <c r="B220" s="2">
        <v>45213.607638888891</v>
      </c>
      <c r="C220" s="1" t="s">
        <v>1215</v>
      </c>
      <c r="D220">
        <v>22</v>
      </c>
      <c r="E220" s="1" t="s">
        <v>735</v>
      </c>
    </row>
    <row r="221" spans="1:5" x14ac:dyDescent="0.35">
      <c r="A221" s="1" t="s">
        <v>1091</v>
      </c>
      <c r="B221" s="2">
        <v>45206.768055555563</v>
      </c>
      <c r="C221" s="1" t="s">
        <v>1118</v>
      </c>
      <c r="D221">
        <v>35</v>
      </c>
      <c r="E221" s="1" t="s">
        <v>740</v>
      </c>
    </row>
    <row r="222" spans="1:5" x14ac:dyDescent="0.35">
      <c r="A222" s="1" t="s">
        <v>1225</v>
      </c>
      <c r="B222" s="2">
        <v>45203.71597222222</v>
      </c>
      <c r="C222" s="1" t="s">
        <v>1240</v>
      </c>
      <c r="D222">
        <v>68</v>
      </c>
      <c r="E222" s="1" t="s">
        <v>738</v>
      </c>
    </row>
    <row r="223" spans="1:5" x14ac:dyDescent="0.35">
      <c r="A223" s="1" t="s">
        <v>1294</v>
      </c>
      <c r="B223" s="2">
        <v>45222.479166666657</v>
      </c>
      <c r="C223" s="1" t="s">
        <v>1311</v>
      </c>
      <c r="D223">
        <v>112</v>
      </c>
      <c r="E223" s="1" t="s">
        <v>738</v>
      </c>
    </row>
    <row r="224" spans="1:5" x14ac:dyDescent="0.35">
      <c r="A224" s="1" t="s">
        <v>1389</v>
      </c>
      <c r="B224" s="2">
        <v>45211.587500000001</v>
      </c>
      <c r="C224" s="1" t="s">
        <v>1410</v>
      </c>
      <c r="D224">
        <v>27</v>
      </c>
      <c r="E224" s="1" t="s">
        <v>740</v>
      </c>
    </row>
    <row r="225" spans="1:5" x14ac:dyDescent="0.35">
      <c r="A225" s="1" t="s">
        <v>864</v>
      </c>
      <c r="B225" s="2">
        <v>45229.4</v>
      </c>
      <c r="C225" s="1" t="s">
        <v>890</v>
      </c>
      <c r="D225">
        <v>77</v>
      </c>
      <c r="E225" s="1" t="s">
        <v>735</v>
      </c>
    </row>
    <row r="226" spans="1:5" x14ac:dyDescent="0.35">
      <c r="A226" s="1" t="s">
        <v>1002</v>
      </c>
      <c r="B226" s="2">
        <v>45224.671527777777</v>
      </c>
      <c r="C226" s="1" t="s">
        <v>890</v>
      </c>
      <c r="D226">
        <v>14</v>
      </c>
      <c r="E226" s="1" t="s">
        <v>740</v>
      </c>
    </row>
    <row r="227" spans="1:5" x14ac:dyDescent="0.35">
      <c r="A227" s="1" t="s">
        <v>1144</v>
      </c>
      <c r="B227" s="2">
        <v>45203.59652777778</v>
      </c>
      <c r="C227" s="1" t="s">
        <v>1152</v>
      </c>
      <c r="D227">
        <v>13</v>
      </c>
      <c r="E227" s="1" t="s">
        <v>738</v>
      </c>
    </row>
    <row r="228" spans="1:5" x14ac:dyDescent="0.35">
      <c r="A228" s="1" t="s">
        <v>1368</v>
      </c>
      <c r="B228" s="2">
        <v>45230.913194444453</v>
      </c>
      <c r="C228" s="1" t="s">
        <v>1152</v>
      </c>
      <c r="D228">
        <v>62</v>
      </c>
      <c r="E228" s="1" t="s">
        <v>735</v>
      </c>
    </row>
    <row r="229" spans="1:5" x14ac:dyDescent="0.35">
      <c r="A229" s="1" t="s">
        <v>1225</v>
      </c>
      <c r="B229" s="2">
        <v>45212.617361111108</v>
      </c>
      <c r="C229" s="1" t="s">
        <v>1226</v>
      </c>
      <c r="D229">
        <v>28</v>
      </c>
      <c r="E229" s="1" t="s">
        <v>735</v>
      </c>
    </row>
    <row r="230" spans="1:5" x14ac:dyDescent="0.35">
      <c r="A230" s="1" t="s">
        <v>1120</v>
      </c>
      <c r="B230" s="2">
        <v>45228.672222222223</v>
      </c>
      <c r="C230" s="1" t="s">
        <v>1123</v>
      </c>
      <c r="D230">
        <v>106</v>
      </c>
      <c r="E230" s="1" t="s">
        <v>735</v>
      </c>
    </row>
    <row r="231" spans="1:5" x14ac:dyDescent="0.35">
      <c r="A231" s="1" t="s">
        <v>1171</v>
      </c>
      <c r="B231" s="2">
        <v>45204.26458333333</v>
      </c>
      <c r="C231" s="1" t="s">
        <v>1123</v>
      </c>
      <c r="D231">
        <v>90</v>
      </c>
      <c r="E231" s="1" t="s">
        <v>740</v>
      </c>
    </row>
    <row r="232" spans="1:5" x14ac:dyDescent="0.35">
      <c r="A232" s="1" t="s">
        <v>1314</v>
      </c>
      <c r="B232" s="2">
        <v>45207.919444444437</v>
      </c>
      <c r="C232" s="1" t="s">
        <v>1322</v>
      </c>
      <c r="D232">
        <v>42</v>
      </c>
      <c r="E232" s="1" t="s">
        <v>735</v>
      </c>
    </row>
    <row r="233" spans="1:5" x14ac:dyDescent="0.35">
      <c r="A233" s="1" t="s">
        <v>1144</v>
      </c>
      <c r="B233" s="2">
        <v>45214.697916666657</v>
      </c>
      <c r="C233" s="1" t="s">
        <v>1160</v>
      </c>
      <c r="D233">
        <v>98</v>
      </c>
      <c r="E233" s="1" t="s">
        <v>740</v>
      </c>
    </row>
    <row r="234" spans="1:5" x14ac:dyDescent="0.35">
      <c r="A234" s="1" t="s">
        <v>1120</v>
      </c>
      <c r="B234" s="2">
        <v>45230.40902777778</v>
      </c>
      <c r="C234" s="1" t="s">
        <v>1141</v>
      </c>
      <c r="D234">
        <v>80</v>
      </c>
      <c r="E234" s="1" t="s">
        <v>738</v>
      </c>
    </row>
    <row r="235" spans="1:5" x14ac:dyDescent="0.35">
      <c r="A235" s="1" t="s">
        <v>1267</v>
      </c>
      <c r="B235" s="2">
        <v>45228.15902777778</v>
      </c>
      <c r="C235" s="1" t="s">
        <v>1141</v>
      </c>
      <c r="D235">
        <v>30</v>
      </c>
      <c r="E235" s="1" t="s">
        <v>735</v>
      </c>
    </row>
    <row r="236" spans="1:5" x14ac:dyDescent="0.35">
      <c r="A236" s="1" t="s">
        <v>1120</v>
      </c>
      <c r="B236" s="2">
        <v>45205.527083333327</v>
      </c>
      <c r="C236" s="1" t="s">
        <v>1125</v>
      </c>
      <c r="D236">
        <v>40</v>
      </c>
      <c r="E236" s="1" t="s">
        <v>740</v>
      </c>
    </row>
    <row r="237" spans="1:5" x14ac:dyDescent="0.35">
      <c r="A237" s="1" t="s">
        <v>1294</v>
      </c>
      <c r="B237" s="2">
        <v>45220.743055555547</v>
      </c>
      <c r="C237" s="1" t="s">
        <v>1125</v>
      </c>
      <c r="D237">
        <v>54</v>
      </c>
      <c r="E237" s="1" t="s">
        <v>738</v>
      </c>
    </row>
    <row r="238" spans="1:5" x14ac:dyDescent="0.35">
      <c r="A238" s="1" t="s">
        <v>1414</v>
      </c>
      <c r="B238" s="2">
        <v>45212.720833333333</v>
      </c>
      <c r="C238" s="1" t="s">
        <v>1424</v>
      </c>
      <c r="D238">
        <v>33</v>
      </c>
      <c r="E238" s="1" t="s">
        <v>740</v>
      </c>
    </row>
    <row r="239" spans="1:5" x14ac:dyDescent="0.35">
      <c r="A239" s="1" t="s">
        <v>1063</v>
      </c>
      <c r="B239" s="2">
        <v>45211.079861111109</v>
      </c>
      <c r="C239" s="1" t="s">
        <v>1089</v>
      </c>
      <c r="D239">
        <v>59</v>
      </c>
      <c r="E239" s="1" t="s">
        <v>738</v>
      </c>
    </row>
    <row r="240" spans="1:5" x14ac:dyDescent="0.35">
      <c r="A240" s="1" t="s">
        <v>1314</v>
      </c>
      <c r="B240" s="2">
        <v>45212.240277777782</v>
      </c>
      <c r="C240" s="1" t="s">
        <v>1089</v>
      </c>
      <c r="D240">
        <v>54</v>
      </c>
      <c r="E240" s="1" t="s">
        <v>738</v>
      </c>
    </row>
    <row r="241" spans="1:5" x14ac:dyDescent="0.35">
      <c r="A241" s="1" t="s">
        <v>1267</v>
      </c>
      <c r="B241" s="2">
        <v>45209.388888888891</v>
      </c>
      <c r="C241" s="1" t="s">
        <v>1292</v>
      </c>
      <c r="D241">
        <v>44</v>
      </c>
      <c r="E241" s="1" t="s">
        <v>735</v>
      </c>
    </row>
    <row r="242" spans="1:5" x14ac:dyDescent="0.35">
      <c r="A242" s="1" t="s">
        <v>1267</v>
      </c>
      <c r="B242" s="2">
        <v>45207.124305555553</v>
      </c>
      <c r="C242" s="1" t="s">
        <v>1268</v>
      </c>
      <c r="D242">
        <v>77</v>
      </c>
      <c r="E242" s="1" t="s">
        <v>740</v>
      </c>
    </row>
    <row r="243" spans="1:5" x14ac:dyDescent="0.35">
      <c r="A243" s="1" t="s">
        <v>826</v>
      </c>
      <c r="B243" s="2">
        <v>45219.420138888891</v>
      </c>
      <c r="C243" s="1" t="s">
        <v>858</v>
      </c>
      <c r="D243">
        <v>63</v>
      </c>
      <c r="E243" s="1" t="s">
        <v>740</v>
      </c>
    </row>
    <row r="244" spans="1:5" x14ac:dyDescent="0.35">
      <c r="A244" s="1" t="s">
        <v>733</v>
      </c>
      <c r="B244" s="2">
        <v>45230.788888888892</v>
      </c>
      <c r="C244" s="1" t="s">
        <v>777</v>
      </c>
      <c r="D244">
        <v>87</v>
      </c>
      <c r="E244" s="1" t="s">
        <v>738</v>
      </c>
    </row>
    <row r="245" spans="1:5" x14ac:dyDescent="0.35">
      <c r="A245" s="1" t="s">
        <v>905</v>
      </c>
      <c r="B245" s="2">
        <v>45200.093055555553</v>
      </c>
      <c r="C245" s="1" t="s">
        <v>777</v>
      </c>
      <c r="D245">
        <v>63</v>
      </c>
      <c r="E245" s="1" t="s">
        <v>738</v>
      </c>
    </row>
    <row r="246" spans="1:5" x14ac:dyDescent="0.35">
      <c r="A246" s="1" t="s">
        <v>1247</v>
      </c>
      <c r="B246" s="2">
        <v>45228.840277777781</v>
      </c>
      <c r="C246" s="1" t="s">
        <v>777</v>
      </c>
      <c r="D246">
        <v>101</v>
      </c>
      <c r="E246" s="1" t="s">
        <v>735</v>
      </c>
    </row>
    <row r="247" spans="1:5" x14ac:dyDescent="0.35">
      <c r="A247" s="1" t="s">
        <v>733</v>
      </c>
      <c r="B247" s="2">
        <v>45220.642361111109</v>
      </c>
      <c r="C247" s="1" t="s">
        <v>779</v>
      </c>
      <c r="D247">
        <v>19</v>
      </c>
      <c r="E247" s="1" t="s">
        <v>735</v>
      </c>
    </row>
    <row r="248" spans="1:5" x14ac:dyDescent="0.35">
      <c r="A248" s="1" t="s">
        <v>864</v>
      </c>
      <c r="B248" s="2">
        <v>45230.834722222222</v>
      </c>
      <c r="C248" s="1" t="s">
        <v>779</v>
      </c>
      <c r="D248">
        <v>46</v>
      </c>
      <c r="E248" s="1" t="s">
        <v>738</v>
      </c>
    </row>
    <row r="249" spans="1:5" x14ac:dyDescent="0.35">
      <c r="A249" s="1" t="s">
        <v>1091</v>
      </c>
      <c r="B249" s="2">
        <v>45218.361805555563</v>
      </c>
      <c r="C249" s="1" t="s">
        <v>779</v>
      </c>
      <c r="D249">
        <v>45</v>
      </c>
      <c r="E249" s="1" t="s">
        <v>740</v>
      </c>
    </row>
    <row r="250" spans="1:5" x14ac:dyDescent="0.35">
      <c r="A250" s="1" t="s">
        <v>1171</v>
      </c>
      <c r="B250" s="2">
        <v>45229.282638888893</v>
      </c>
      <c r="C250" s="1" t="s">
        <v>779</v>
      </c>
      <c r="D250">
        <v>102</v>
      </c>
      <c r="E250" s="1" t="s">
        <v>738</v>
      </c>
    </row>
    <row r="251" spans="1:5" x14ac:dyDescent="0.35">
      <c r="A251" s="1" t="s">
        <v>1247</v>
      </c>
      <c r="B251" s="2">
        <v>45220.114583333343</v>
      </c>
      <c r="C251" s="1" t="s">
        <v>779</v>
      </c>
      <c r="D251">
        <v>54</v>
      </c>
      <c r="E251" s="1" t="s">
        <v>738</v>
      </c>
    </row>
    <row r="252" spans="1:5" x14ac:dyDescent="0.35">
      <c r="A252" s="1" t="s">
        <v>1336</v>
      </c>
      <c r="B252" s="2">
        <v>45226.920138888891</v>
      </c>
      <c r="C252" s="1" t="s">
        <v>779</v>
      </c>
      <c r="D252">
        <v>64</v>
      </c>
      <c r="E252" s="1" t="s">
        <v>740</v>
      </c>
    </row>
    <row r="253" spans="1:5" x14ac:dyDescent="0.35">
      <c r="A253" s="1" t="s">
        <v>864</v>
      </c>
      <c r="B253" s="2">
        <v>45228.511805555558</v>
      </c>
      <c r="C253" s="1" t="s">
        <v>876</v>
      </c>
      <c r="D253">
        <v>64</v>
      </c>
      <c r="E253" s="1" t="s">
        <v>738</v>
      </c>
    </row>
    <row r="254" spans="1:5" x14ac:dyDescent="0.35">
      <c r="A254" s="1" t="s">
        <v>1199</v>
      </c>
      <c r="B254" s="2">
        <v>45230.323611111111</v>
      </c>
      <c r="C254" s="1" t="s">
        <v>876</v>
      </c>
      <c r="D254">
        <v>105</v>
      </c>
      <c r="E254" s="1" t="s">
        <v>735</v>
      </c>
    </row>
    <row r="255" spans="1:5" x14ac:dyDescent="0.35">
      <c r="A255" s="1" t="s">
        <v>864</v>
      </c>
      <c r="B255" s="2">
        <v>45202.780555555553</v>
      </c>
      <c r="C255" s="1" t="s">
        <v>893</v>
      </c>
      <c r="D255">
        <v>53</v>
      </c>
      <c r="E255" s="1" t="s">
        <v>740</v>
      </c>
    </row>
    <row r="256" spans="1:5" x14ac:dyDescent="0.35">
      <c r="A256" s="1" t="s">
        <v>1002</v>
      </c>
      <c r="B256" s="2">
        <v>45216.26666666667</v>
      </c>
      <c r="C256" s="1" t="s">
        <v>893</v>
      </c>
      <c r="D256">
        <v>90</v>
      </c>
      <c r="E256" s="1" t="s">
        <v>740</v>
      </c>
    </row>
    <row r="257" spans="1:5" x14ac:dyDescent="0.35">
      <c r="A257" s="1" t="s">
        <v>1171</v>
      </c>
      <c r="B257" s="2">
        <v>45217.775694444441</v>
      </c>
      <c r="C257" s="1" t="s">
        <v>893</v>
      </c>
      <c r="D257">
        <v>84</v>
      </c>
      <c r="E257" s="1" t="s">
        <v>735</v>
      </c>
    </row>
    <row r="258" spans="1:5" x14ac:dyDescent="0.35">
      <c r="A258" s="1" t="s">
        <v>826</v>
      </c>
      <c r="B258" s="2">
        <v>45226.013194444437</v>
      </c>
      <c r="C258" s="1" t="s">
        <v>851</v>
      </c>
      <c r="D258">
        <v>107</v>
      </c>
      <c r="E258" s="1" t="s">
        <v>738</v>
      </c>
    </row>
    <row r="259" spans="1:5" x14ac:dyDescent="0.35">
      <c r="A259" s="1" t="s">
        <v>1091</v>
      </c>
      <c r="B259" s="2">
        <v>45217.414583333331</v>
      </c>
      <c r="C259" s="1" t="s">
        <v>851</v>
      </c>
      <c r="D259">
        <v>74</v>
      </c>
      <c r="E259" s="1" t="s">
        <v>740</v>
      </c>
    </row>
    <row r="260" spans="1:5" x14ac:dyDescent="0.35">
      <c r="A260" s="1" t="s">
        <v>1144</v>
      </c>
      <c r="B260" s="2">
        <v>45211.123611111107</v>
      </c>
      <c r="C260" s="1" t="s">
        <v>851</v>
      </c>
      <c r="D260">
        <v>87</v>
      </c>
      <c r="E260" s="1" t="s">
        <v>735</v>
      </c>
    </row>
    <row r="261" spans="1:5" x14ac:dyDescent="0.35">
      <c r="A261" s="1" t="s">
        <v>1225</v>
      </c>
      <c r="B261" s="2">
        <v>45211.495833333327</v>
      </c>
      <c r="C261" s="1" t="s">
        <v>851</v>
      </c>
      <c r="D261">
        <v>61</v>
      </c>
      <c r="E261" s="1" t="s">
        <v>738</v>
      </c>
    </row>
    <row r="262" spans="1:5" x14ac:dyDescent="0.35">
      <c r="A262" s="1" t="s">
        <v>1091</v>
      </c>
      <c r="B262" s="2">
        <v>45228.086111111108</v>
      </c>
      <c r="C262" s="1" t="s">
        <v>1100</v>
      </c>
      <c r="D262">
        <v>43</v>
      </c>
      <c r="E262" s="1" t="s">
        <v>740</v>
      </c>
    </row>
    <row r="263" spans="1:5" x14ac:dyDescent="0.35">
      <c r="A263" s="1" t="s">
        <v>1028</v>
      </c>
      <c r="B263" s="2">
        <v>45230.863888888889</v>
      </c>
      <c r="C263" s="1" t="s">
        <v>1049</v>
      </c>
      <c r="D263">
        <v>57</v>
      </c>
      <c r="E263" s="1" t="s">
        <v>735</v>
      </c>
    </row>
    <row r="264" spans="1:5" x14ac:dyDescent="0.35">
      <c r="A264" s="1" t="s">
        <v>1414</v>
      </c>
      <c r="B264" s="2">
        <v>45217.02847222222</v>
      </c>
      <c r="C264" s="1" t="s">
        <v>1049</v>
      </c>
      <c r="D264">
        <v>120</v>
      </c>
      <c r="E264" s="1" t="s">
        <v>740</v>
      </c>
    </row>
    <row r="265" spans="1:5" x14ac:dyDescent="0.35">
      <c r="A265" s="1" t="s">
        <v>782</v>
      </c>
      <c r="B265" s="2">
        <v>45214.960416666669</v>
      </c>
      <c r="C265" s="1" t="s">
        <v>787</v>
      </c>
      <c r="D265">
        <v>38</v>
      </c>
      <c r="E265" s="1" t="s">
        <v>735</v>
      </c>
    </row>
    <row r="266" spans="1:5" x14ac:dyDescent="0.35">
      <c r="A266" s="1" t="s">
        <v>905</v>
      </c>
      <c r="B266" s="2">
        <v>45215.597916666673</v>
      </c>
      <c r="C266" s="1" t="s">
        <v>906</v>
      </c>
      <c r="D266">
        <v>7</v>
      </c>
      <c r="E266" s="1" t="s">
        <v>740</v>
      </c>
    </row>
    <row r="267" spans="1:5" x14ac:dyDescent="0.35">
      <c r="A267" s="1" t="s">
        <v>1171</v>
      </c>
      <c r="B267" s="2">
        <v>45212.315972222219</v>
      </c>
      <c r="C267" s="1" t="s">
        <v>906</v>
      </c>
      <c r="D267">
        <v>112</v>
      </c>
      <c r="E267" s="1" t="s">
        <v>735</v>
      </c>
    </row>
    <row r="268" spans="1:5" x14ac:dyDescent="0.35">
      <c r="A268" s="1" t="s">
        <v>1199</v>
      </c>
      <c r="B268" s="2">
        <v>45220.651388888888</v>
      </c>
      <c r="C268" s="1" t="s">
        <v>906</v>
      </c>
      <c r="D268">
        <v>36</v>
      </c>
      <c r="E268" s="1" t="s">
        <v>735</v>
      </c>
    </row>
    <row r="269" spans="1:5" x14ac:dyDescent="0.35">
      <c r="A269" s="1" t="s">
        <v>1351</v>
      </c>
      <c r="B269" s="2">
        <v>45203.89166666667</v>
      </c>
      <c r="C269" s="1" t="s">
        <v>906</v>
      </c>
      <c r="D269">
        <v>7</v>
      </c>
      <c r="E269" s="1" t="s">
        <v>738</v>
      </c>
    </row>
    <row r="270" spans="1:5" x14ac:dyDescent="0.35">
      <c r="A270" s="1" t="s">
        <v>1389</v>
      </c>
      <c r="B270" s="2">
        <v>45207.350694444453</v>
      </c>
      <c r="C270" s="1" t="s">
        <v>1398</v>
      </c>
      <c r="D270">
        <v>75</v>
      </c>
      <c r="E270" s="1" t="s">
        <v>740</v>
      </c>
    </row>
    <row r="271" spans="1:5" x14ac:dyDescent="0.35">
      <c r="A271" s="1" t="s">
        <v>942</v>
      </c>
      <c r="B271" s="2">
        <v>45221.039583333331</v>
      </c>
      <c r="C271" s="1" t="s">
        <v>976</v>
      </c>
      <c r="D271">
        <v>33</v>
      </c>
      <c r="E271" s="1" t="s">
        <v>738</v>
      </c>
    </row>
    <row r="272" spans="1:5" x14ac:dyDescent="0.35">
      <c r="A272" s="1" t="s">
        <v>826</v>
      </c>
      <c r="B272" s="2">
        <v>45205.816666666673</v>
      </c>
      <c r="C272" s="1" t="s">
        <v>849</v>
      </c>
      <c r="D272">
        <v>33</v>
      </c>
      <c r="E272" s="1" t="s">
        <v>740</v>
      </c>
    </row>
    <row r="273" spans="1:5" x14ac:dyDescent="0.35">
      <c r="A273" s="1" t="s">
        <v>1267</v>
      </c>
      <c r="B273" s="2">
        <v>45200.466666666667</v>
      </c>
      <c r="C273" s="1" t="s">
        <v>1293</v>
      </c>
      <c r="D273">
        <v>31</v>
      </c>
      <c r="E273" s="1" t="s">
        <v>738</v>
      </c>
    </row>
    <row r="274" spans="1:5" x14ac:dyDescent="0.35">
      <c r="A274" s="1" t="s">
        <v>1336</v>
      </c>
      <c r="B274" s="2">
        <v>45201.293055555558</v>
      </c>
      <c r="C274" s="1" t="s">
        <v>1293</v>
      </c>
      <c r="D274">
        <v>95</v>
      </c>
      <c r="E274" s="1" t="s">
        <v>740</v>
      </c>
    </row>
    <row r="275" spans="1:5" x14ac:dyDescent="0.35">
      <c r="A275" s="1" t="s">
        <v>782</v>
      </c>
      <c r="B275" s="2">
        <v>45200.511111111111</v>
      </c>
      <c r="C275" s="1" t="s">
        <v>801</v>
      </c>
      <c r="D275">
        <v>108</v>
      </c>
      <c r="E275" s="1" t="s">
        <v>740</v>
      </c>
    </row>
    <row r="276" spans="1:5" x14ac:dyDescent="0.35">
      <c r="A276" s="1" t="s">
        <v>733</v>
      </c>
      <c r="B276" s="2">
        <v>45202.259722222225</v>
      </c>
      <c r="C276" s="1" t="s">
        <v>743</v>
      </c>
      <c r="D276">
        <v>79</v>
      </c>
      <c r="E276" s="1" t="s">
        <v>735</v>
      </c>
    </row>
    <row r="277" spans="1:5" x14ac:dyDescent="0.35">
      <c r="A277" s="1" t="s">
        <v>1225</v>
      </c>
      <c r="B277" s="2">
        <v>45221.180555555547</v>
      </c>
      <c r="C277" s="1" t="s">
        <v>743</v>
      </c>
      <c r="D277">
        <v>8</v>
      </c>
      <c r="E277" s="1" t="s">
        <v>735</v>
      </c>
    </row>
    <row r="278" spans="1:5" x14ac:dyDescent="0.35">
      <c r="A278" s="1" t="s">
        <v>782</v>
      </c>
      <c r="B278" s="2">
        <v>45213.254166666673</v>
      </c>
      <c r="C278" s="1" t="s">
        <v>785</v>
      </c>
      <c r="D278">
        <v>73</v>
      </c>
      <c r="E278" s="1" t="s">
        <v>740</v>
      </c>
    </row>
    <row r="279" spans="1:5" x14ac:dyDescent="0.35">
      <c r="A279" s="1" t="s">
        <v>1389</v>
      </c>
      <c r="B279" s="2">
        <v>45226.17083333333</v>
      </c>
      <c r="C279" s="1" t="s">
        <v>785</v>
      </c>
      <c r="D279">
        <v>54</v>
      </c>
      <c r="E279" s="1" t="s">
        <v>735</v>
      </c>
    </row>
    <row r="280" spans="1:5" x14ac:dyDescent="0.35">
      <c r="A280" s="1" t="s">
        <v>905</v>
      </c>
      <c r="B280" s="2">
        <v>45225.859027777777</v>
      </c>
      <c r="C280" s="1" t="s">
        <v>929</v>
      </c>
      <c r="D280">
        <v>90</v>
      </c>
      <c r="E280" s="1" t="s">
        <v>738</v>
      </c>
    </row>
    <row r="281" spans="1:5" x14ac:dyDescent="0.35">
      <c r="A281" s="1" t="s">
        <v>1091</v>
      </c>
      <c r="B281" s="2">
        <v>45210.890277777777</v>
      </c>
      <c r="C281" s="1" t="s">
        <v>929</v>
      </c>
      <c r="D281">
        <v>118</v>
      </c>
      <c r="E281" s="1" t="s">
        <v>735</v>
      </c>
    </row>
    <row r="282" spans="1:5" x14ac:dyDescent="0.35">
      <c r="A282" s="1" t="s">
        <v>1171</v>
      </c>
      <c r="B282" s="2">
        <v>45211.386111111111</v>
      </c>
      <c r="C282" s="1" t="s">
        <v>929</v>
      </c>
      <c r="D282">
        <v>13</v>
      </c>
      <c r="E282" s="1" t="s">
        <v>738</v>
      </c>
    </row>
    <row r="283" spans="1:5" x14ac:dyDescent="0.35">
      <c r="A283" s="1" t="s">
        <v>1225</v>
      </c>
      <c r="B283" s="2">
        <v>45205.96875</v>
      </c>
      <c r="C283" s="1" t="s">
        <v>1234</v>
      </c>
      <c r="D283">
        <v>84</v>
      </c>
      <c r="E283" s="1" t="s">
        <v>738</v>
      </c>
    </row>
    <row r="284" spans="1:5" x14ac:dyDescent="0.35">
      <c r="A284" s="1" t="s">
        <v>1314</v>
      </c>
      <c r="B284" s="2">
        <v>45226.224999999999</v>
      </c>
      <c r="C284" s="1" t="s">
        <v>1315</v>
      </c>
      <c r="D284">
        <v>11</v>
      </c>
      <c r="E284" s="1" t="s">
        <v>738</v>
      </c>
    </row>
    <row r="285" spans="1:5" x14ac:dyDescent="0.35">
      <c r="A285" s="1" t="s">
        <v>1351</v>
      </c>
      <c r="B285" s="2">
        <v>45230.64166666667</v>
      </c>
      <c r="C285" s="1" t="s">
        <v>1364</v>
      </c>
      <c r="D285">
        <v>106</v>
      </c>
      <c r="E285" s="1" t="s">
        <v>735</v>
      </c>
    </row>
    <row r="286" spans="1:5" x14ac:dyDescent="0.35">
      <c r="A286" s="1" t="s">
        <v>942</v>
      </c>
      <c r="B286" s="2">
        <v>45229.756249999999</v>
      </c>
      <c r="C286" s="1" t="s">
        <v>974</v>
      </c>
      <c r="D286">
        <v>82</v>
      </c>
      <c r="E286" s="1" t="s">
        <v>740</v>
      </c>
    </row>
    <row r="287" spans="1:5" x14ac:dyDescent="0.35">
      <c r="A287" s="1" t="s">
        <v>826</v>
      </c>
      <c r="B287" s="2">
        <v>45226.321527777778</v>
      </c>
      <c r="C287" s="1" t="s">
        <v>859</v>
      </c>
      <c r="D287">
        <v>22</v>
      </c>
      <c r="E287" s="1" t="s">
        <v>740</v>
      </c>
    </row>
    <row r="288" spans="1:5" x14ac:dyDescent="0.35">
      <c r="A288" s="1" t="s">
        <v>981</v>
      </c>
      <c r="B288" s="2">
        <v>45201.511805555558</v>
      </c>
      <c r="C288" s="1" t="s">
        <v>859</v>
      </c>
      <c r="D288">
        <v>62</v>
      </c>
      <c r="E288" s="1" t="s">
        <v>738</v>
      </c>
    </row>
    <row r="289" spans="1:5" x14ac:dyDescent="0.35">
      <c r="A289" s="1" t="s">
        <v>1063</v>
      </c>
      <c r="B289" s="2">
        <v>45213.237500000003</v>
      </c>
      <c r="C289" s="1" t="s">
        <v>859</v>
      </c>
      <c r="D289">
        <v>68</v>
      </c>
      <c r="E289" s="1" t="s">
        <v>740</v>
      </c>
    </row>
    <row r="290" spans="1:5" x14ac:dyDescent="0.35">
      <c r="A290" s="1" t="s">
        <v>1171</v>
      </c>
      <c r="B290" s="2">
        <v>45227.92291666667</v>
      </c>
      <c r="C290" s="1" t="s">
        <v>859</v>
      </c>
      <c r="D290">
        <v>26</v>
      </c>
      <c r="E290" s="1" t="s">
        <v>740</v>
      </c>
    </row>
    <row r="291" spans="1:5" x14ac:dyDescent="0.35">
      <c r="A291" s="1" t="s">
        <v>1225</v>
      </c>
      <c r="B291" s="2">
        <v>45207.599305555559</v>
      </c>
      <c r="C291" s="1" t="s">
        <v>859</v>
      </c>
      <c r="D291">
        <v>59</v>
      </c>
      <c r="E291" s="1" t="s">
        <v>735</v>
      </c>
    </row>
    <row r="292" spans="1:5" x14ac:dyDescent="0.35">
      <c r="A292" s="1" t="s">
        <v>864</v>
      </c>
      <c r="B292" s="2">
        <v>45200.525694444441</v>
      </c>
      <c r="C292" s="1" t="s">
        <v>869</v>
      </c>
      <c r="D292">
        <v>88</v>
      </c>
      <c r="E292" s="1" t="s">
        <v>740</v>
      </c>
    </row>
    <row r="293" spans="1:5" x14ac:dyDescent="0.35">
      <c r="A293" s="1" t="s">
        <v>1144</v>
      </c>
      <c r="B293" s="2">
        <v>45217.173611111109</v>
      </c>
      <c r="C293" s="1" t="s">
        <v>869</v>
      </c>
      <c r="D293">
        <v>53</v>
      </c>
      <c r="E293" s="1" t="s">
        <v>738</v>
      </c>
    </row>
    <row r="294" spans="1:5" x14ac:dyDescent="0.35">
      <c r="A294" s="1" t="s">
        <v>782</v>
      </c>
      <c r="B294" s="2">
        <v>45225.712500000001</v>
      </c>
      <c r="C294" s="1" t="s">
        <v>795</v>
      </c>
      <c r="D294">
        <v>25</v>
      </c>
      <c r="E294" s="1" t="s">
        <v>735</v>
      </c>
    </row>
    <row r="295" spans="1:5" x14ac:dyDescent="0.35">
      <c r="A295" s="1" t="s">
        <v>826</v>
      </c>
      <c r="B295" s="2">
        <v>45220.436805555553</v>
      </c>
      <c r="C295" s="1" t="s">
        <v>795</v>
      </c>
      <c r="D295">
        <v>64</v>
      </c>
      <c r="E295" s="1" t="s">
        <v>738</v>
      </c>
    </row>
    <row r="296" spans="1:5" x14ac:dyDescent="0.35">
      <c r="A296" s="1" t="s">
        <v>1336</v>
      </c>
      <c r="B296" s="2">
        <v>45209.938888888893</v>
      </c>
      <c r="C296" s="1" t="s">
        <v>795</v>
      </c>
      <c r="D296">
        <v>37</v>
      </c>
      <c r="E296" s="1" t="s">
        <v>738</v>
      </c>
    </row>
    <row r="297" spans="1:5" x14ac:dyDescent="0.35">
      <c r="A297" s="1" t="s">
        <v>1336</v>
      </c>
      <c r="B297" s="2">
        <v>45206.286805555559</v>
      </c>
      <c r="C297" s="1" t="s">
        <v>795</v>
      </c>
      <c r="D297">
        <v>96</v>
      </c>
      <c r="E297" s="1" t="s">
        <v>738</v>
      </c>
    </row>
    <row r="298" spans="1:5" x14ac:dyDescent="0.35">
      <c r="A298" s="1" t="s">
        <v>864</v>
      </c>
      <c r="B298" s="2">
        <v>45200.51458333333</v>
      </c>
      <c r="C298" s="1" t="s">
        <v>865</v>
      </c>
      <c r="D298">
        <v>24</v>
      </c>
      <c r="E298" s="1" t="s">
        <v>740</v>
      </c>
    </row>
    <row r="299" spans="1:5" x14ac:dyDescent="0.35">
      <c r="A299" s="1" t="s">
        <v>1267</v>
      </c>
      <c r="B299" s="2">
        <v>45216.701388888891</v>
      </c>
      <c r="C299" s="1" t="s">
        <v>865</v>
      </c>
      <c r="D299">
        <v>80</v>
      </c>
      <c r="E299" s="1" t="s">
        <v>735</v>
      </c>
    </row>
    <row r="300" spans="1:5" x14ac:dyDescent="0.35">
      <c r="A300" s="1" t="s">
        <v>1199</v>
      </c>
      <c r="B300" s="2">
        <v>45202.699305555558</v>
      </c>
      <c r="C300" s="1" t="s">
        <v>1202</v>
      </c>
      <c r="D300">
        <v>63</v>
      </c>
      <c r="E300" s="1" t="s">
        <v>738</v>
      </c>
    </row>
    <row r="301" spans="1:5" x14ac:dyDescent="0.35">
      <c r="A301" s="1" t="s">
        <v>1028</v>
      </c>
      <c r="B301" s="2">
        <v>45222.602777777778</v>
      </c>
      <c r="C301" s="1" t="s">
        <v>1040</v>
      </c>
      <c r="D301">
        <v>53</v>
      </c>
      <c r="E301" s="1" t="s">
        <v>738</v>
      </c>
    </row>
    <row r="302" spans="1:5" x14ac:dyDescent="0.35">
      <c r="A302" s="1" t="s">
        <v>1336</v>
      </c>
      <c r="B302" s="2">
        <v>45223.568055555559</v>
      </c>
      <c r="C302" s="1" t="s">
        <v>1344</v>
      </c>
      <c r="D302">
        <v>21</v>
      </c>
      <c r="E302" s="1" t="s">
        <v>735</v>
      </c>
    </row>
    <row r="303" spans="1:5" x14ac:dyDescent="0.35">
      <c r="A303" s="1" t="s">
        <v>1351</v>
      </c>
      <c r="B303" s="2">
        <v>45223.693055555559</v>
      </c>
      <c r="C303" s="1" t="s">
        <v>1344</v>
      </c>
      <c r="D303">
        <v>18</v>
      </c>
      <c r="E303" s="1" t="s">
        <v>738</v>
      </c>
    </row>
    <row r="304" spans="1:5" x14ac:dyDescent="0.35">
      <c r="A304" s="1" t="s">
        <v>1028</v>
      </c>
      <c r="B304" s="2">
        <v>45202.412499999999</v>
      </c>
      <c r="C304" s="1" t="s">
        <v>1061</v>
      </c>
      <c r="D304">
        <v>35</v>
      </c>
      <c r="E304" s="1" t="s">
        <v>735</v>
      </c>
    </row>
    <row r="305" spans="1:5" x14ac:dyDescent="0.35">
      <c r="A305" s="1" t="s">
        <v>1247</v>
      </c>
      <c r="B305" s="2">
        <v>45216.970138888893</v>
      </c>
      <c r="C305" s="1" t="s">
        <v>1061</v>
      </c>
      <c r="D305">
        <v>13</v>
      </c>
      <c r="E305" s="1" t="s">
        <v>740</v>
      </c>
    </row>
    <row r="306" spans="1:5" x14ac:dyDescent="0.35">
      <c r="A306" s="1" t="s">
        <v>1414</v>
      </c>
      <c r="B306" s="2">
        <v>45209.913888888892</v>
      </c>
      <c r="C306" s="1" t="s">
        <v>1061</v>
      </c>
      <c r="D306">
        <v>111</v>
      </c>
      <c r="E306" s="1" t="s">
        <v>740</v>
      </c>
    </row>
    <row r="307" spans="1:5" x14ac:dyDescent="0.35">
      <c r="A307" s="1" t="s">
        <v>826</v>
      </c>
      <c r="B307" s="2">
        <v>45219.103472222218</v>
      </c>
      <c r="C307" s="1" t="s">
        <v>863</v>
      </c>
      <c r="D307">
        <v>72</v>
      </c>
      <c r="E307" s="1" t="s">
        <v>738</v>
      </c>
    </row>
    <row r="308" spans="1:5" x14ac:dyDescent="0.35">
      <c r="A308" s="1" t="s">
        <v>1120</v>
      </c>
      <c r="B308" s="2">
        <v>45230.228472222218</v>
      </c>
      <c r="C308" s="1" t="s">
        <v>863</v>
      </c>
      <c r="D308">
        <v>39</v>
      </c>
      <c r="E308" s="1" t="s">
        <v>740</v>
      </c>
    </row>
    <row r="309" spans="1:5" x14ac:dyDescent="0.35">
      <c r="A309" s="1" t="s">
        <v>1171</v>
      </c>
      <c r="B309" s="2">
        <v>45201.726388888892</v>
      </c>
      <c r="C309" s="1" t="s">
        <v>1177</v>
      </c>
      <c r="D309">
        <v>97</v>
      </c>
      <c r="E309" s="1" t="s">
        <v>738</v>
      </c>
    </row>
    <row r="310" spans="1:5" x14ac:dyDescent="0.35">
      <c r="A310" s="1" t="s">
        <v>905</v>
      </c>
      <c r="B310" s="2">
        <v>45208.169444444437</v>
      </c>
      <c r="C310" s="1" t="s">
        <v>933</v>
      </c>
      <c r="D310">
        <v>47</v>
      </c>
      <c r="E310" s="1" t="s">
        <v>735</v>
      </c>
    </row>
    <row r="311" spans="1:5" x14ac:dyDescent="0.35">
      <c r="A311" s="1" t="s">
        <v>1120</v>
      </c>
      <c r="B311" s="2">
        <v>45210.895833333343</v>
      </c>
      <c r="C311" s="1" t="s">
        <v>933</v>
      </c>
      <c r="D311">
        <v>110</v>
      </c>
      <c r="E311" s="1" t="s">
        <v>740</v>
      </c>
    </row>
    <row r="312" spans="1:5" x14ac:dyDescent="0.35">
      <c r="A312" s="1" t="s">
        <v>1225</v>
      </c>
      <c r="B312" s="2">
        <v>45216.181944444441</v>
      </c>
      <c r="C312" s="1" t="s">
        <v>1227</v>
      </c>
      <c r="D312">
        <v>86</v>
      </c>
      <c r="E312" s="1" t="s">
        <v>738</v>
      </c>
    </row>
    <row r="313" spans="1:5" x14ac:dyDescent="0.35">
      <c r="A313" s="1" t="s">
        <v>1091</v>
      </c>
      <c r="B313" s="2">
        <v>45207.133333333331</v>
      </c>
      <c r="C313" s="1" t="s">
        <v>1095</v>
      </c>
      <c r="D313">
        <v>66</v>
      </c>
      <c r="E313" s="1" t="s">
        <v>738</v>
      </c>
    </row>
    <row r="314" spans="1:5" x14ac:dyDescent="0.35">
      <c r="A314" s="1" t="s">
        <v>1414</v>
      </c>
      <c r="B314" s="2">
        <v>45214.850694444453</v>
      </c>
      <c r="C314" s="1" t="s">
        <v>1095</v>
      </c>
      <c r="D314">
        <v>31</v>
      </c>
      <c r="E314" s="1" t="s">
        <v>740</v>
      </c>
    </row>
    <row r="315" spans="1:5" x14ac:dyDescent="0.35">
      <c r="A315" s="1" t="s">
        <v>1199</v>
      </c>
      <c r="B315" s="2">
        <v>45211.711805555547</v>
      </c>
      <c r="C315" s="1" t="s">
        <v>1217</v>
      </c>
      <c r="D315">
        <v>82</v>
      </c>
      <c r="E315" s="1" t="s">
        <v>738</v>
      </c>
    </row>
    <row r="316" spans="1:5" x14ac:dyDescent="0.35">
      <c r="A316" s="1" t="s">
        <v>1267</v>
      </c>
      <c r="B316" s="2">
        <v>45202.728472222218</v>
      </c>
      <c r="C316" s="1" t="s">
        <v>1217</v>
      </c>
      <c r="D316">
        <v>18</v>
      </c>
      <c r="E316" s="1" t="s">
        <v>735</v>
      </c>
    </row>
    <row r="317" spans="1:5" x14ac:dyDescent="0.35">
      <c r="A317" s="1" t="s">
        <v>864</v>
      </c>
      <c r="B317" s="2">
        <v>45203.750694444447</v>
      </c>
      <c r="C317" s="1" t="s">
        <v>889</v>
      </c>
      <c r="D317">
        <v>64</v>
      </c>
      <c r="E317" s="1" t="s">
        <v>740</v>
      </c>
    </row>
    <row r="318" spans="1:5" x14ac:dyDescent="0.35">
      <c r="A318" s="1" t="s">
        <v>981</v>
      </c>
      <c r="B318" s="2">
        <v>45224.201388888891</v>
      </c>
      <c r="C318" s="1" t="s">
        <v>889</v>
      </c>
      <c r="D318">
        <v>43</v>
      </c>
      <c r="E318" s="1" t="s">
        <v>740</v>
      </c>
    </row>
    <row r="319" spans="1:5" x14ac:dyDescent="0.35">
      <c r="A319" s="1" t="s">
        <v>942</v>
      </c>
      <c r="B319" s="2">
        <v>45202.319444444453</v>
      </c>
      <c r="C319" s="1" t="s">
        <v>961</v>
      </c>
      <c r="D319">
        <v>115</v>
      </c>
      <c r="E319" s="1" t="s">
        <v>738</v>
      </c>
    </row>
    <row r="320" spans="1:5" x14ac:dyDescent="0.35">
      <c r="A320" s="1" t="s">
        <v>1247</v>
      </c>
      <c r="B320" s="2">
        <v>45203.227777777778</v>
      </c>
      <c r="C320" s="1" t="s">
        <v>961</v>
      </c>
      <c r="D320">
        <v>61</v>
      </c>
      <c r="E320" s="1" t="s">
        <v>738</v>
      </c>
    </row>
    <row r="321" spans="1:5" x14ac:dyDescent="0.35">
      <c r="A321" s="1" t="s">
        <v>1225</v>
      </c>
      <c r="B321" s="2">
        <v>45214.799305555563</v>
      </c>
      <c r="C321" s="1" t="s">
        <v>1243</v>
      </c>
      <c r="D321">
        <v>67</v>
      </c>
      <c r="E321" s="1" t="s">
        <v>735</v>
      </c>
    </row>
    <row r="322" spans="1:5" x14ac:dyDescent="0.35">
      <c r="A322" s="1" t="s">
        <v>733</v>
      </c>
      <c r="B322" s="2">
        <v>45210.128472222219</v>
      </c>
      <c r="C322" s="1" t="s">
        <v>753</v>
      </c>
      <c r="D322">
        <v>115</v>
      </c>
      <c r="E322" s="1" t="s">
        <v>735</v>
      </c>
    </row>
    <row r="323" spans="1:5" x14ac:dyDescent="0.35">
      <c r="A323" s="1" t="s">
        <v>1144</v>
      </c>
      <c r="B323" s="2">
        <v>45219.301388888889</v>
      </c>
      <c r="C323" s="1" t="s">
        <v>753</v>
      </c>
      <c r="D323">
        <v>65</v>
      </c>
      <c r="E323" s="1" t="s">
        <v>735</v>
      </c>
    </row>
    <row r="324" spans="1:5" x14ac:dyDescent="0.35">
      <c r="A324" s="1" t="s">
        <v>1336</v>
      </c>
      <c r="B324" s="2">
        <v>45220.091666666667</v>
      </c>
      <c r="C324" s="1" t="s">
        <v>753</v>
      </c>
      <c r="D324">
        <v>87</v>
      </c>
      <c r="E324" s="1" t="s">
        <v>738</v>
      </c>
    </row>
    <row r="325" spans="1:5" x14ac:dyDescent="0.35">
      <c r="A325" s="1" t="s">
        <v>1336</v>
      </c>
      <c r="B325" s="2">
        <v>45200.307638888888</v>
      </c>
      <c r="C325" s="1" t="s">
        <v>753</v>
      </c>
      <c r="D325">
        <v>114</v>
      </c>
      <c r="E325" s="1" t="s">
        <v>738</v>
      </c>
    </row>
    <row r="326" spans="1:5" x14ac:dyDescent="0.35">
      <c r="A326" s="1" t="s">
        <v>1314</v>
      </c>
      <c r="B326" s="2">
        <v>45202.443055555559</v>
      </c>
      <c r="C326" s="1" t="s">
        <v>1328</v>
      </c>
      <c r="D326">
        <v>52</v>
      </c>
      <c r="E326" s="1" t="s">
        <v>738</v>
      </c>
    </row>
    <row r="327" spans="1:5" x14ac:dyDescent="0.35">
      <c r="A327" s="1" t="s">
        <v>1171</v>
      </c>
      <c r="B327" s="2">
        <v>45207.525000000001</v>
      </c>
      <c r="C327" s="1" t="s">
        <v>1195</v>
      </c>
      <c r="D327">
        <v>83</v>
      </c>
      <c r="E327" s="1" t="s">
        <v>735</v>
      </c>
    </row>
    <row r="328" spans="1:5" x14ac:dyDescent="0.35">
      <c r="A328" s="1" t="s">
        <v>1247</v>
      </c>
      <c r="B328" s="2">
        <v>45230.577777777777</v>
      </c>
      <c r="C328" s="1" t="s">
        <v>1251</v>
      </c>
      <c r="D328">
        <v>97</v>
      </c>
      <c r="E328" s="1" t="s">
        <v>735</v>
      </c>
    </row>
    <row r="329" spans="1:5" x14ac:dyDescent="0.35">
      <c r="A329" s="1" t="s">
        <v>1351</v>
      </c>
      <c r="B329" s="2">
        <v>45200.595138888893</v>
      </c>
      <c r="C329" s="1" t="s">
        <v>1251</v>
      </c>
      <c r="D329">
        <v>69</v>
      </c>
      <c r="E329" s="1" t="s">
        <v>740</v>
      </c>
    </row>
    <row r="330" spans="1:5" x14ac:dyDescent="0.35">
      <c r="A330" s="1" t="s">
        <v>1199</v>
      </c>
      <c r="B330" s="2">
        <v>45202.469444444447</v>
      </c>
      <c r="C330" s="1" t="s">
        <v>1224</v>
      </c>
      <c r="D330">
        <v>78</v>
      </c>
      <c r="E330" s="1" t="s">
        <v>735</v>
      </c>
    </row>
    <row r="331" spans="1:5" x14ac:dyDescent="0.35">
      <c r="A331" s="1" t="s">
        <v>1368</v>
      </c>
      <c r="B331" s="2">
        <v>45213.770833333343</v>
      </c>
      <c r="C331" s="1" t="s">
        <v>1376</v>
      </c>
      <c r="D331">
        <v>11</v>
      </c>
      <c r="E331" s="1" t="s">
        <v>740</v>
      </c>
    </row>
    <row r="332" spans="1:5" x14ac:dyDescent="0.35">
      <c r="A332" s="1" t="s">
        <v>864</v>
      </c>
      <c r="B332" s="2">
        <v>45226.84375</v>
      </c>
      <c r="C332" s="1" t="s">
        <v>894</v>
      </c>
      <c r="D332">
        <v>48</v>
      </c>
      <c r="E332" s="1" t="s">
        <v>735</v>
      </c>
    </row>
    <row r="333" spans="1:5" x14ac:dyDescent="0.35">
      <c r="A333" s="1" t="s">
        <v>733</v>
      </c>
      <c r="B333" s="2">
        <v>45202.290277777778</v>
      </c>
      <c r="C333" s="1" t="s">
        <v>776</v>
      </c>
      <c r="D333">
        <v>103</v>
      </c>
      <c r="E333" s="1" t="s">
        <v>738</v>
      </c>
    </row>
    <row r="334" spans="1:5" x14ac:dyDescent="0.35">
      <c r="A334" s="1" t="s">
        <v>782</v>
      </c>
      <c r="B334" s="2">
        <v>45214.816666666673</v>
      </c>
      <c r="C334" s="1" t="s">
        <v>825</v>
      </c>
      <c r="D334">
        <v>92</v>
      </c>
      <c r="E334" s="1" t="s">
        <v>740</v>
      </c>
    </row>
    <row r="335" spans="1:5" x14ac:dyDescent="0.35">
      <c r="A335" s="1" t="s">
        <v>1091</v>
      </c>
      <c r="B335" s="2">
        <v>45209.81527777778</v>
      </c>
      <c r="C335" s="1" t="s">
        <v>825</v>
      </c>
      <c r="D335">
        <v>115</v>
      </c>
      <c r="E335" s="1" t="s">
        <v>740</v>
      </c>
    </row>
    <row r="336" spans="1:5" x14ac:dyDescent="0.35">
      <c r="A336" s="1" t="s">
        <v>942</v>
      </c>
      <c r="B336" s="2">
        <v>45223.18472222222</v>
      </c>
      <c r="C336" s="1" t="s">
        <v>952</v>
      </c>
      <c r="D336">
        <v>42</v>
      </c>
      <c r="E336" s="1" t="s">
        <v>738</v>
      </c>
    </row>
    <row r="337" spans="1:5" x14ac:dyDescent="0.35">
      <c r="A337" s="1" t="s">
        <v>1294</v>
      </c>
      <c r="B337" s="2">
        <v>45207.845833333333</v>
      </c>
      <c r="C337" s="1" t="s">
        <v>952</v>
      </c>
      <c r="D337">
        <v>12</v>
      </c>
      <c r="E337" s="1" t="s">
        <v>740</v>
      </c>
    </row>
    <row r="338" spans="1:5" x14ac:dyDescent="0.35">
      <c r="A338" s="1" t="s">
        <v>1002</v>
      </c>
      <c r="B338" s="2">
        <v>45214.893750000003</v>
      </c>
      <c r="C338" s="1" t="s">
        <v>1023</v>
      </c>
      <c r="D338">
        <v>60</v>
      </c>
      <c r="E338" s="1" t="s">
        <v>738</v>
      </c>
    </row>
    <row r="339" spans="1:5" x14ac:dyDescent="0.35">
      <c r="A339" s="1" t="s">
        <v>1091</v>
      </c>
      <c r="B339" s="2">
        <v>45230.185416666667</v>
      </c>
      <c r="C339" s="1" t="s">
        <v>1107</v>
      </c>
      <c r="D339">
        <v>31</v>
      </c>
      <c r="E339" s="1" t="s">
        <v>738</v>
      </c>
    </row>
    <row r="340" spans="1:5" x14ac:dyDescent="0.35">
      <c r="A340" s="1" t="s">
        <v>826</v>
      </c>
      <c r="B340" s="2">
        <v>45218.334722222222</v>
      </c>
      <c r="C340" s="1" t="s">
        <v>829</v>
      </c>
      <c r="D340">
        <v>85</v>
      </c>
      <c r="E340" s="1" t="s">
        <v>740</v>
      </c>
    </row>
    <row r="341" spans="1:5" x14ac:dyDescent="0.35">
      <c r="A341" s="1" t="s">
        <v>1247</v>
      </c>
      <c r="B341" s="2">
        <v>45225.129166666673</v>
      </c>
      <c r="C341" s="1" t="s">
        <v>829</v>
      </c>
      <c r="D341">
        <v>36</v>
      </c>
      <c r="E341" s="1" t="s">
        <v>740</v>
      </c>
    </row>
    <row r="342" spans="1:5" x14ac:dyDescent="0.35">
      <c r="A342" s="1" t="s">
        <v>1294</v>
      </c>
      <c r="B342" s="2">
        <v>45230.537499999999</v>
      </c>
      <c r="C342" s="1" t="s">
        <v>1295</v>
      </c>
      <c r="D342">
        <v>33</v>
      </c>
      <c r="E342" s="1" t="s">
        <v>738</v>
      </c>
    </row>
    <row r="343" spans="1:5" x14ac:dyDescent="0.35">
      <c r="A343" s="1" t="s">
        <v>1389</v>
      </c>
      <c r="B343" s="2">
        <v>45225.384027777778</v>
      </c>
      <c r="C343" s="1" t="s">
        <v>1295</v>
      </c>
      <c r="D343">
        <v>42</v>
      </c>
      <c r="E343" s="1" t="s">
        <v>735</v>
      </c>
    </row>
    <row r="344" spans="1:5" x14ac:dyDescent="0.35">
      <c r="A344" s="1" t="s">
        <v>1120</v>
      </c>
      <c r="B344" s="2">
        <v>45216.513888888891</v>
      </c>
      <c r="C344" s="1" t="s">
        <v>1136</v>
      </c>
      <c r="D344">
        <v>73</v>
      </c>
      <c r="E344" s="1" t="s">
        <v>738</v>
      </c>
    </row>
    <row r="345" spans="1:5" x14ac:dyDescent="0.35">
      <c r="A345" s="1" t="s">
        <v>981</v>
      </c>
      <c r="B345" s="2">
        <v>45222.467361111107</v>
      </c>
      <c r="C345" s="1" t="s">
        <v>988</v>
      </c>
      <c r="D345">
        <v>104</v>
      </c>
      <c r="E345" s="1" t="s">
        <v>740</v>
      </c>
    </row>
    <row r="346" spans="1:5" x14ac:dyDescent="0.35">
      <c r="A346" s="1" t="s">
        <v>1389</v>
      </c>
      <c r="B346" s="2">
        <v>45221.498611111107</v>
      </c>
      <c r="C346" s="1" t="s">
        <v>1402</v>
      </c>
      <c r="D346">
        <v>116</v>
      </c>
      <c r="E346" s="1" t="s">
        <v>738</v>
      </c>
    </row>
    <row r="347" spans="1:5" x14ac:dyDescent="0.35">
      <c r="A347" s="1" t="s">
        <v>733</v>
      </c>
      <c r="B347" s="2">
        <v>45221.836111111108</v>
      </c>
      <c r="C347" s="1" t="s">
        <v>768</v>
      </c>
      <c r="D347">
        <v>6</v>
      </c>
      <c r="E347" s="1" t="s">
        <v>740</v>
      </c>
    </row>
    <row r="348" spans="1:5" x14ac:dyDescent="0.35">
      <c r="A348" s="1" t="s">
        <v>905</v>
      </c>
      <c r="B348" s="2">
        <v>45205.052777777782</v>
      </c>
      <c r="C348" s="1" t="s">
        <v>768</v>
      </c>
      <c r="D348">
        <v>102</v>
      </c>
      <c r="E348" s="1" t="s">
        <v>738</v>
      </c>
    </row>
    <row r="349" spans="1:5" x14ac:dyDescent="0.35">
      <c r="A349" s="1" t="s">
        <v>981</v>
      </c>
      <c r="B349" s="2">
        <v>45204.759027777778</v>
      </c>
      <c r="C349" s="1" t="s">
        <v>995</v>
      </c>
      <c r="D349">
        <v>105</v>
      </c>
      <c r="E349" s="1" t="s">
        <v>740</v>
      </c>
    </row>
    <row r="350" spans="1:5" x14ac:dyDescent="0.35">
      <c r="A350" s="1" t="s">
        <v>1002</v>
      </c>
      <c r="B350" s="2">
        <v>45227.724305555559</v>
      </c>
      <c r="C350" s="1" t="s">
        <v>995</v>
      </c>
      <c r="D350">
        <v>20</v>
      </c>
      <c r="E350" s="1" t="s">
        <v>735</v>
      </c>
    </row>
    <row r="351" spans="1:5" x14ac:dyDescent="0.35">
      <c r="A351" s="1" t="s">
        <v>1336</v>
      </c>
      <c r="B351" s="2">
        <v>45227.705555555563</v>
      </c>
      <c r="C351" s="1" t="s">
        <v>995</v>
      </c>
      <c r="D351">
        <v>108</v>
      </c>
      <c r="E351" s="1" t="s">
        <v>738</v>
      </c>
    </row>
    <row r="352" spans="1:5" x14ac:dyDescent="0.35">
      <c r="A352" s="1" t="s">
        <v>1199</v>
      </c>
      <c r="B352" s="2">
        <v>45224.963888888888</v>
      </c>
      <c r="C352" s="1" t="s">
        <v>1200</v>
      </c>
      <c r="D352">
        <v>83</v>
      </c>
      <c r="E352" s="1" t="s">
        <v>738</v>
      </c>
    </row>
    <row r="353" spans="1:5" x14ac:dyDescent="0.35">
      <c r="A353" s="1" t="s">
        <v>942</v>
      </c>
      <c r="B353" s="2">
        <v>45221.384722222218</v>
      </c>
      <c r="C353" s="1" t="s">
        <v>962</v>
      </c>
      <c r="D353">
        <v>92</v>
      </c>
      <c r="E353" s="1" t="s">
        <v>738</v>
      </c>
    </row>
    <row r="354" spans="1:5" x14ac:dyDescent="0.35">
      <c r="A354" s="1" t="s">
        <v>1091</v>
      </c>
      <c r="B354" s="2">
        <v>45214.613194444442</v>
      </c>
      <c r="C354" s="1" t="s">
        <v>1105</v>
      </c>
      <c r="D354">
        <v>61</v>
      </c>
      <c r="E354" s="1" t="s">
        <v>740</v>
      </c>
    </row>
    <row r="355" spans="1:5" x14ac:dyDescent="0.35">
      <c r="A355" s="1" t="s">
        <v>864</v>
      </c>
      <c r="B355" s="2">
        <v>45228.614583333343</v>
      </c>
      <c r="C355" s="1" t="s">
        <v>904</v>
      </c>
      <c r="D355">
        <v>48</v>
      </c>
      <c r="E355" s="1" t="s">
        <v>738</v>
      </c>
    </row>
    <row r="356" spans="1:5" x14ac:dyDescent="0.35">
      <c r="A356" s="1" t="s">
        <v>1120</v>
      </c>
      <c r="B356" s="2">
        <v>45222.763194444437</v>
      </c>
      <c r="C356" s="1" t="s">
        <v>904</v>
      </c>
      <c r="D356">
        <v>91</v>
      </c>
      <c r="E356" s="1" t="s">
        <v>740</v>
      </c>
    </row>
    <row r="357" spans="1:5" x14ac:dyDescent="0.35">
      <c r="A357" s="1" t="s">
        <v>1389</v>
      </c>
      <c r="B357" s="2">
        <v>45214.172222222223</v>
      </c>
      <c r="C357" s="1" t="s">
        <v>904</v>
      </c>
      <c r="D357">
        <v>6</v>
      </c>
      <c r="E357" s="1" t="s">
        <v>735</v>
      </c>
    </row>
    <row r="358" spans="1:5" x14ac:dyDescent="0.35">
      <c r="A358" s="1" t="s">
        <v>1414</v>
      </c>
      <c r="B358" s="2">
        <v>45219.095833333333</v>
      </c>
      <c r="C358" s="1" t="s">
        <v>904</v>
      </c>
      <c r="D358">
        <v>113</v>
      </c>
      <c r="E358" s="1" t="s">
        <v>740</v>
      </c>
    </row>
    <row r="359" spans="1:5" x14ac:dyDescent="0.35">
      <c r="A359" s="1" t="s">
        <v>1368</v>
      </c>
      <c r="B359" s="2">
        <v>45203.570833333331</v>
      </c>
      <c r="C359" s="1" t="s">
        <v>1386</v>
      </c>
      <c r="D359">
        <v>68</v>
      </c>
      <c r="E359" s="1" t="s">
        <v>740</v>
      </c>
    </row>
    <row r="360" spans="1:5" x14ac:dyDescent="0.35">
      <c r="A360" s="1" t="s">
        <v>782</v>
      </c>
      <c r="B360" s="2">
        <v>45229.298611111109</v>
      </c>
      <c r="C360" s="1" t="s">
        <v>797</v>
      </c>
      <c r="D360">
        <v>74</v>
      </c>
      <c r="E360" s="1" t="s">
        <v>740</v>
      </c>
    </row>
    <row r="361" spans="1:5" x14ac:dyDescent="0.35">
      <c r="A361" s="1" t="s">
        <v>1002</v>
      </c>
      <c r="B361" s="2">
        <v>45211.546527777777</v>
      </c>
      <c r="C361" s="1" t="s">
        <v>797</v>
      </c>
      <c r="D361">
        <v>115</v>
      </c>
      <c r="E361" s="1" t="s">
        <v>735</v>
      </c>
    </row>
    <row r="362" spans="1:5" x14ac:dyDescent="0.35">
      <c r="A362" s="1" t="s">
        <v>1336</v>
      </c>
      <c r="B362" s="2">
        <v>45225.211111111108</v>
      </c>
      <c r="C362" s="1" t="s">
        <v>1346</v>
      </c>
      <c r="D362">
        <v>33</v>
      </c>
      <c r="E362" s="1" t="s">
        <v>738</v>
      </c>
    </row>
    <row r="363" spans="1:5" x14ac:dyDescent="0.35">
      <c r="A363" s="1" t="s">
        <v>1002</v>
      </c>
      <c r="B363" s="2">
        <v>45213.342361111107</v>
      </c>
      <c r="C363" s="1" t="s">
        <v>1024</v>
      </c>
      <c r="D363">
        <v>63</v>
      </c>
      <c r="E363" s="1" t="s">
        <v>738</v>
      </c>
    </row>
    <row r="364" spans="1:5" x14ac:dyDescent="0.35">
      <c r="A364" s="1" t="s">
        <v>1368</v>
      </c>
      <c r="B364" s="2">
        <v>45202.361805555563</v>
      </c>
      <c r="C364" s="1" t="s">
        <v>1384</v>
      </c>
      <c r="D364">
        <v>15</v>
      </c>
      <c r="E364" s="1" t="s">
        <v>738</v>
      </c>
    </row>
    <row r="365" spans="1:5" x14ac:dyDescent="0.35">
      <c r="A365" s="1" t="s">
        <v>864</v>
      </c>
      <c r="B365" s="2">
        <v>45220.416666666657</v>
      </c>
      <c r="C365" s="1" t="s">
        <v>900</v>
      </c>
      <c r="D365">
        <v>32</v>
      </c>
      <c r="E365" s="1" t="s">
        <v>738</v>
      </c>
    </row>
    <row r="366" spans="1:5" x14ac:dyDescent="0.35">
      <c r="A366" s="1" t="s">
        <v>1314</v>
      </c>
      <c r="B366" s="2">
        <v>45210.961111111108</v>
      </c>
      <c r="C366" s="1" t="s">
        <v>900</v>
      </c>
      <c r="D366">
        <v>66</v>
      </c>
      <c r="E366" s="1" t="s">
        <v>735</v>
      </c>
    </row>
    <row r="367" spans="1:5" x14ac:dyDescent="0.35">
      <c r="A367" s="1" t="s">
        <v>1144</v>
      </c>
      <c r="B367" s="2">
        <v>45226.747916666667</v>
      </c>
      <c r="C367" s="1" t="s">
        <v>1161</v>
      </c>
      <c r="D367">
        <v>52</v>
      </c>
      <c r="E367" s="1" t="s">
        <v>738</v>
      </c>
    </row>
    <row r="368" spans="1:5" x14ac:dyDescent="0.35">
      <c r="A368" s="1" t="s">
        <v>1144</v>
      </c>
      <c r="B368" s="2">
        <v>45215.457638888889</v>
      </c>
      <c r="C368" s="1" t="s">
        <v>1147</v>
      </c>
      <c r="D368">
        <v>100</v>
      </c>
      <c r="E368" s="1" t="s">
        <v>735</v>
      </c>
    </row>
    <row r="369" spans="1:5" x14ac:dyDescent="0.35">
      <c r="A369" s="1" t="s">
        <v>1225</v>
      </c>
      <c r="B369" s="2">
        <v>45203.304861111108</v>
      </c>
      <c r="C369" s="1" t="s">
        <v>1147</v>
      </c>
      <c r="D369">
        <v>106</v>
      </c>
      <c r="E369" s="1" t="s">
        <v>738</v>
      </c>
    </row>
    <row r="370" spans="1:5" x14ac:dyDescent="0.35">
      <c r="A370" s="1" t="s">
        <v>1063</v>
      </c>
      <c r="B370" s="2">
        <v>45201.30972222222</v>
      </c>
      <c r="C370" s="1" t="s">
        <v>1064</v>
      </c>
      <c r="D370">
        <v>56</v>
      </c>
      <c r="E370" s="1" t="s">
        <v>740</v>
      </c>
    </row>
    <row r="371" spans="1:5" x14ac:dyDescent="0.35">
      <c r="A371" s="1" t="s">
        <v>1294</v>
      </c>
      <c r="B371" s="2">
        <v>45208.084027777782</v>
      </c>
      <c r="C371" s="1" t="s">
        <v>1301</v>
      </c>
      <c r="D371">
        <v>50</v>
      </c>
      <c r="E371" s="1" t="s">
        <v>738</v>
      </c>
    </row>
    <row r="372" spans="1:5" x14ac:dyDescent="0.35">
      <c r="A372" s="1" t="s">
        <v>1063</v>
      </c>
      <c r="B372" s="2">
        <v>45222.179166666669</v>
      </c>
      <c r="C372" s="1" t="s">
        <v>1069</v>
      </c>
      <c r="D372">
        <v>28</v>
      </c>
      <c r="E372" s="1" t="s">
        <v>738</v>
      </c>
    </row>
    <row r="373" spans="1:5" x14ac:dyDescent="0.35">
      <c r="A373" s="1" t="s">
        <v>1171</v>
      </c>
      <c r="B373" s="2">
        <v>45214.736805555563</v>
      </c>
      <c r="C373" s="1" t="s">
        <v>1188</v>
      </c>
      <c r="D373">
        <v>34</v>
      </c>
      <c r="E373" s="1" t="s">
        <v>740</v>
      </c>
    </row>
    <row r="374" spans="1:5" x14ac:dyDescent="0.35">
      <c r="A374" s="1" t="s">
        <v>1414</v>
      </c>
      <c r="B374" s="2">
        <v>45224.6</v>
      </c>
      <c r="C374" s="1" t="s">
        <v>1422</v>
      </c>
      <c r="D374">
        <v>70</v>
      </c>
      <c r="E374" s="1" t="s">
        <v>740</v>
      </c>
    </row>
    <row r="375" spans="1:5" x14ac:dyDescent="0.35">
      <c r="A375" s="1" t="s">
        <v>1389</v>
      </c>
      <c r="B375" s="2">
        <v>45206.366666666669</v>
      </c>
      <c r="C375" s="1" t="s">
        <v>1406</v>
      </c>
      <c r="D375">
        <v>30</v>
      </c>
      <c r="E375" s="1" t="s">
        <v>740</v>
      </c>
    </row>
    <row r="376" spans="1:5" x14ac:dyDescent="0.35">
      <c r="A376" s="1" t="s">
        <v>1294</v>
      </c>
      <c r="B376" s="2">
        <v>45225.171527777777</v>
      </c>
      <c r="C376" s="1" t="s">
        <v>1297</v>
      </c>
      <c r="D376">
        <v>104</v>
      </c>
      <c r="E376" s="1" t="s">
        <v>738</v>
      </c>
    </row>
    <row r="377" spans="1:5" x14ac:dyDescent="0.35">
      <c r="A377" s="1" t="s">
        <v>1247</v>
      </c>
      <c r="B377" s="2">
        <v>45215.093055555553</v>
      </c>
      <c r="C377" s="1" t="s">
        <v>1264</v>
      </c>
      <c r="D377">
        <v>87</v>
      </c>
      <c r="E377" s="1" t="s">
        <v>735</v>
      </c>
    </row>
    <row r="378" spans="1:5" x14ac:dyDescent="0.35">
      <c r="A378" s="1" t="s">
        <v>905</v>
      </c>
      <c r="B378" s="2">
        <v>45202.21875</v>
      </c>
      <c r="C378" s="1" t="s">
        <v>923</v>
      </c>
      <c r="D378">
        <v>86</v>
      </c>
      <c r="E378" s="1" t="s">
        <v>740</v>
      </c>
    </row>
    <row r="379" spans="1:5" x14ac:dyDescent="0.35">
      <c r="A379" s="1" t="s">
        <v>1002</v>
      </c>
      <c r="B379" s="2">
        <v>45210.458333333343</v>
      </c>
      <c r="C379" s="1" t="s">
        <v>923</v>
      </c>
      <c r="D379">
        <v>95</v>
      </c>
      <c r="E379" s="1" t="s">
        <v>738</v>
      </c>
    </row>
    <row r="380" spans="1:5" x14ac:dyDescent="0.35">
      <c r="A380" s="1" t="s">
        <v>733</v>
      </c>
      <c r="B380" s="2">
        <v>45217.321527777778</v>
      </c>
      <c r="C380" s="1" t="s">
        <v>773</v>
      </c>
      <c r="D380">
        <v>118</v>
      </c>
      <c r="E380" s="1" t="s">
        <v>738</v>
      </c>
    </row>
    <row r="381" spans="1:5" x14ac:dyDescent="0.35">
      <c r="A381" s="1" t="s">
        <v>1063</v>
      </c>
      <c r="B381" s="2">
        <v>45207.987500000003</v>
      </c>
      <c r="C381" s="1" t="s">
        <v>1077</v>
      </c>
      <c r="D381">
        <v>15</v>
      </c>
      <c r="E381" s="1" t="s">
        <v>738</v>
      </c>
    </row>
    <row r="382" spans="1:5" x14ac:dyDescent="0.35">
      <c r="A382" s="1" t="s">
        <v>1368</v>
      </c>
      <c r="B382" s="2">
        <v>45210.03125</v>
      </c>
      <c r="C382" s="1" t="s">
        <v>1077</v>
      </c>
      <c r="D382">
        <v>63</v>
      </c>
      <c r="E382" s="1" t="s">
        <v>740</v>
      </c>
    </row>
    <row r="383" spans="1:5" x14ac:dyDescent="0.35">
      <c r="A383" s="1" t="s">
        <v>942</v>
      </c>
      <c r="B383" s="2">
        <v>45202.45416666667</v>
      </c>
      <c r="C383" s="1" t="s">
        <v>957</v>
      </c>
      <c r="D383">
        <v>89</v>
      </c>
      <c r="E383" s="1" t="s">
        <v>740</v>
      </c>
    </row>
    <row r="384" spans="1:5" x14ac:dyDescent="0.35">
      <c r="A384" s="1" t="s">
        <v>1199</v>
      </c>
      <c r="B384" s="2">
        <v>45224.818055555559</v>
      </c>
      <c r="C384" s="1" t="s">
        <v>957</v>
      </c>
      <c r="D384">
        <v>5</v>
      </c>
      <c r="E384" s="1" t="s">
        <v>740</v>
      </c>
    </row>
    <row r="385" spans="1:5" x14ac:dyDescent="0.35">
      <c r="A385" s="1" t="s">
        <v>942</v>
      </c>
      <c r="B385" s="2">
        <v>45225.215277777781</v>
      </c>
      <c r="C385" s="1" t="s">
        <v>971</v>
      </c>
      <c r="D385">
        <v>41</v>
      </c>
      <c r="E385" s="1" t="s">
        <v>740</v>
      </c>
    </row>
    <row r="386" spans="1:5" x14ac:dyDescent="0.35">
      <c r="A386" s="1" t="s">
        <v>1225</v>
      </c>
      <c r="B386" s="2">
        <v>45225.527777777781</v>
      </c>
      <c r="C386" s="1" t="s">
        <v>1237</v>
      </c>
      <c r="D386">
        <v>6</v>
      </c>
      <c r="E386" s="1" t="s">
        <v>738</v>
      </c>
    </row>
    <row r="387" spans="1:5" x14ac:dyDescent="0.35">
      <c r="A387" s="1" t="s">
        <v>1028</v>
      </c>
      <c r="B387" s="2">
        <v>45225.77847222222</v>
      </c>
      <c r="C387" s="1" t="s">
        <v>1035</v>
      </c>
      <c r="D387">
        <v>89</v>
      </c>
      <c r="E387" s="1" t="s">
        <v>735</v>
      </c>
    </row>
    <row r="388" spans="1:5" x14ac:dyDescent="0.35">
      <c r="A388" s="1" t="s">
        <v>864</v>
      </c>
      <c r="B388" s="2">
        <v>45225.159722222219</v>
      </c>
      <c r="C388" s="1" t="s">
        <v>897</v>
      </c>
      <c r="D388">
        <v>113</v>
      </c>
      <c r="E388" s="1" t="s">
        <v>735</v>
      </c>
    </row>
    <row r="389" spans="1:5" x14ac:dyDescent="0.35">
      <c r="A389" s="1" t="s">
        <v>782</v>
      </c>
      <c r="B389" s="2">
        <v>45216.457638888889</v>
      </c>
      <c r="C389" s="1" t="s">
        <v>818</v>
      </c>
      <c r="D389">
        <v>39</v>
      </c>
      <c r="E389" s="1" t="s">
        <v>735</v>
      </c>
    </row>
    <row r="390" spans="1:5" x14ac:dyDescent="0.35">
      <c r="A390" s="1" t="s">
        <v>1028</v>
      </c>
      <c r="B390" s="2">
        <v>45204.905555555553</v>
      </c>
      <c r="C390" s="1" t="s">
        <v>1054</v>
      </c>
      <c r="D390">
        <v>61</v>
      </c>
      <c r="E390" s="1" t="s">
        <v>735</v>
      </c>
    </row>
    <row r="391" spans="1:5" x14ac:dyDescent="0.35">
      <c r="A391" s="1" t="s">
        <v>1267</v>
      </c>
      <c r="B391" s="2">
        <v>45215.756944444453</v>
      </c>
      <c r="C391" s="1" t="s">
        <v>1280</v>
      </c>
      <c r="D391">
        <v>24</v>
      </c>
      <c r="E391" s="1" t="s">
        <v>740</v>
      </c>
    </row>
    <row r="392" spans="1:5" x14ac:dyDescent="0.35">
      <c r="A392" s="1" t="s">
        <v>733</v>
      </c>
      <c r="B392" s="2">
        <v>45220.830555555556</v>
      </c>
      <c r="C392" s="1" t="s">
        <v>759</v>
      </c>
      <c r="D392">
        <v>59</v>
      </c>
      <c r="E392" s="1" t="s">
        <v>740</v>
      </c>
    </row>
    <row r="393" spans="1:5" x14ac:dyDescent="0.35">
      <c r="A393" s="1" t="s">
        <v>1171</v>
      </c>
      <c r="B393" s="2">
        <v>45224.456944444442</v>
      </c>
      <c r="C393" s="1" t="s">
        <v>759</v>
      </c>
      <c r="D393">
        <v>32</v>
      </c>
      <c r="E393" s="1" t="s">
        <v>735</v>
      </c>
    </row>
    <row r="394" spans="1:5" x14ac:dyDescent="0.35">
      <c r="A394" s="1" t="s">
        <v>1336</v>
      </c>
      <c r="B394" s="2">
        <v>45208.662499999999</v>
      </c>
      <c r="C394" s="1" t="s">
        <v>1342</v>
      </c>
      <c r="D394">
        <v>104</v>
      </c>
      <c r="E394" s="1" t="s">
        <v>740</v>
      </c>
    </row>
    <row r="395" spans="1:5" x14ac:dyDescent="0.35">
      <c r="A395" s="1" t="s">
        <v>1199</v>
      </c>
      <c r="B395" s="2">
        <v>45225.948611111111</v>
      </c>
      <c r="C395" s="1" t="s">
        <v>1201</v>
      </c>
      <c r="D395">
        <v>30</v>
      </c>
      <c r="E395" s="1" t="s">
        <v>735</v>
      </c>
    </row>
    <row r="396" spans="1:5" x14ac:dyDescent="0.35">
      <c r="A396" s="1" t="s">
        <v>1389</v>
      </c>
      <c r="B396" s="2">
        <v>45216.960416666669</v>
      </c>
      <c r="C396" s="1" t="s">
        <v>1392</v>
      </c>
      <c r="D396">
        <v>41</v>
      </c>
      <c r="E396" s="1" t="s">
        <v>738</v>
      </c>
    </row>
    <row r="397" spans="1:5" x14ac:dyDescent="0.35">
      <c r="A397" s="1" t="s">
        <v>1144</v>
      </c>
      <c r="B397" s="2">
        <v>45207.908333333333</v>
      </c>
      <c r="C397" s="1" t="s">
        <v>1158</v>
      </c>
      <c r="D397">
        <v>103</v>
      </c>
      <c r="E397" s="1" t="s">
        <v>735</v>
      </c>
    </row>
    <row r="398" spans="1:5" x14ac:dyDescent="0.35">
      <c r="A398" s="1" t="s">
        <v>1351</v>
      </c>
      <c r="B398" s="2">
        <v>45201.859027777777</v>
      </c>
      <c r="C398" s="1" t="s">
        <v>1354</v>
      </c>
      <c r="D398">
        <v>26</v>
      </c>
      <c r="E398" s="1" t="s">
        <v>738</v>
      </c>
    </row>
    <row r="399" spans="1:5" x14ac:dyDescent="0.35">
      <c r="A399" s="1" t="s">
        <v>981</v>
      </c>
      <c r="B399" s="2">
        <v>45202.717361111107</v>
      </c>
      <c r="C399" s="1" t="s">
        <v>996</v>
      </c>
      <c r="D399">
        <v>115</v>
      </c>
      <c r="E399" s="1" t="s">
        <v>740</v>
      </c>
    </row>
    <row r="400" spans="1:5" x14ac:dyDescent="0.35">
      <c r="A400" s="1" t="s">
        <v>1028</v>
      </c>
      <c r="B400" s="2">
        <v>45205.474305555559</v>
      </c>
      <c r="C400" s="1" t="s">
        <v>1041</v>
      </c>
      <c r="D400">
        <v>25</v>
      </c>
      <c r="E400" s="1" t="s">
        <v>735</v>
      </c>
    </row>
    <row r="401" spans="1:5" x14ac:dyDescent="0.35">
      <c r="A401" s="1" t="s">
        <v>1091</v>
      </c>
      <c r="B401" s="2">
        <v>45225.625694444447</v>
      </c>
      <c r="C401" s="1" t="s">
        <v>1097</v>
      </c>
      <c r="D401">
        <v>108</v>
      </c>
      <c r="E401" s="1" t="s">
        <v>740</v>
      </c>
    </row>
    <row r="402" spans="1:5" x14ac:dyDescent="0.35">
      <c r="A402" s="1" t="s">
        <v>1247</v>
      </c>
      <c r="B402" s="2">
        <v>45209.988888888889</v>
      </c>
      <c r="C402" s="1" t="s">
        <v>1260</v>
      </c>
      <c r="D402">
        <v>80</v>
      </c>
      <c r="E402" s="1" t="s">
        <v>738</v>
      </c>
    </row>
    <row r="403" spans="1:5" x14ac:dyDescent="0.35">
      <c r="A403" s="1" t="s">
        <v>1247</v>
      </c>
      <c r="B403" s="2">
        <v>45209.183333333327</v>
      </c>
      <c r="C403" s="1" t="s">
        <v>1265</v>
      </c>
      <c r="D403">
        <v>81</v>
      </c>
      <c r="E403" s="1" t="s">
        <v>738</v>
      </c>
    </row>
    <row r="404" spans="1:5" x14ac:dyDescent="0.35">
      <c r="A404" s="1" t="s">
        <v>1314</v>
      </c>
      <c r="B404" s="2">
        <v>45223.548611111109</v>
      </c>
      <c r="C404" s="1" t="s">
        <v>1265</v>
      </c>
      <c r="D404">
        <v>19</v>
      </c>
      <c r="E404" s="1" t="s">
        <v>738</v>
      </c>
    </row>
    <row r="405" spans="1:5" x14ac:dyDescent="0.35">
      <c r="A405" s="1" t="s">
        <v>1247</v>
      </c>
      <c r="B405" s="2">
        <v>45220.584027777782</v>
      </c>
      <c r="C405" s="1" t="s">
        <v>1255</v>
      </c>
      <c r="D405">
        <v>92</v>
      </c>
      <c r="E405" s="1" t="s">
        <v>740</v>
      </c>
    </row>
    <row r="406" spans="1:5" x14ac:dyDescent="0.35">
      <c r="A406" s="1" t="s">
        <v>1091</v>
      </c>
      <c r="B406" s="2">
        <v>45219.453472222223</v>
      </c>
      <c r="C406" s="1" t="s">
        <v>1115</v>
      </c>
      <c r="D406">
        <v>52</v>
      </c>
      <c r="E406" s="1" t="s">
        <v>738</v>
      </c>
    </row>
    <row r="407" spans="1:5" x14ac:dyDescent="0.35">
      <c r="A407" s="1" t="s">
        <v>1144</v>
      </c>
      <c r="B407" s="2">
        <v>45209.781944444447</v>
      </c>
      <c r="C407" s="1" t="s">
        <v>1115</v>
      </c>
      <c r="D407">
        <v>10</v>
      </c>
      <c r="E407" s="1" t="s">
        <v>738</v>
      </c>
    </row>
    <row r="408" spans="1:5" x14ac:dyDescent="0.35">
      <c r="A408" s="1" t="s">
        <v>1199</v>
      </c>
      <c r="B408" s="2">
        <v>45202.443055555559</v>
      </c>
      <c r="C408" s="1" t="s">
        <v>1115</v>
      </c>
      <c r="D408">
        <v>43</v>
      </c>
      <c r="E408" s="1" t="s">
        <v>735</v>
      </c>
    </row>
    <row r="409" spans="1:5" x14ac:dyDescent="0.35">
      <c r="A409" s="1" t="s">
        <v>1267</v>
      </c>
      <c r="B409" s="2">
        <v>45220.551388888889</v>
      </c>
      <c r="C409" s="1" t="s">
        <v>1288</v>
      </c>
      <c r="D409">
        <v>6</v>
      </c>
      <c r="E409" s="1" t="s">
        <v>735</v>
      </c>
    </row>
    <row r="410" spans="1:5" x14ac:dyDescent="0.35">
      <c r="A410" s="1" t="s">
        <v>1314</v>
      </c>
      <c r="B410" s="2">
        <v>45200.570138888892</v>
      </c>
      <c r="C410" s="1" t="s">
        <v>1329</v>
      </c>
      <c r="D410">
        <v>53</v>
      </c>
      <c r="E410" s="1" t="s">
        <v>740</v>
      </c>
    </row>
    <row r="411" spans="1:5" x14ac:dyDescent="0.35">
      <c r="A411" s="1" t="s">
        <v>1002</v>
      </c>
      <c r="B411" s="2">
        <v>45205.793749999997</v>
      </c>
      <c r="C411" s="1" t="s">
        <v>1021</v>
      </c>
      <c r="D411">
        <v>99</v>
      </c>
      <c r="E411" s="1" t="s">
        <v>738</v>
      </c>
    </row>
    <row r="412" spans="1:5" x14ac:dyDescent="0.35">
      <c r="A412" s="1" t="s">
        <v>1171</v>
      </c>
      <c r="B412" s="2">
        <v>45215.587500000001</v>
      </c>
      <c r="C412" s="1" t="s">
        <v>1190</v>
      </c>
      <c r="D412">
        <v>24</v>
      </c>
      <c r="E412" s="1" t="s">
        <v>738</v>
      </c>
    </row>
    <row r="413" spans="1:5" x14ac:dyDescent="0.35">
      <c r="A413" s="1" t="s">
        <v>1336</v>
      </c>
      <c r="B413" s="2">
        <v>45215.049305555563</v>
      </c>
      <c r="C413" s="1" t="s">
        <v>1190</v>
      </c>
      <c r="D413">
        <v>33</v>
      </c>
      <c r="E413" s="1" t="s">
        <v>738</v>
      </c>
    </row>
    <row r="414" spans="1:5" x14ac:dyDescent="0.35">
      <c r="A414" s="1" t="s">
        <v>1002</v>
      </c>
      <c r="B414" s="2">
        <v>45223.450694444437</v>
      </c>
      <c r="C414" s="1" t="s">
        <v>1018</v>
      </c>
      <c r="D414">
        <v>14</v>
      </c>
      <c r="E414" s="1" t="s">
        <v>740</v>
      </c>
    </row>
    <row r="415" spans="1:5" x14ac:dyDescent="0.35">
      <c r="A415" s="1" t="s">
        <v>905</v>
      </c>
      <c r="B415" s="2">
        <v>45220.877083333333</v>
      </c>
      <c r="C415" s="1" t="s">
        <v>910</v>
      </c>
      <c r="D415">
        <v>78</v>
      </c>
      <c r="E415" s="1" t="s">
        <v>735</v>
      </c>
    </row>
    <row r="416" spans="1:5" x14ac:dyDescent="0.35">
      <c r="A416" s="1" t="s">
        <v>1368</v>
      </c>
      <c r="B416" s="2">
        <v>45227.195833333331</v>
      </c>
      <c r="C416" s="1" t="s">
        <v>910</v>
      </c>
      <c r="D416">
        <v>113</v>
      </c>
      <c r="E416" s="1" t="s">
        <v>738</v>
      </c>
    </row>
    <row r="417" spans="1:5" x14ac:dyDescent="0.35">
      <c r="A417" s="1" t="s">
        <v>864</v>
      </c>
      <c r="B417" s="2">
        <v>45221.517361111109</v>
      </c>
      <c r="C417" s="1" t="s">
        <v>891</v>
      </c>
      <c r="D417">
        <v>83</v>
      </c>
      <c r="E417" s="1" t="s">
        <v>740</v>
      </c>
    </row>
    <row r="418" spans="1:5" x14ac:dyDescent="0.35">
      <c r="A418" s="1" t="s">
        <v>1002</v>
      </c>
      <c r="B418" s="2">
        <v>45218.675694444442</v>
      </c>
      <c r="C418" s="1" t="s">
        <v>891</v>
      </c>
      <c r="D418">
        <v>37</v>
      </c>
      <c r="E418" s="1" t="s">
        <v>740</v>
      </c>
    </row>
    <row r="419" spans="1:5" x14ac:dyDescent="0.35">
      <c r="A419" s="1" t="s">
        <v>1063</v>
      </c>
      <c r="B419" s="2">
        <v>45211.098611111112</v>
      </c>
      <c r="C419" s="1" t="s">
        <v>1076</v>
      </c>
      <c r="D419">
        <v>59</v>
      </c>
      <c r="E419" s="1" t="s">
        <v>740</v>
      </c>
    </row>
    <row r="420" spans="1:5" x14ac:dyDescent="0.35">
      <c r="A420" s="1" t="s">
        <v>1171</v>
      </c>
      <c r="B420" s="2">
        <v>45213.066666666673</v>
      </c>
      <c r="C420" s="1" t="s">
        <v>1076</v>
      </c>
      <c r="D420">
        <v>63</v>
      </c>
      <c r="E420" s="1" t="s">
        <v>735</v>
      </c>
    </row>
    <row r="421" spans="1:5" x14ac:dyDescent="0.35">
      <c r="A421" s="1" t="s">
        <v>864</v>
      </c>
      <c r="B421" s="2">
        <v>45226.104166666657</v>
      </c>
      <c r="C421" s="1" t="s">
        <v>878</v>
      </c>
      <c r="D421">
        <v>110</v>
      </c>
      <c r="E421" s="1" t="s">
        <v>738</v>
      </c>
    </row>
    <row r="422" spans="1:5" x14ac:dyDescent="0.35">
      <c r="A422" s="1" t="s">
        <v>1120</v>
      </c>
      <c r="B422" s="2">
        <v>45219.506249999999</v>
      </c>
      <c r="C422" s="1" t="s">
        <v>878</v>
      </c>
      <c r="D422">
        <v>41</v>
      </c>
      <c r="E422" s="1" t="s">
        <v>738</v>
      </c>
    </row>
    <row r="423" spans="1:5" x14ac:dyDescent="0.35">
      <c r="A423" s="1" t="s">
        <v>1199</v>
      </c>
      <c r="B423" s="2">
        <v>45205.178472222222</v>
      </c>
      <c r="C423" s="1" t="s">
        <v>1221</v>
      </c>
      <c r="D423">
        <v>42</v>
      </c>
      <c r="E423" s="1" t="s">
        <v>738</v>
      </c>
    </row>
    <row r="424" spans="1:5" x14ac:dyDescent="0.35">
      <c r="A424" s="1" t="s">
        <v>1171</v>
      </c>
      <c r="B424" s="2">
        <v>45212.680555555547</v>
      </c>
      <c r="C424" s="1" t="s">
        <v>1173</v>
      </c>
      <c r="D424">
        <v>63</v>
      </c>
      <c r="E424" s="1" t="s">
        <v>735</v>
      </c>
    </row>
    <row r="425" spans="1:5" x14ac:dyDescent="0.35">
      <c r="A425" s="1" t="s">
        <v>1267</v>
      </c>
      <c r="B425" s="2">
        <v>45222.777777777781</v>
      </c>
      <c r="C425" s="1" t="s">
        <v>1277</v>
      </c>
      <c r="D425">
        <v>102</v>
      </c>
      <c r="E425" s="1" t="s">
        <v>740</v>
      </c>
    </row>
    <row r="426" spans="1:5" x14ac:dyDescent="0.35">
      <c r="A426" s="1" t="s">
        <v>1368</v>
      </c>
      <c r="B426" s="2">
        <v>45220.222916666673</v>
      </c>
      <c r="C426" s="1" t="s">
        <v>1277</v>
      </c>
      <c r="D426">
        <v>65</v>
      </c>
      <c r="E426" s="1" t="s">
        <v>740</v>
      </c>
    </row>
    <row r="427" spans="1:5" x14ac:dyDescent="0.35">
      <c r="A427" s="1" t="s">
        <v>905</v>
      </c>
      <c r="B427" s="2">
        <v>45209.777083333327</v>
      </c>
      <c r="C427" s="1" t="s">
        <v>919</v>
      </c>
      <c r="D427">
        <v>40</v>
      </c>
      <c r="E427" s="1" t="s">
        <v>740</v>
      </c>
    </row>
    <row r="428" spans="1:5" x14ac:dyDescent="0.35">
      <c r="A428" s="1" t="s">
        <v>1120</v>
      </c>
      <c r="B428" s="2">
        <v>45216.729861111111</v>
      </c>
      <c r="C428" s="1" t="s">
        <v>919</v>
      </c>
      <c r="D428">
        <v>78</v>
      </c>
      <c r="E428" s="1" t="s">
        <v>738</v>
      </c>
    </row>
    <row r="429" spans="1:5" x14ac:dyDescent="0.35">
      <c r="A429" s="1" t="s">
        <v>1314</v>
      </c>
      <c r="B429" s="2">
        <v>45230.119444444441</v>
      </c>
      <c r="C429" s="1" t="s">
        <v>919</v>
      </c>
      <c r="D429">
        <v>8</v>
      </c>
      <c r="E429" s="1" t="s">
        <v>738</v>
      </c>
    </row>
    <row r="430" spans="1:5" x14ac:dyDescent="0.35">
      <c r="A430" s="1" t="s">
        <v>942</v>
      </c>
      <c r="B430" s="2">
        <v>45203.864583333343</v>
      </c>
      <c r="C430" s="1" t="s">
        <v>964</v>
      </c>
      <c r="D430">
        <v>100</v>
      </c>
      <c r="E430" s="1" t="s">
        <v>740</v>
      </c>
    </row>
    <row r="431" spans="1:5" x14ac:dyDescent="0.35">
      <c r="A431" s="1" t="s">
        <v>1351</v>
      </c>
      <c r="B431" s="2">
        <v>45208.762499999997</v>
      </c>
      <c r="C431" s="1" t="s">
        <v>1353</v>
      </c>
      <c r="D431">
        <v>101</v>
      </c>
      <c r="E431" s="1" t="s">
        <v>735</v>
      </c>
    </row>
    <row r="432" spans="1:5" x14ac:dyDescent="0.35">
      <c r="A432" s="1" t="s">
        <v>1002</v>
      </c>
      <c r="B432" s="2">
        <v>45213.960416666669</v>
      </c>
      <c r="C432" s="1" t="s">
        <v>1004</v>
      </c>
      <c r="D432">
        <v>103</v>
      </c>
      <c r="E432" s="1" t="s">
        <v>738</v>
      </c>
    </row>
    <row r="433" spans="1:5" x14ac:dyDescent="0.35">
      <c r="A433" s="1" t="s">
        <v>1028</v>
      </c>
      <c r="B433" s="2">
        <v>45219.076388888891</v>
      </c>
      <c r="C433" s="1" t="s">
        <v>1044</v>
      </c>
      <c r="D433">
        <v>93</v>
      </c>
      <c r="E433" s="1" t="s">
        <v>740</v>
      </c>
    </row>
    <row r="434" spans="1:5" x14ac:dyDescent="0.35">
      <c r="A434" s="1" t="s">
        <v>1091</v>
      </c>
      <c r="B434" s="2">
        <v>45217.193749999999</v>
      </c>
      <c r="C434" s="1" t="s">
        <v>1044</v>
      </c>
      <c r="D434">
        <v>56</v>
      </c>
      <c r="E434" s="1" t="s">
        <v>735</v>
      </c>
    </row>
    <row r="435" spans="1:5" x14ac:dyDescent="0.35">
      <c r="A435" s="1" t="s">
        <v>1314</v>
      </c>
      <c r="B435" s="2">
        <v>45217.504166666673</v>
      </c>
      <c r="C435" s="1" t="s">
        <v>1044</v>
      </c>
      <c r="D435">
        <v>55</v>
      </c>
      <c r="E435" s="1" t="s">
        <v>740</v>
      </c>
    </row>
    <row r="436" spans="1:5" x14ac:dyDescent="0.35">
      <c r="A436" s="1" t="s">
        <v>1144</v>
      </c>
      <c r="B436" s="2">
        <v>45200.511111111111</v>
      </c>
      <c r="C436" s="1" t="s">
        <v>1170</v>
      </c>
      <c r="D436">
        <v>22</v>
      </c>
      <c r="E436" s="1" t="s">
        <v>740</v>
      </c>
    </row>
    <row r="437" spans="1:5" x14ac:dyDescent="0.35">
      <c r="A437" s="1" t="s">
        <v>1267</v>
      </c>
      <c r="B437" s="2">
        <v>45213.145138888889</v>
      </c>
      <c r="C437" s="1" t="s">
        <v>1170</v>
      </c>
      <c r="D437">
        <v>105</v>
      </c>
      <c r="E437" s="1" t="s">
        <v>738</v>
      </c>
    </row>
    <row r="438" spans="1:5" x14ac:dyDescent="0.35">
      <c r="A438" s="1" t="s">
        <v>1351</v>
      </c>
      <c r="B438" s="2">
        <v>45206.23333333333</v>
      </c>
      <c r="C438" s="1" t="s">
        <v>1361</v>
      </c>
      <c r="D438">
        <v>26</v>
      </c>
      <c r="E438" s="1" t="s">
        <v>740</v>
      </c>
    </row>
    <row r="439" spans="1:5" x14ac:dyDescent="0.35">
      <c r="A439" s="1" t="s">
        <v>782</v>
      </c>
      <c r="B439" s="2">
        <v>45205.353472222218</v>
      </c>
      <c r="C439" s="1" t="s">
        <v>793</v>
      </c>
      <c r="D439">
        <v>52</v>
      </c>
      <c r="E439" s="1" t="s">
        <v>738</v>
      </c>
    </row>
    <row r="440" spans="1:5" x14ac:dyDescent="0.35">
      <c r="A440" s="1" t="s">
        <v>1144</v>
      </c>
      <c r="B440" s="2">
        <v>45215.743750000001</v>
      </c>
      <c r="C440" s="1" t="s">
        <v>1156</v>
      </c>
      <c r="D440">
        <v>103</v>
      </c>
      <c r="E440" s="1" t="s">
        <v>735</v>
      </c>
    </row>
    <row r="441" spans="1:5" x14ac:dyDescent="0.35">
      <c r="A441" s="1" t="s">
        <v>864</v>
      </c>
      <c r="B441" s="2">
        <v>45227.577777777777</v>
      </c>
      <c r="C441" s="1" t="s">
        <v>901</v>
      </c>
      <c r="D441">
        <v>50</v>
      </c>
      <c r="E441" s="1" t="s">
        <v>740</v>
      </c>
    </row>
    <row r="442" spans="1:5" x14ac:dyDescent="0.35">
      <c r="A442" s="1" t="s">
        <v>1225</v>
      </c>
      <c r="B442" s="2">
        <v>45211.425000000003</v>
      </c>
      <c r="C442" s="1" t="s">
        <v>901</v>
      </c>
      <c r="D442">
        <v>57</v>
      </c>
      <c r="E442" s="1" t="s">
        <v>738</v>
      </c>
    </row>
    <row r="443" spans="1:5" x14ac:dyDescent="0.35">
      <c r="A443" s="1" t="s">
        <v>826</v>
      </c>
      <c r="B443" s="2">
        <v>45221.265972222223</v>
      </c>
      <c r="C443" s="1" t="s">
        <v>838</v>
      </c>
      <c r="D443">
        <v>88</v>
      </c>
      <c r="E443" s="1" t="s">
        <v>738</v>
      </c>
    </row>
    <row r="444" spans="1:5" x14ac:dyDescent="0.35">
      <c r="A444" s="1" t="s">
        <v>782</v>
      </c>
      <c r="B444" s="2">
        <v>45230.067361111112</v>
      </c>
      <c r="C444" s="1" t="s">
        <v>806</v>
      </c>
      <c r="D444">
        <v>75</v>
      </c>
      <c r="E444" s="1" t="s">
        <v>735</v>
      </c>
    </row>
    <row r="445" spans="1:5" x14ac:dyDescent="0.35">
      <c r="A445" s="1" t="s">
        <v>1389</v>
      </c>
      <c r="B445" s="2">
        <v>45218.665972222218</v>
      </c>
      <c r="C445" s="1" t="s">
        <v>1394</v>
      </c>
      <c r="D445">
        <v>90</v>
      </c>
      <c r="E445" s="1" t="s">
        <v>740</v>
      </c>
    </row>
    <row r="446" spans="1:5" x14ac:dyDescent="0.35">
      <c r="A446" s="1" t="s">
        <v>782</v>
      </c>
      <c r="B446" s="2">
        <v>45221.84652777778</v>
      </c>
      <c r="C446" s="1" t="s">
        <v>822</v>
      </c>
      <c r="D446">
        <v>96</v>
      </c>
      <c r="E446" s="1" t="s">
        <v>740</v>
      </c>
    </row>
    <row r="447" spans="1:5" x14ac:dyDescent="0.35">
      <c r="A447" s="1" t="s">
        <v>981</v>
      </c>
      <c r="B447" s="2">
        <v>45205.154166666667</v>
      </c>
      <c r="C447" s="1" t="s">
        <v>822</v>
      </c>
      <c r="D447">
        <v>12</v>
      </c>
      <c r="E447" s="1" t="s">
        <v>735</v>
      </c>
    </row>
    <row r="448" spans="1:5" x14ac:dyDescent="0.35">
      <c r="A448" s="1" t="s">
        <v>1171</v>
      </c>
      <c r="B448" s="2">
        <v>45211.106944444437</v>
      </c>
      <c r="C448" s="1" t="s">
        <v>822</v>
      </c>
      <c r="D448">
        <v>87</v>
      </c>
      <c r="E448" s="1" t="s">
        <v>740</v>
      </c>
    </row>
    <row r="449" spans="1:5" x14ac:dyDescent="0.35">
      <c r="A449" s="1" t="s">
        <v>1063</v>
      </c>
      <c r="B449" s="2">
        <v>45211.316666666673</v>
      </c>
      <c r="C449" s="1" t="s">
        <v>1071</v>
      </c>
      <c r="D449">
        <v>93</v>
      </c>
      <c r="E449" s="1" t="s">
        <v>740</v>
      </c>
    </row>
    <row r="450" spans="1:5" x14ac:dyDescent="0.35">
      <c r="A450" s="1" t="s">
        <v>1267</v>
      </c>
      <c r="B450" s="2">
        <v>45221.049305555563</v>
      </c>
      <c r="C450" s="1" t="s">
        <v>1071</v>
      </c>
      <c r="D450">
        <v>53</v>
      </c>
      <c r="E450" s="1" t="s">
        <v>738</v>
      </c>
    </row>
    <row r="451" spans="1:5" x14ac:dyDescent="0.35">
      <c r="A451" s="1" t="s">
        <v>1002</v>
      </c>
      <c r="B451" s="2">
        <v>45213.597916666673</v>
      </c>
      <c r="C451" s="1" t="s">
        <v>1016</v>
      </c>
      <c r="D451">
        <v>108</v>
      </c>
      <c r="E451" s="1" t="s">
        <v>738</v>
      </c>
    </row>
    <row r="452" spans="1:5" x14ac:dyDescent="0.35">
      <c r="A452" s="1" t="s">
        <v>1002</v>
      </c>
      <c r="B452" s="2">
        <v>45221.50277777778</v>
      </c>
      <c r="C452" s="1" t="s">
        <v>1014</v>
      </c>
      <c r="D452">
        <v>69</v>
      </c>
      <c r="E452" s="1" t="s">
        <v>735</v>
      </c>
    </row>
    <row r="453" spans="1:5" x14ac:dyDescent="0.35">
      <c r="A453" s="1" t="s">
        <v>905</v>
      </c>
      <c r="B453" s="2">
        <v>45201.243055555547</v>
      </c>
      <c r="C453" s="1" t="s">
        <v>934</v>
      </c>
      <c r="D453">
        <v>57</v>
      </c>
      <c r="E453" s="1" t="s">
        <v>740</v>
      </c>
    </row>
    <row r="454" spans="1:5" x14ac:dyDescent="0.35">
      <c r="A454" s="1" t="s">
        <v>1063</v>
      </c>
      <c r="B454" s="2">
        <v>45209.684027777781</v>
      </c>
      <c r="C454" s="1" t="s">
        <v>934</v>
      </c>
      <c r="D454">
        <v>44</v>
      </c>
      <c r="E454" s="1" t="s">
        <v>740</v>
      </c>
    </row>
    <row r="455" spans="1:5" x14ac:dyDescent="0.35">
      <c r="A455" s="1" t="s">
        <v>1199</v>
      </c>
      <c r="B455" s="2">
        <v>45217.68472222222</v>
      </c>
      <c r="C455" s="1" t="s">
        <v>934</v>
      </c>
      <c r="D455">
        <v>43</v>
      </c>
      <c r="E455" s="1" t="s">
        <v>735</v>
      </c>
    </row>
    <row r="456" spans="1:5" x14ac:dyDescent="0.35">
      <c r="A456" s="1" t="s">
        <v>1225</v>
      </c>
      <c r="B456" s="2">
        <v>45204.76666666667</v>
      </c>
      <c r="C456" s="1" t="s">
        <v>1246</v>
      </c>
      <c r="D456">
        <v>9</v>
      </c>
      <c r="E456" s="1" t="s">
        <v>740</v>
      </c>
    </row>
    <row r="457" spans="1:5" x14ac:dyDescent="0.35">
      <c r="A457" s="1" t="s">
        <v>826</v>
      </c>
      <c r="B457" s="2">
        <v>45209.32708333333</v>
      </c>
      <c r="C457" s="1" t="s">
        <v>860</v>
      </c>
      <c r="D457">
        <v>107</v>
      </c>
      <c r="E457" s="1" t="s">
        <v>738</v>
      </c>
    </row>
    <row r="458" spans="1:5" x14ac:dyDescent="0.35">
      <c r="A458" s="1" t="s">
        <v>942</v>
      </c>
      <c r="B458" s="2">
        <v>45202.659722222219</v>
      </c>
      <c r="C458" s="1" t="s">
        <v>954</v>
      </c>
      <c r="D458">
        <v>42</v>
      </c>
      <c r="E458" s="1" t="s">
        <v>735</v>
      </c>
    </row>
    <row r="459" spans="1:5" x14ac:dyDescent="0.35">
      <c r="A459" s="1" t="s">
        <v>1028</v>
      </c>
      <c r="B459" s="2">
        <v>45203.447916666657</v>
      </c>
      <c r="C459" s="1" t="s">
        <v>954</v>
      </c>
      <c r="D459">
        <v>84</v>
      </c>
      <c r="E459" s="1" t="s">
        <v>740</v>
      </c>
    </row>
    <row r="460" spans="1:5" x14ac:dyDescent="0.35">
      <c r="A460" s="1" t="s">
        <v>1225</v>
      </c>
      <c r="B460" s="2">
        <v>45206.366666666669</v>
      </c>
      <c r="C460" s="1" t="s">
        <v>954</v>
      </c>
      <c r="D460">
        <v>69</v>
      </c>
      <c r="E460" s="1" t="s">
        <v>738</v>
      </c>
    </row>
    <row r="461" spans="1:5" x14ac:dyDescent="0.35">
      <c r="A461" s="1" t="s">
        <v>782</v>
      </c>
      <c r="B461" s="2">
        <v>45225.737500000003</v>
      </c>
      <c r="C461" s="1" t="s">
        <v>803</v>
      </c>
      <c r="D461">
        <v>6</v>
      </c>
      <c r="E461" s="1" t="s">
        <v>738</v>
      </c>
    </row>
    <row r="462" spans="1:5" x14ac:dyDescent="0.35">
      <c r="A462" s="1" t="s">
        <v>905</v>
      </c>
      <c r="B462" s="2">
        <v>45207.40625</v>
      </c>
      <c r="C462" s="1" t="s">
        <v>803</v>
      </c>
      <c r="D462">
        <v>49</v>
      </c>
      <c r="E462" s="1" t="s">
        <v>738</v>
      </c>
    </row>
    <row r="463" spans="1:5" x14ac:dyDescent="0.35">
      <c r="A463" s="1" t="s">
        <v>826</v>
      </c>
      <c r="B463" s="2">
        <v>45216.14166666667</v>
      </c>
      <c r="C463" s="1" t="s">
        <v>833</v>
      </c>
      <c r="D463">
        <v>94</v>
      </c>
      <c r="E463" s="1" t="s">
        <v>735</v>
      </c>
    </row>
    <row r="464" spans="1:5" x14ac:dyDescent="0.35">
      <c r="A464" s="1" t="s">
        <v>981</v>
      </c>
      <c r="B464" s="2">
        <v>45218.990277777782</v>
      </c>
      <c r="C464" s="1" t="s">
        <v>984</v>
      </c>
      <c r="D464">
        <v>100</v>
      </c>
      <c r="E464" s="1" t="s">
        <v>735</v>
      </c>
    </row>
    <row r="465" spans="1:5" x14ac:dyDescent="0.35">
      <c r="A465" s="1" t="s">
        <v>1063</v>
      </c>
      <c r="B465" s="2">
        <v>45207.379861111112</v>
      </c>
      <c r="C465" s="1" t="s">
        <v>984</v>
      </c>
      <c r="D465">
        <v>118</v>
      </c>
      <c r="E465" s="1" t="s">
        <v>740</v>
      </c>
    </row>
    <row r="466" spans="1:5" x14ac:dyDescent="0.35">
      <c r="A466" s="1" t="s">
        <v>1351</v>
      </c>
      <c r="B466" s="2">
        <v>45214.145833333343</v>
      </c>
      <c r="C466" s="1" t="s">
        <v>984</v>
      </c>
      <c r="D466">
        <v>29</v>
      </c>
      <c r="E466" s="1" t="s">
        <v>740</v>
      </c>
    </row>
    <row r="467" spans="1:5" x14ac:dyDescent="0.35">
      <c r="A467" s="1" t="s">
        <v>826</v>
      </c>
      <c r="B467" s="2">
        <v>45203.997916666667</v>
      </c>
      <c r="C467" s="1" t="s">
        <v>842</v>
      </c>
      <c r="D467">
        <v>101</v>
      </c>
      <c r="E467" s="1" t="s">
        <v>740</v>
      </c>
    </row>
    <row r="468" spans="1:5" x14ac:dyDescent="0.35">
      <c r="A468" s="1" t="s">
        <v>1063</v>
      </c>
      <c r="B468" s="2">
        <v>45220.811805555553</v>
      </c>
      <c r="C468" s="1" t="s">
        <v>1065</v>
      </c>
      <c r="D468">
        <v>100</v>
      </c>
      <c r="E468" s="1" t="s">
        <v>740</v>
      </c>
    </row>
    <row r="469" spans="1:5" x14ac:dyDescent="0.35">
      <c r="A469" s="1" t="s">
        <v>864</v>
      </c>
      <c r="B469" s="2">
        <v>45222.367361111108</v>
      </c>
      <c r="C469" s="1" t="s">
        <v>885</v>
      </c>
      <c r="D469">
        <v>117</v>
      </c>
      <c r="E469" s="1" t="s">
        <v>738</v>
      </c>
    </row>
    <row r="470" spans="1:5" x14ac:dyDescent="0.35">
      <c r="A470" s="1" t="s">
        <v>826</v>
      </c>
      <c r="B470" s="2">
        <v>45221.997916666667</v>
      </c>
      <c r="C470" s="1" t="s">
        <v>848</v>
      </c>
      <c r="D470">
        <v>59</v>
      </c>
      <c r="E470" s="1" t="s">
        <v>735</v>
      </c>
    </row>
    <row r="471" spans="1:5" x14ac:dyDescent="0.35">
      <c r="A471" s="1" t="s">
        <v>1091</v>
      </c>
      <c r="B471" s="2">
        <v>45222.107638888891</v>
      </c>
      <c r="C471" s="1" t="s">
        <v>848</v>
      </c>
      <c r="D471">
        <v>85</v>
      </c>
      <c r="E471" s="1" t="s">
        <v>735</v>
      </c>
    </row>
    <row r="472" spans="1:5" x14ac:dyDescent="0.35">
      <c r="A472" s="1" t="s">
        <v>1225</v>
      </c>
      <c r="B472" s="2">
        <v>45219.753472222219</v>
      </c>
      <c r="C472" s="1" t="s">
        <v>848</v>
      </c>
      <c r="D472">
        <v>77</v>
      </c>
      <c r="E472" s="1" t="s">
        <v>735</v>
      </c>
    </row>
    <row r="473" spans="1:5" x14ac:dyDescent="0.35">
      <c r="A473" s="1" t="s">
        <v>733</v>
      </c>
      <c r="B473" s="2">
        <v>45203.032638888886</v>
      </c>
      <c r="C473" s="1" t="s">
        <v>734</v>
      </c>
      <c r="D473">
        <v>73</v>
      </c>
      <c r="E473" s="1" t="s">
        <v>735</v>
      </c>
    </row>
    <row r="474" spans="1:5" x14ac:dyDescent="0.35">
      <c r="A474" s="1" t="s">
        <v>981</v>
      </c>
      <c r="B474" s="2">
        <v>45228.791666666657</v>
      </c>
      <c r="C474" s="1" t="s">
        <v>734</v>
      </c>
      <c r="D474">
        <v>63</v>
      </c>
      <c r="E474" s="1" t="s">
        <v>735</v>
      </c>
    </row>
    <row r="475" spans="1:5" x14ac:dyDescent="0.35">
      <c r="A475" s="1" t="s">
        <v>1368</v>
      </c>
      <c r="B475" s="2">
        <v>45222.943749999999</v>
      </c>
      <c r="C475" s="1" t="s">
        <v>1385</v>
      </c>
      <c r="D475">
        <v>114</v>
      </c>
      <c r="E475" s="1" t="s">
        <v>735</v>
      </c>
    </row>
    <row r="476" spans="1:5" x14ac:dyDescent="0.35">
      <c r="A476" s="1" t="s">
        <v>1368</v>
      </c>
      <c r="B476" s="2">
        <v>45215.163888888892</v>
      </c>
      <c r="C476" s="1" t="s">
        <v>1382</v>
      </c>
      <c r="D476">
        <v>109</v>
      </c>
      <c r="E476" s="1" t="s">
        <v>738</v>
      </c>
    </row>
    <row r="477" spans="1:5" x14ac:dyDescent="0.35">
      <c r="A477" s="1" t="s">
        <v>1091</v>
      </c>
      <c r="B477" s="2">
        <v>45226.003472222219</v>
      </c>
      <c r="C477" s="1" t="s">
        <v>1117</v>
      </c>
      <c r="D477">
        <v>76</v>
      </c>
      <c r="E477" s="1" t="s">
        <v>735</v>
      </c>
    </row>
    <row r="478" spans="1:5" x14ac:dyDescent="0.35">
      <c r="A478" s="1" t="s">
        <v>1225</v>
      </c>
      <c r="B478" s="2">
        <v>45230.088194444441</v>
      </c>
      <c r="C478" s="1" t="s">
        <v>1117</v>
      </c>
      <c r="D478">
        <v>87</v>
      </c>
      <c r="E478" s="1" t="s">
        <v>740</v>
      </c>
    </row>
    <row r="479" spans="1:5" x14ac:dyDescent="0.35">
      <c r="A479" s="1" t="s">
        <v>1267</v>
      </c>
      <c r="B479" s="2">
        <v>45211.219444444447</v>
      </c>
      <c r="C479" s="1" t="s">
        <v>1281</v>
      </c>
      <c r="D479">
        <v>5</v>
      </c>
      <c r="E479" s="1" t="s">
        <v>735</v>
      </c>
    </row>
    <row r="480" spans="1:5" x14ac:dyDescent="0.35">
      <c r="A480" s="1" t="s">
        <v>1171</v>
      </c>
      <c r="B480" s="2">
        <v>45227.324305555558</v>
      </c>
      <c r="C480" s="1" t="s">
        <v>1192</v>
      </c>
      <c r="D480">
        <v>52</v>
      </c>
      <c r="E480" s="1" t="s">
        <v>735</v>
      </c>
    </row>
    <row r="481" spans="1:5" x14ac:dyDescent="0.35">
      <c r="A481" s="1" t="s">
        <v>1002</v>
      </c>
      <c r="B481" s="2">
        <v>45200.832638888889</v>
      </c>
      <c r="C481" s="1" t="s">
        <v>1010</v>
      </c>
      <c r="D481">
        <v>27</v>
      </c>
      <c r="E481" s="1" t="s">
        <v>735</v>
      </c>
    </row>
    <row r="482" spans="1:5" x14ac:dyDescent="0.35">
      <c r="A482" s="1" t="s">
        <v>1144</v>
      </c>
      <c r="B482" s="2">
        <v>45218.127083333333</v>
      </c>
      <c r="C482" s="1" t="s">
        <v>1010</v>
      </c>
      <c r="D482">
        <v>58</v>
      </c>
      <c r="E482" s="1" t="s">
        <v>738</v>
      </c>
    </row>
    <row r="483" spans="1:5" x14ac:dyDescent="0.35">
      <c r="A483" s="1" t="s">
        <v>1028</v>
      </c>
      <c r="B483" s="2">
        <v>45202.695138888892</v>
      </c>
      <c r="C483" s="1" t="s">
        <v>1038</v>
      </c>
      <c r="D483">
        <v>21</v>
      </c>
      <c r="E483" s="1" t="s">
        <v>735</v>
      </c>
    </row>
    <row r="484" spans="1:5" x14ac:dyDescent="0.35">
      <c r="A484" s="1" t="s">
        <v>1199</v>
      </c>
      <c r="B484" s="2">
        <v>45200.394444444442</v>
      </c>
      <c r="C484" s="1" t="s">
        <v>1038</v>
      </c>
      <c r="D484">
        <v>115</v>
      </c>
      <c r="E484" s="1" t="s">
        <v>738</v>
      </c>
    </row>
    <row r="485" spans="1:5" x14ac:dyDescent="0.35">
      <c r="A485" s="1" t="s">
        <v>1414</v>
      </c>
      <c r="B485" s="2">
        <v>45201.243055555547</v>
      </c>
      <c r="C485" s="1" t="s">
        <v>1038</v>
      </c>
      <c r="D485">
        <v>73</v>
      </c>
      <c r="E485" s="1" t="s">
        <v>738</v>
      </c>
    </row>
    <row r="486" spans="1:5" x14ac:dyDescent="0.35">
      <c r="A486" s="1" t="s">
        <v>905</v>
      </c>
      <c r="B486" s="2">
        <v>45227.768750000003</v>
      </c>
      <c r="C486" s="1" t="s">
        <v>918</v>
      </c>
      <c r="D486">
        <v>61</v>
      </c>
      <c r="E486" s="1" t="s">
        <v>738</v>
      </c>
    </row>
    <row r="487" spans="1:5" x14ac:dyDescent="0.35">
      <c r="A487" s="1" t="s">
        <v>1144</v>
      </c>
      <c r="B487" s="2">
        <v>45230.1875</v>
      </c>
      <c r="C487" s="1" t="s">
        <v>1153</v>
      </c>
      <c r="D487">
        <v>9</v>
      </c>
      <c r="E487" s="1" t="s">
        <v>740</v>
      </c>
    </row>
    <row r="488" spans="1:5" x14ac:dyDescent="0.35">
      <c r="A488" s="1" t="s">
        <v>1389</v>
      </c>
      <c r="B488" s="2">
        <v>45213.822222222218</v>
      </c>
      <c r="C488" s="1" t="s">
        <v>1399</v>
      </c>
      <c r="D488">
        <v>100</v>
      </c>
      <c r="E488" s="1" t="s">
        <v>738</v>
      </c>
    </row>
    <row r="489" spans="1:5" x14ac:dyDescent="0.35">
      <c r="A489" s="1" t="s">
        <v>1091</v>
      </c>
      <c r="B489" s="2">
        <v>45209.094444444447</v>
      </c>
      <c r="C489" s="1" t="s">
        <v>1111</v>
      </c>
      <c r="D489">
        <v>96</v>
      </c>
      <c r="E489" s="1" t="s">
        <v>735</v>
      </c>
    </row>
    <row r="490" spans="1:5" x14ac:dyDescent="0.35">
      <c r="A490" s="1" t="s">
        <v>1028</v>
      </c>
      <c r="B490" s="2">
        <v>45219.683333333327</v>
      </c>
      <c r="C490" s="1" t="s">
        <v>1032</v>
      </c>
      <c r="D490">
        <v>99</v>
      </c>
      <c r="E490" s="1" t="s">
        <v>738</v>
      </c>
    </row>
    <row r="491" spans="1:5" x14ac:dyDescent="0.35">
      <c r="A491" s="1" t="s">
        <v>1120</v>
      </c>
      <c r="B491" s="2">
        <v>45210.879861111112</v>
      </c>
      <c r="C491" s="1" t="s">
        <v>1128</v>
      </c>
      <c r="D491">
        <v>53</v>
      </c>
      <c r="E491" s="1" t="s">
        <v>735</v>
      </c>
    </row>
    <row r="492" spans="1:5" x14ac:dyDescent="0.35">
      <c r="A492" s="1" t="s">
        <v>864</v>
      </c>
      <c r="B492" s="2">
        <v>45218.056944444441</v>
      </c>
      <c r="C492" s="1" t="s">
        <v>898</v>
      </c>
      <c r="D492">
        <v>46</v>
      </c>
      <c r="E492" s="1" t="s">
        <v>740</v>
      </c>
    </row>
    <row r="493" spans="1:5" x14ac:dyDescent="0.35">
      <c r="A493" s="1" t="s">
        <v>1368</v>
      </c>
      <c r="B493" s="2">
        <v>45219.041666666657</v>
      </c>
      <c r="C493" s="1" t="s">
        <v>898</v>
      </c>
      <c r="D493">
        <v>100</v>
      </c>
      <c r="E493" s="1" t="s">
        <v>740</v>
      </c>
    </row>
    <row r="494" spans="1:5" x14ac:dyDescent="0.35">
      <c r="A494" s="1" t="s">
        <v>1351</v>
      </c>
      <c r="B494" s="2">
        <v>45216.393055555563</v>
      </c>
      <c r="C494" s="1" t="s">
        <v>1357</v>
      </c>
      <c r="D494">
        <v>34</v>
      </c>
      <c r="E494" s="1" t="s">
        <v>740</v>
      </c>
    </row>
    <row r="495" spans="1:5" x14ac:dyDescent="0.35">
      <c r="A495" s="1" t="s">
        <v>826</v>
      </c>
      <c r="B495" s="2">
        <v>45213.89166666667</v>
      </c>
      <c r="C495" s="1" t="s">
        <v>847</v>
      </c>
      <c r="D495">
        <v>104</v>
      </c>
      <c r="E495" s="1" t="s">
        <v>735</v>
      </c>
    </row>
    <row r="496" spans="1:5" x14ac:dyDescent="0.35">
      <c r="A496" s="1" t="s">
        <v>1314</v>
      </c>
      <c r="B496" s="2">
        <v>45200.427777777782</v>
      </c>
      <c r="C496" s="1" t="s">
        <v>847</v>
      </c>
      <c r="D496">
        <v>16</v>
      </c>
      <c r="E496" s="1" t="s">
        <v>738</v>
      </c>
    </row>
    <row r="497" spans="1:5" x14ac:dyDescent="0.35">
      <c r="A497" s="1" t="s">
        <v>864</v>
      </c>
      <c r="B497" s="2">
        <v>45206.027083333327</v>
      </c>
      <c r="C497" s="1" t="s">
        <v>881</v>
      </c>
      <c r="D497">
        <v>36</v>
      </c>
      <c r="E497" s="1" t="s">
        <v>740</v>
      </c>
    </row>
    <row r="498" spans="1:5" x14ac:dyDescent="0.35">
      <c r="A498" s="1" t="s">
        <v>1120</v>
      </c>
      <c r="B498" s="2">
        <v>45204.572222222218</v>
      </c>
      <c r="C498" s="1" t="s">
        <v>881</v>
      </c>
      <c r="D498">
        <v>88</v>
      </c>
      <c r="E498" s="1" t="s">
        <v>740</v>
      </c>
    </row>
    <row r="499" spans="1:5" x14ac:dyDescent="0.35">
      <c r="A499" s="1" t="s">
        <v>1314</v>
      </c>
      <c r="B499" s="2">
        <v>45202.747916666667</v>
      </c>
      <c r="C499" s="1" t="s">
        <v>881</v>
      </c>
      <c r="D499">
        <v>28</v>
      </c>
      <c r="E499" s="1" t="s">
        <v>738</v>
      </c>
    </row>
    <row r="500" spans="1:5" x14ac:dyDescent="0.35">
      <c r="A500" s="1" t="s">
        <v>1120</v>
      </c>
      <c r="B500" s="2">
        <v>45206.563888888893</v>
      </c>
      <c r="C500" s="1" t="s">
        <v>1134</v>
      </c>
      <c r="D500">
        <v>37</v>
      </c>
      <c r="E500" s="1" t="s">
        <v>735</v>
      </c>
    </row>
    <row r="501" spans="1:5" x14ac:dyDescent="0.35">
      <c r="A501" s="1" t="s">
        <v>1294</v>
      </c>
      <c r="B501" s="2">
        <v>45210.511805555558</v>
      </c>
      <c r="C501" s="1" t="s">
        <v>1313</v>
      </c>
      <c r="D501">
        <v>27</v>
      </c>
      <c r="E501" s="1" t="s">
        <v>738</v>
      </c>
    </row>
    <row r="502" spans="1:5" x14ac:dyDescent="0.35">
      <c r="A502" s="1" t="s">
        <v>1028</v>
      </c>
      <c r="B502" s="2">
        <v>45209.724999999999</v>
      </c>
      <c r="C502" s="1" t="s">
        <v>1052</v>
      </c>
      <c r="D502">
        <v>97</v>
      </c>
      <c r="E502" s="1" t="s">
        <v>740</v>
      </c>
    </row>
    <row r="503" spans="1:5" x14ac:dyDescent="0.35">
      <c r="A503" s="1" t="s">
        <v>942</v>
      </c>
      <c r="B503" s="2">
        <v>45230.484027777777</v>
      </c>
      <c r="C503" s="1" t="s">
        <v>978</v>
      </c>
      <c r="D503">
        <v>37</v>
      </c>
      <c r="E503" s="1" t="s">
        <v>738</v>
      </c>
    </row>
    <row r="504" spans="1:5" x14ac:dyDescent="0.35">
      <c r="A504" s="1" t="s">
        <v>1336</v>
      </c>
      <c r="B504" s="2">
        <v>45215.704861111109</v>
      </c>
      <c r="C504" s="1" t="s">
        <v>978</v>
      </c>
      <c r="D504">
        <v>107</v>
      </c>
      <c r="E504" s="1" t="s">
        <v>735</v>
      </c>
    </row>
    <row r="505" spans="1:5" x14ac:dyDescent="0.35">
      <c r="A505" s="1" t="s">
        <v>826</v>
      </c>
      <c r="B505" s="2">
        <v>45221.095833333333</v>
      </c>
      <c r="C505" s="1" t="s">
        <v>856</v>
      </c>
      <c r="D505">
        <v>113</v>
      </c>
      <c r="E505" s="1" t="s">
        <v>740</v>
      </c>
    </row>
    <row r="506" spans="1:5" x14ac:dyDescent="0.35">
      <c r="A506" s="1" t="s">
        <v>905</v>
      </c>
      <c r="B506" s="2">
        <v>45209.588194444441</v>
      </c>
      <c r="C506" s="1" t="s">
        <v>856</v>
      </c>
      <c r="D506">
        <v>41</v>
      </c>
      <c r="E506" s="1" t="s">
        <v>738</v>
      </c>
    </row>
    <row r="507" spans="1:5" x14ac:dyDescent="0.35">
      <c r="A507" s="1" t="s">
        <v>1414</v>
      </c>
      <c r="B507" s="2">
        <v>45216.137499999997</v>
      </c>
      <c r="C507" s="1" t="s">
        <v>1420</v>
      </c>
      <c r="D507">
        <v>120</v>
      </c>
      <c r="E507" s="1" t="s">
        <v>738</v>
      </c>
    </row>
    <row r="508" spans="1:5" x14ac:dyDescent="0.35">
      <c r="A508" s="1" t="s">
        <v>733</v>
      </c>
      <c r="B508" s="2">
        <v>45219.840277777781</v>
      </c>
      <c r="C508" s="1" t="s">
        <v>769</v>
      </c>
      <c r="D508">
        <v>92</v>
      </c>
      <c r="E508" s="1" t="s">
        <v>735</v>
      </c>
    </row>
    <row r="509" spans="1:5" x14ac:dyDescent="0.35">
      <c r="A509" s="1" t="s">
        <v>782</v>
      </c>
      <c r="B509" s="2">
        <v>45211.55972222222</v>
      </c>
      <c r="C509" s="1" t="s">
        <v>769</v>
      </c>
      <c r="D509">
        <v>69</v>
      </c>
      <c r="E509" s="1" t="s">
        <v>738</v>
      </c>
    </row>
    <row r="510" spans="1:5" x14ac:dyDescent="0.35">
      <c r="A510" s="1" t="s">
        <v>864</v>
      </c>
      <c r="B510" s="2">
        <v>45200.981944444437</v>
      </c>
      <c r="C510" s="1" t="s">
        <v>769</v>
      </c>
      <c r="D510">
        <v>98</v>
      </c>
      <c r="E510" s="1" t="s">
        <v>735</v>
      </c>
    </row>
    <row r="511" spans="1:5" x14ac:dyDescent="0.35">
      <c r="A511" s="1" t="s">
        <v>864</v>
      </c>
      <c r="B511" s="2">
        <v>45218.270138888889</v>
      </c>
      <c r="C511" s="1" t="s">
        <v>884</v>
      </c>
      <c r="D511">
        <v>40</v>
      </c>
      <c r="E511" s="1" t="s">
        <v>738</v>
      </c>
    </row>
    <row r="512" spans="1:5" x14ac:dyDescent="0.35">
      <c r="A512" s="1" t="s">
        <v>981</v>
      </c>
      <c r="B512" s="2">
        <v>45212.599305555559</v>
      </c>
      <c r="C512" s="1" t="s">
        <v>884</v>
      </c>
      <c r="D512">
        <v>58</v>
      </c>
      <c r="E512" s="1" t="s">
        <v>738</v>
      </c>
    </row>
    <row r="513" spans="1:5" x14ac:dyDescent="0.35">
      <c r="A513" s="1" t="s">
        <v>1294</v>
      </c>
      <c r="B513" s="2">
        <v>45217.627083333333</v>
      </c>
      <c r="C513" s="1" t="s">
        <v>884</v>
      </c>
      <c r="D513">
        <v>33</v>
      </c>
      <c r="E513" s="1" t="s">
        <v>735</v>
      </c>
    </row>
    <row r="514" spans="1:5" x14ac:dyDescent="0.35">
      <c r="A514" s="1" t="s">
        <v>1389</v>
      </c>
      <c r="B514" s="2">
        <v>45228.57708333333</v>
      </c>
      <c r="C514" s="1" t="s">
        <v>884</v>
      </c>
      <c r="D514">
        <v>80</v>
      </c>
      <c r="E514" s="1" t="s">
        <v>740</v>
      </c>
    </row>
    <row r="515" spans="1:5" x14ac:dyDescent="0.35">
      <c r="A515" s="1" t="s">
        <v>1267</v>
      </c>
      <c r="B515" s="2">
        <v>45219.793749999997</v>
      </c>
      <c r="C515" s="1" t="s">
        <v>1269</v>
      </c>
      <c r="D515">
        <v>43</v>
      </c>
      <c r="E515" s="1" t="s">
        <v>738</v>
      </c>
    </row>
    <row r="516" spans="1:5" x14ac:dyDescent="0.35">
      <c r="A516" s="1" t="s">
        <v>1294</v>
      </c>
      <c r="B516" s="2">
        <v>45214.168055555558</v>
      </c>
      <c r="C516" s="1" t="s">
        <v>1307</v>
      </c>
      <c r="D516">
        <v>106</v>
      </c>
      <c r="E516" s="1" t="s">
        <v>735</v>
      </c>
    </row>
    <row r="517" spans="1:5" x14ac:dyDescent="0.35">
      <c r="A517" s="1" t="s">
        <v>1247</v>
      </c>
      <c r="B517" s="2">
        <v>45201.527777777781</v>
      </c>
      <c r="C517" s="1" t="s">
        <v>1259</v>
      </c>
      <c r="D517">
        <v>20</v>
      </c>
      <c r="E517" s="1" t="s">
        <v>738</v>
      </c>
    </row>
    <row r="518" spans="1:5" x14ac:dyDescent="0.35">
      <c r="A518" s="1" t="s">
        <v>1225</v>
      </c>
      <c r="B518" s="2">
        <v>45203.615277777782</v>
      </c>
      <c r="C518" s="1" t="s">
        <v>1231</v>
      </c>
      <c r="D518">
        <v>41</v>
      </c>
      <c r="E518" s="1" t="s">
        <v>735</v>
      </c>
    </row>
    <row r="519" spans="1:5" x14ac:dyDescent="0.35">
      <c r="A519" s="1" t="s">
        <v>1091</v>
      </c>
      <c r="B519" s="2">
        <v>45202.695138888892</v>
      </c>
      <c r="C519" s="1" t="s">
        <v>1113</v>
      </c>
      <c r="D519">
        <v>49</v>
      </c>
      <c r="E519" s="1" t="s">
        <v>738</v>
      </c>
    </row>
    <row r="520" spans="1:5" x14ac:dyDescent="0.35">
      <c r="A520" s="1" t="s">
        <v>905</v>
      </c>
      <c r="B520" s="2">
        <v>45214.943055555559</v>
      </c>
      <c r="C520" s="1" t="s">
        <v>926</v>
      </c>
      <c r="D520">
        <v>16</v>
      </c>
      <c r="E520" s="1" t="s">
        <v>735</v>
      </c>
    </row>
    <row r="521" spans="1:5" x14ac:dyDescent="0.35">
      <c r="A521" s="1" t="s">
        <v>1091</v>
      </c>
      <c r="B521" s="2">
        <v>45210.926388888889</v>
      </c>
      <c r="C521" s="1" t="s">
        <v>926</v>
      </c>
      <c r="D521">
        <v>45</v>
      </c>
      <c r="E521" s="1" t="s">
        <v>738</v>
      </c>
    </row>
    <row r="522" spans="1:5" x14ac:dyDescent="0.35">
      <c r="A522" s="1" t="s">
        <v>1091</v>
      </c>
      <c r="B522" s="2">
        <v>45206.857638888891</v>
      </c>
      <c r="C522" s="1" t="s">
        <v>926</v>
      </c>
      <c r="D522">
        <v>45</v>
      </c>
      <c r="E522" s="1" t="s">
        <v>740</v>
      </c>
    </row>
    <row r="523" spans="1:5" x14ac:dyDescent="0.35">
      <c r="A523" s="1" t="s">
        <v>1199</v>
      </c>
      <c r="B523" s="2">
        <v>45204.090277777781</v>
      </c>
      <c r="C523" s="1" t="s">
        <v>1222</v>
      </c>
      <c r="D523">
        <v>93</v>
      </c>
      <c r="E523" s="1" t="s">
        <v>740</v>
      </c>
    </row>
    <row r="524" spans="1:5" x14ac:dyDescent="0.35">
      <c r="A524" s="1" t="s">
        <v>1247</v>
      </c>
      <c r="B524" s="2">
        <v>45203.009027777778</v>
      </c>
      <c r="C524" s="1" t="s">
        <v>1222</v>
      </c>
      <c r="D524">
        <v>49</v>
      </c>
      <c r="E524" s="1" t="s">
        <v>735</v>
      </c>
    </row>
    <row r="525" spans="1:5" x14ac:dyDescent="0.35">
      <c r="A525" s="1" t="s">
        <v>733</v>
      </c>
      <c r="B525" s="2">
        <v>45217.28125</v>
      </c>
      <c r="C525" s="1" t="s">
        <v>745</v>
      </c>
      <c r="D525">
        <v>51</v>
      </c>
      <c r="E525" s="1" t="s">
        <v>738</v>
      </c>
    </row>
    <row r="526" spans="1:5" x14ac:dyDescent="0.35">
      <c r="A526" s="1" t="s">
        <v>942</v>
      </c>
      <c r="B526" s="2">
        <v>45227.527083333327</v>
      </c>
      <c r="C526" s="1" t="s">
        <v>972</v>
      </c>
      <c r="D526">
        <v>107</v>
      </c>
      <c r="E526" s="1" t="s">
        <v>738</v>
      </c>
    </row>
    <row r="527" spans="1:5" x14ac:dyDescent="0.35">
      <c r="A527" s="1" t="s">
        <v>1028</v>
      </c>
      <c r="B527" s="2">
        <v>45229.39166666667</v>
      </c>
      <c r="C527" s="1" t="s">
        <v>1042</v>
      </c>
      <c r="D527">
        <v>28</v>
      </c>
      <c r="E527" s="1" t="s">
        <v>740</v>
      </c>
    </row>
    <row r="528" spans="1:5" x14ac:dyDescent="0.35">
      <c r="A528" s="1" t="s">
        <v>1171</v>
      </c>
      <c r="B528" s="2">
        <v>45216.183333333327</v>
      </c>
      <c r="C528" s="1" t="s">
        <v>1042</v>
      </c>
      <c r="D528">
        <v>67</v>
      </c>
      <c r="E528" s="1" t="s">
        <v>738</v>
      </c>
    </row>
    <row r="529" spans="1:5" x14ac:dyDescent="0.35">
      <c r="A529" s="1" t="s">
        <v>1314</v>
      </c>
      <c r="B529" s="2">
        <v>45217.999305555553</v>
      </c>
      <c r="C529" s="1" t="s">
        <v>1042</v>
      </c>
      <c r="D529">
        <v>38</v>
      </c>
      <c r="E529" s="1" t="s">
        <v>738</v>
      </c>
    </row>
    <row r="530" spans="1:5" x14ac:dyDescent="0.35">
      <c r="A530" s="1" t="s">
        <v>826</v>
      </c>
      <c r="B530" s="2">
        <v>45223.990972222222</v>
      </c>
      <c r="C530" s="1" t="s">
        <v>837</v>
      </c>
      <c r="D530">
        <v>23</v>
      </c>
      <c r="E530" s="1" t="s">
        <v>735</v>
      </c>
    </row>
    <row r="531" spans="1:5" x14ac:dyDescent="0.35">
      <c r="A531" s="1" t="s">
        <v>782</v>
      </c>
      <c r="B531" s="2">
        <v>45203.893750000003</v>
      </c>
      <c r="C531" s="1" t="s">
        <v>786</v>
      </c>
      <c r="D531">
        <v>32</v>
      </c>
      <c r="E531" s="1" t="s">
        <v>735</v>
      </c>
    </row>
    <row r="532" spans="1:5" x14ac:dyDescent="0.35">
      <c r="A532" s="1" t="s">
        <v>981</v>
      </c>
      <c r="B532" s="2">
        <v>45208.172222222223</v>
      </c>
      <c r="C532" s="1" t="s">
        <v>786</v>
      </c>
      <c r="D532">
        <v>87</v>
      </c>
      <c r="E532" s="1" t="s">
        <v>735</v>
      </c>
    </row>
    <row r="533" spans="1:5" x14ac:dyDescent="0.35">
      <c r="A533" s="1" t="s">
        <v>1267</v>
      </c>
      <c r="B533" s="2">
        <v>45201.640972222223</v>
      </c>
      <c r="C533" s="1" t="s">
        <v>786</v>
      </c>
      <c r="D533">
        <v>86</v>
      </c>
      <c r="E533" s="1" t="s">
        <v>740</v>
      </c>
    </row>
    <row r="534" spans="1:5" x14ac:dyDescent="0.35">
      <c r="A534" s="1" t="s">
        <v>733</v>
      </c>
      <c r="B534" s="2">
        <v>45218.368750000001</v>
      </c>
      <c r="C534" s="1" t="s">
        <v>748</v>
      </c>
      <c r="D534">
        <v>70</v>
      </c>
      <c r="E534" s="1" t="s">
        <v>735</v>
      </c>
    </row>
    <row r="535" spans="1:5" x14ac:dyDescent="0.35">
      <c r="A535" s="1" t="s">
        <v>733</v>
      </c>
      <c r="B535" s="2">
        <v>45208.073611111111</v>
      </c>
      <c r="C535" s="1" t="s">
        <v>748</v>
      </c>
      <c r="D535">
        <v>85</v>
      </c>
      <c r="E535" s="1" t="s">
        <v>738</v>
      </c>
    </row>
    <row r="536" spans="1:5" x14ac:dyDescent="0.35">
      <c r="A536" s="1" t="s">
        <v>1368</v>
      </c>
      <c r="B536" s="2">
        <v>45214.23541666667</v>
      </c>
      <c r="C536" s="1" t="s">
        <v>1378</v>
      </c>
      <c r="D536">
        <v>33</v>
      </c>
      <c r="E536" s="1" t="s">
        <v>735</v>
      </c>
    </row>
    <row r="537" spans="1:5" x14ac:dyDescent="0.35">
      <c r="A537" s="1" t="s">
        <v>1247</v>
      </c>
      <c r="B537" s="2">
        <v>45218.659722222219</v>
      </c>
      <c r="C537" s="1" t="s">
        <v>1254</v>
      </c>
      <c r="D537">
        <v>24</v>
      </c>
      <c r="E537" s="1" t="s">
        <v>735</v>
      </c>
    </row>
    <row r="538" spans="1:5" x14ac:dyDescent="0.35">
      <c r="A538" s="1" t="s">
        <v>1002</v>
      </c>
      <c r="B538" s="2">
        <v>45207.526388888888</v>
      </c>
      <c r="C538" s="1" t="s">
        <v>1027</v>
      </c>
      <c r="D538">
        <v>78</v>
      </c>
      <c r="E538" s="1" t="s">
        <v>740</v>
      </c>
    </row>
    <row r="539" spans="1:5" x14ac:dyDescent="0.35">
      <c r="A539" s="1" t="s">
        <v>1225</v>
      </c>
      <c r="B539" s="2">
        <v>45202.376388888893</v>
      </c>
      <c r="C539" s="1" t="s">
        <v>1232</v>
      </c>
      <c r="D539">
        <v>28</v>
      </c>
      <c r="E539" s="1" t="s">
        <v>735</v>
      </c>
    </row>
    <row r="540" spans="1:5" x14ac:dyDescent="0.35">
      <c r="A540" s="1" t="s">
        <v>1336</v>
      </c>
      <c r="B540" s="2">
        <v>45212.447222222218</v>
      </c>
      <c r="C540" s="1" t="s">
        <v>1232</v>
      </c>
      <c r="D540">
        <v>88</v>
      </c>
      <c r="E540" s="1" t="s">
        <v>738</v>
      </c>
    </row>
    <row r="541" spans="1:5" x14ac:dyDescent="0.35">
      <c r="A541" s="1" t="s">
        <v>1351</v>
      </c>
      <c r="B541" s="2">
        <v>45203.522222222222</v>
      </c>
      <c r="C541" s="1" t="s">
        <v>1232</v>
      </c>
      <c r="D541">
        <v>11</v>
      </c>
      <c r="E541" s="1" t="s">
        <v>738</v>
      </c>
    </row>
    <row r="542" spans="1:5" x14ac:dyDescent="0.35">
      <c r="A542" s="1" t="s">
        <v>1063</v>
      </c>
      <c r="B542" s="2">
        <v>45220.15902777778</v>
      </c>
      <c r="C542" s="1" t="s">
        <v>1078</v>
      </c>
      <c r="D542">
        <v>60</v>
      </c>
      <c r="E542" s="1" t="s">
        <v>740</v>
      </c>
    </row>
    <row r="543" spans="1:5" x14ac:dyDescent="0.35">
      <c r="A543" s="1" t="s">
        <v>905</v>
      </c>
      <c r="B543" s="2">
        <v>45218.378472222219</v>
      </c>
      <c r="C543" s="1" t="s">
        <v>912</v>
      </c>
      <c r="D543">
        <v>102</v>
      </c>
      <c r="E543" s="1" t="s">
        <v>735</v>
      </c>
    </row>
    <row r="544" spans="1:5" x14ac:dyDescent="0.35">
      <c r="A544" s="1" t="s">
        <v>1389</v>
      </c>
      <c r="B544" s="2">
        <v>45221.772222222222</v>
      </c>
      <c r="C544" s="1" t="s">
        <v>912</v>
      </c>
      <c r="D544">
        <v>107</v>
      </c>
      <c r="E544" s="1" t="s">
        <v>735</v>
      </c>
    </row>
    <row r="545" spans="1:5" x14ac:dyDescent="0.35">
      <c r="A545" s="1" t="s">
        <v>1091</v>
      </c>
      <c r="B545" s="2">
        <v>45211.706250000003</v>
      </c>
      <c r="C545" s="1" t="s">
        <v>1110</v>
      </c>
      <c r="D545">
        <v>115</v>
      </c>
      <c r="E545" s="1" t="s">
        <v>740</v>
      </c>
    </row>
    <row r="546" spans="1:5" x14ac:dyDescent="0.35">
      <c r="A546" s="1" t="s">
        <v>1028</v>
      </c>
      <c r="B546" s="2">
        <v>45230.26458333333</v>
      </c>
      <c r="C546" s="1" t="s">
        <v>1058</v>
      </c>
      <c r="D546">
        <v>62</v>
      </c>
      <c r="E546" s="1" t="s">
        <v>735</v>
      </c>
    </row>
    <row r="547" spans="1:5" x14ac:dyDescent="0.35">
      <c r="A547" s="1" t="s">
        <v>864</v>
      </c>
      <c r="B547" s="2">
        <v>45204.59097222222</v>
      </c>
      <c r="C547" s="1" t="s">
        <v>872</v>
      </c>
      <c r="D547">
        <v>108</v>
      </c>
      <c r="E547" s="1" t="s">
        <v>738</v>
      </c>
    </row>
    <row r="548" spans="1:5" x14ac:dyDescent="0.35">
      <c r="A548" s="1" t="s">
        <v>1314</v>
      </c>
      <c r="B548" s="2">
        <v>45207.127083333333</v>
      </c>
      <c r="C548" s="1" t="s">
        <v>872</v>
      </c>
      <c r="D548">
        <v>38</v>
      </c>
      <c r="E548" s="1" t="s">
        <v>735</v>
      </c>
    </row>
    <row r="549" spans="1:5" x14ac:dyDescent="0.35">
      <c r="A549" s="1" t="s">
        <v>1336</v>
      </c>
      <c r="B549" s="2">
        <v>45217.473611111112</v>
      </c>
      <c r="C549" s="1" t="s">
        <v>872</v>
      </c>
      <c r="D549">
        <v>37</v>
      </c>
      <c r="E549" s="1" t="s">
        <v>740</v>
      </c>
    </row>
    <row r="550" spans="1:5" x14ac:dyDescent="0.35">
      <c r="A550" s="1" t="s">
        <v>905</v>
      </c>
      <c r="B550" s="2">
        <v>45206.362500000003</v>
      </c>
      <c r="C550" s="1" t="s">
        <v>922</v>
      </c>
      <c r="D550">
        <v>60</v>
      </c>
      <c r="E550" s="1" t="s">
        <v>740</v>
      </c>
    </row>
    <row r="551" spans="1:5" x14ac:dyDescent="0.35">
      <c r="A551" s="1" t="s">
        <v>1247</v>
      </c>
      <c r="B551" s="2">
        <v>45210.38958333333</v>
      </c>
      <c r="C551" s="1" t="s">
        <v>922</v>
      </c>
      <c r="D551">
        <v>85</v>
      </c>
      <c r="E551" s="1" t="s">
        <v>735</v>
      </c>
    </row>
    <row r="552" spans="1:5" x14ac:dyDescent="0.35">
      <c r="A552" s="1" t="s">
        <v>1267</v>
      </c>
      <c r="B552" s="2">
        <v>45216.094444444447</v>
      </c>
      <c r="C552" s="1" t="s">
        <v>1276</v>
      </c>
      <c r="D552">
        <v>74</v>
      </c>
      <c r="E552" s="1" t="s">
        <v>735</v>
      </c>
    </row>
    <row r="553" spans="1:5" x14ac:dyDescent="0.35">
      <c r="A553" s="1" t="s">
        <v>1351</v>
      </c>
      <c r="B553" s="2">
        <v>45213.518750000003</v>
      </c>
      <c r="C553" s="1" t="s">
        <v>1276</v>
      </c>
      <c r="D553">
        <v>88</v>
      </c>
      <c r="E553" s="1" t="s">
        <v>738</v>
      </c>
    </row>
    <row r="554" spans="1:5" x14ac:dyDescent="0.35">
      <c r="A554" s="1" t="s">
        <v>826</v>
      </c>
      <c r="B554" s="2">
        <v>45225.965277777781</v>
      </c>
      <c r="C554" s="1" t="s">
        <v>855</v>
      </c>
      <c r="D554">
        <v>36</v>
      </c>
      <c r="E554" s="1" t="s">
        <v>735</v>
      </c>
    </row>
    <row r="555" spans="1:5" x14ac:dyDescent="0.35">
      <c r="A555" s="1" t="s">
        <v>1389</v>
      </c>
      <c r="B555" s="2">
        <v>45220.724999999999</v>
      </c>
      <c r="C555" s="1" t="s">
        <v>855</v>
      </c>
      <c r="D555">
        <v>28</v>
      </c>
      <c r="E555" s="1" t="s">
        <v>740</v>
      </c>
    </row>
    <row r="556" spans="1:5" x14ac:dyDescent="0.35">
      <c r="A556" s="1" t="s">
        <v>1314</v>
      </c>
      <c r="B556" s="2">
        <v>45228.515277777777</v>
      </c>
      <c r="C556" s="1" t="s">
        <v>1324</v>
      </c>
      <c r="D556">
        <v>105</v>
      </c>
      <c r="E556" s="1" t="s">
        <v>735</v>
      </c>
    </row>
    <row r="557" spans="1:5" x14ac:dyDescent="0.35">
      <c r="A557" s="1" t="s">
        <v>1002</v>
      </c>
      <c r="B557" s="2">
        <v>45230.776388888888</v>
      </c>
      <c r="C557" s="1" t="s">
        <v>1019</v>
      </c>
      <c r="D557">
        <v>55</v>
      </c>
      <c r="E557" s="1" t="s">
        <v>738</v>
      </c>
    </row>
    <row r="558" spans="1:5" x14ac:dyDescent="0.35">
      <c r="A558" s="1" t="s">
        <v>1171</v>
      </c>
      <c r="B558" s="2">
        <v>45229.429861111108</v>
      </c>
      <c r="C558" s="1" t="s">
        <v>1019</v>
      </c>
      <c r="D558">
        <v>90</v>
      </c>
      <c r="E558" s="1" t="s">
        <v>735</v>
      </c>
    </row>
    <row r="559" spans="1:5" x14ac:dyDescent="0.35">
      <c r="A559" s="1" t="s">
        <v>1389</v>
      </c>
      <c r="B559" s="2">
        <v>45224.709722222222</v>
      </c>
      <c r="C559" s="1" t="s">
        <v>1409</v>
      </c>
      <c r="D559">
        <v>62</v>
      </c>
      <c r="E559" s="1" t="s">
        <v>738</v>
      </c>
    </row>
    <row r="560" spans="1:5" x14ac:dyDescent="0.35">
      <c r="A560" s="1" t="s">
        <v>1171</v>
      </c>
      <c r="B560" s="2">
        <v>45219.925694444442</v>
      </c>
      <c r="C560" s="1" t="s">
        <v>1187</v>
      </c>
      <c r="D560">
        <v>22</v>
      </c>
      <c r="E560" s="1" t="s">
        <v>735</v>
      </c>
    </row>
    <row r="561" spans="1:5" x14ac:dyDescent="0.35">
      <c r="A561" s="1" t="s">
        <v>1294</v>
      </c>
      <c r="B561" s="2">
        <v>45229.772222222222</v>
      </c>
      <c r="C561" s="1" t="s">
        <v>1187</v>
      </c>
      <c r="D561">
        <v>27</v>
      </c>
      <c r="E561" s="1" t="s">
        <v>735</v>
      </c>
    </row>
    <row r="562" spans="1:5" x14ac:dyDescent="0.35">
      <c r="A562" s="1" t="s">
        <v>1028</v>
      </c>
      <c r="B562" s="2">
        <v>45213.446527777778</v>
      </c>
      <c r="C562" s="1" t="s">
        <v>1043</v>
      </c>
      <c r="D562">
        <v>111</v>
      </c>
      <c r="E562" s="1" t="s">
        <v>735</v>
      </c>
    </row>
    <row r="563" spans="1:5" x14ac:dyDescent="0.35">
      <c r="A563" s="1" t="s">
        <v>1247</v>
      </c>
      <c r="B563" s="2">
        <v>45200.931250000001</v>
      </c>
      <c r="C563" s="1" t="s">
        <v>1043</v>
      </c>
      <c r="D563">
        <v>22</v>
      </c>
      <c r="E563" s="1" t="s">
        <v>735</v>
      </c>
    </row>
    <row r="564" spans="1:5" x14ac:dyDescent="0.35">
      <c r="A564" s="1" t="s">
        <v>1144</v>
      </c>
      <c r="B564" s="2">
        <v>45218.011111111111</v>
      </c>
      <c r="C564" s="1" t="s">
        <v>1150</v>
      </c>
      <c r="D564">
        <v>59</v>
      </c>
      <c r="E564" s="1" t="s">
        <v>735</v>
      </c>
    </row>
    <row r="565" spans="1:5" x14ac:dyDescent="0.35">
      <c r="A565" s="1" t="s">
        <v>1171</v>
      </c>
      <c r="B565" s="2">
        <v>45205.729166666657</v>
      </c>
      <c r="C565" s="1" t="s">
        <v>1175</v>
      </c>
      <c r="D565">
        <v>106</v>
      </c>
      <c r="E565" s="1" t="s">
        <v>740</v>
      </c>
    </row>
    <row r="566" spans="1:5" x14ac:dyDescent="0.35">
      <c r="A566" s="1" t="s">
        <v>1267</v>
      </c>
      <c r="B566" s="2">
        <v>45223.293749999997</v>
      </c>
      <c r="C566" s="1" t="s">
        <v>1175</v>
      </c>
      <c r="D566">
        <v>42</v>
      </c>
      <c r="E566" s="1" t="s">
        <v>740</v>
      </c>
    </row>
    <row r="567" spans="1:5" x14ac:dyDescent="0.35">
      <c r="A567" s="1" t="s">
        <v>733</v>
      </c>
      <c r="B567" s="2">
        <v>45214.870138888888</v>
      </c>
      <c r="C567" s="1" t="s">
        <v>764</v>
      </c>
      <c r="D567">
        <v>72</v>
      </c>
      <c r="E567" s="1" t="s">
        <v>735</v>
      </c>
    </row>
    <row r="568" spans="1:5" x14ac:dyDescent="0.35">
      <c r="A568" s="1" t="s">
        <v>864</v>
      </c>
      <c r="B568" s="2">
        <v>45211.105555555558</v>
      </c>
      <c r="C568" s="1" t="s">
        <v>764</v>
      </c>
      <c r="D568">
        <v>67</v>
      </c>
      <c r="E568" s="1" t="s">
        <v>735</v>
      </c>
    </row>
    <row r="569" spans="1:5" x14ac:dyDescent="0.35">
      <c r="A569" s="1" t="s">
        <v>942</v>
      </c>
      <c r="B569" s="2">
        <v>45205.11041666667</v>
      </c>
      <c r="C569" s="1" t="s">
        <v>764</v>
      </c>
      <c r="D569">
        <v>104</v>
      </c>
      <c r="E569" s="1" t="s">
        <v>735</v>
      </c>
    </row>
    <row r="570" spans="1:5" x14ac:dyDescent="0.35">
      <c r="A570" s="1" t="s">
        <v>981</v>
      </c>
      <c r="B570" s="2">
        <v>45227.306250000001</v>
      </c>
      <c r="C570" s="1" t="s">
        <v>764</v>
      </c>
      <c r="D570">
        <v>71</v>
      </c>
      <c r="E570" s="1" t="s">
        <v>738</v>
      </c>
    </row>
    <row r="571" spans="1:5" x14ac:dyDescent="0.35">
      <c r="A571" s="1" t="s">
        <v>1120</v>
      </c>
      <c r="B571" s="2">
        <v>45214.193055555559</v>
      </c>
      <c r="C571" s="1" t="s">
        <v>764</v>
      </c>
      <c r="D571">
        <v>76</v>
      </c>
      <c r="E571" s="1" t="s">
        <v>740</v>
      </c>
    </row>
    <row r="572" spans="1:5" x14ac:dyDescent="0.35">
      <c r="A572" s="1" t="s">
        <v>1144</v>
      </c>
      <c r="B572" s="2">
        <v>45221.283333333333</v>
      </c>
      <c r="C572" s="1" t="s">
        <v>1157</v>
      </c>
      <c r="D572">
        <v>22</v>
      </c>
      <c r="E572" s="1" t="s">
        <v>735</v>
      </c>
    </row>
    <row r="573" spans="1:5" x14ac:dyDescent="0.35">
      <c r="A573" s="1" t="s">
        <v>1171</v>
      </c>
      <c r="B573" s="2">
        <v>45215.056944444441</v>
      </c>
      <c r="C573" s="1" t="s">
        <v>1157</v>
      </c>
      <c r="D573">
        <v>99</v>
      </c>
      <c r="E573" s="1" t="s">
        <v>738</v>
      </c>
    </row>
    <row r="574" spans="1:5" x14ac:dyDescent="0.35">
      <c r="A574" s="1" t="s">
        <v>1120</v>
      </c>
      <c r="B574" s="2">
        <v>45209.925694444442</v>
      </c>
      <c r="C574" s="1" t="s">
        <v>1142</v>
      </c>
      <c r="D574">
        <v>35</v>
      </c>
      <c r="E574" s="1" t="s">
        <v>735</v>
      </c>
    </row>
    <row r="575" spans="1:5" x14ac:dyDescent="0.35">
      <c r="A575" s="1" t="s">
        <v>1171</v>
      </c>
      <c r="B575" s="2">
        <v>45225.623611111107</v>
      </c>
      <c r="C575" s="1" t="s">
        <v>1176</v>
      </c>
      <c r="D575">
        <v>22</v>
      </c>
      <c r="E575" s="1" t="s">
        <v>735</v>
      </c>
    </row>
    <row r="576" spans="1:5" x14ac:dyDescent="0.35">
      <c r="A576" s="1" t="s">
        <v>1314</v>
      </c>
      <c r="B576" s="2">
        <v>45227.77847222222</v>
      </c>
      <c r="C576" s="1" t="s">
        <v>1176</v>
      </c>
      <c r="D576">
        <v>67</v>
      </c>
      <c r="E576" s="1" t="s">
        <v>740</v>
      </c>
    </row>
    <row r="577" spans="1:5" x14ac:dyDescent="0.35">
      <c r="A577" s="1" t="s">
        <v>1144</v>
      </c>
      <c r="B577" s="2">
        <v>45224.347916666673</v>
      </c>
      <c r="C577" s="1" t="s">
        <v>1149</v>
      </c>
      <c r="D577">
        <v>14</v>
      </c>
      <c r="E577" s="1" t="s">
        <v>735</v>
      </c>
    </row>
    <row r="578" spans="1:5" x14ac:dyDescent="0.35">
      <c r="A578" s="1" t="s">
        <v>1225</v>
      </c>
      <c r="B578" s="2">
        <v>45221.780555555553</v>
      </c>
      <c r="C578" s="1" t="s">
        <v>1149</v>
      </c>
      <c r="D578">
        <v>67</v>
      </c>
      <c r="E578" s="1" t="s">
        <v>735</v>
      </c>
    </row>
    <row r="579" spans="1:5" x14ac:dyDescent="0.35">
      <c r="A579" s="1" t="s">
        <v>733</v>
      </c>
      <c r="B579" s="2">
        <v>45201.884722222225</v>
      </c>
      <c r="C579" s="1" t="s">
        <v>761</v>
      </c>
      <c r="D579">
        <v>54</v>
      </c>
      <c r="E579" s="1" t="s">
        <v>740</v>
      </c>
    </row>
    <row r="580" spans="1:5" x14ac:dyDescent="0.35">
      <c r="A580" s="1" t="s">
        <v>942</v>
      </c>
      <c r="B580" s="2">
        <v>45211.477083333331</v>
      </c>
      <c r="C580" s="1" t="s">
        <v>761</v>
      </c>
      <c r="D580">
        <v>111</v>
      </c>
      <c r="E580" s="1" t="s">
        <v>735</v>
      </c>
    </row>
    <row r="581" spans="1:5" x14ac:dyDescent="0.35">
      <c r="A581" s="1" t="s">
        <v>1314</v>
      </c>
      <c r="B581" s="2">
        <v>45205.87222222222</v>
      </c>
      <c r="C581" s="1" t="s">
        <v>1321</v>
      </c>
      <c r="D581">
        <v>17</v>
      </c>
      <c r="E581" s="1" t="s">
        <v>735</v>
      </c>
    </row>
    <row r="582" spans="1:5" x14ac:dyDescent="0.35">
      <c r="A582" s="1" t="s">
        <v>905</v>
      </c>
      <c r="B582" s="2">
        <v>45214.59652777778</v>
      </c>
      <c r="C582" s="1" t="s">
        <v>917</v>
      </c>
      <c r="D582">
        <v>88</v>
      </c>
      <c r="E582" s="1" t="s">
        <v>740</v>
      </c>
    </row>
    <row r="583" spans="1:5" x14ac:dyDescent="0.35">
      <c r="A583" s="1" t="s">
        <v>1225</v>
      </c>
      <c r="B583" s="2">
        <v>45205.236111111109</v>
      </c>
      <c r="C583" s="1" t="s">
        <v>917</v>
      </c>
      <c r="D583">
        <v>67</v>
      </c>
      <c r="E583" s="1" t="s">
        <v>738</v>
      </c>
    </row>
    <row r="584" spans="1:5" x14ac:dyDescent="0.35">
      <c r="A584" s="1" t="s">
        <v>1294</v>
      </c>
      <c r="B584" s="2">
        <v>45219.818749999999</v>
      </c>
      <c r="C584" s="1" t="s">
        <v>917</v>
      </c>
      <c r="D584">
        <v>99</v>
      </c>
      <c r="E584" s="1" t="s">
        <v>740</v>
      </c>
    </row>
    <row r="585" spans="1:5" x14ac:dyDescent="0.35">
      <c r="A585" s="1" t="s">
        <v>1225</v>
      </c>
      <c r="B585" s="2">
        <v>45205.440972222219</v>
      </c>
      <c r="C585" s="1" t="s">
        <v>1236</v>
      </c>
      <c r="D585">
        <v>115</v>
      </c>
      <c r="E585" s="1" t="s">
        <v>738</v>
      </c>
    </row>
    <row r="586" spans="1:5" x14ac:dyDescent="0.35">
      <c r="A586" s="1" t="s">
        <v>1144</v>
      </c>
      <c r="B586" s="2">
        <v>45222.748611111107</v>
      </c>
      <c r="C586" s="1" t="s">
        <v>1155</v>
      </c>
      <c r="D586">
        <v>28</v>
      </c>
      <c r="E586" s="1" t="s">
        <v>738</v>
      </c>
    </row>
    <row r="587" spans="1:5" x14ac:dyDescent="0.35">
      <c r="A587" s="1" t="s">
        <v>782</v>
      </c>
      <c r="B587" s="2">
        <v>45218.793055555558</v>
      </c>
      <c r="C587" s="1" t="s">
        <v>815</v>
      </c>
      <c r="D587">
        <v>100</v>
      </c>
      <c r="E587" s="1" t="s">
        <v>740</v>
      </c>
    </row>
    <row r="588" spans="1:5" x14ac:dyDescent="0.35">
      <c r="A588" s="1" t="s">
        <v>1199</v>
      </c>
      <c r="B588" s="2">
        <v>45218.89166666667</v>
      </c>
      <c r="C588" s="1" t="s">
        <v>815</v>
      </c>
      <c r="D588">
        <v>107</v>
      </c>
      <c r="E588" s="1" t="s">
        <v>738</v>
      </c>
    </row>
    <row r="589" spans="1:5" x14ac:dyDescent="0.35">
      <c r="A589" s="1" t="s">
        <v>1225</v>
      </c>
      <c r="B589" s="2">
        <v>45222.10833333333</v>
      </c>
      <c r="C589" s="1" t="s">
        <v>1239</v>
      </c>
      <c r="D589">
        <v>88</v>
      </c>
      <c r="E589" s="1" t="s">
        <v>740</v>
      </c>
    </row>
    <row r="590" spans="1:5" x14ac:dyDescent="0.35">
      <c r="A590" s="1" t="s">
        <v>1351</v>
      </c>
      <c r="B590" s="2">
        <v>45215.272222222222</v>
      </c>
      <c r="C590" s="1" t="s">
        <v>1356</v>
      </c>
      <c r="D590">
        <v>56</v>
      </c>
      <c r="E590" s="1" t="s">
        <v>740</v>
      </c>
    </row>
    <row r="591" spans="1:5" x14ac:dyDescent="0.35">
      <c r="A591" s="1" t="s">
        <v>826</v>
      </c>
      <c r="B591" s="2">
        <v>45210.912499999999</v>
      </c>
      <c r="C591" s="1" t="s">
        <v>841</v>
      </c>
      <c r="D591">
        <v>119</v>
      </c>
      <c r="E591" s="1" t="s">
        <v>740</v>
      </c>
    </row>
    <row r="592" spans="1:5" x14ac:dyDescent="0.35">
      <c r="A592" s="1" t="s">
        <v>981</v>
      </c>
      <c r="B592" s="2">
        <v>45220.792361111111</v>
      </c>
      <c r="C592" s="1" t="s">
        <v>841</v>
      </c>
      <c r="D592">
        <v>10</v>
      </c>
      <c r="E592" s="1" t="s">
        <v>740</v>
      </c>
    </row>
    <row r="593" spans="1:5" x14ac:dyDescent="0.35">
      <c r="A593" s="1" t="s">
        <v>905</v>
      </c>
      <c r="B593" s="2">
        <v>45221.268750000003</v>
      </c>
      <c r="C593" s="1" t="s">
        <v>930</v>
      </c>
      <c r="D593">
        <v>18</v>
      </c>
      <c r="E593" s="1" t="s">
        <v>738</v>
      </c>
    </row>
    <row r="594" spans="1:5" x14ac:dyDescent="0.35">
      <c r="A594" s="1" t="s">
        <v>1225</v>
      </c>
      <c r="B594" s="2">
        <v>45222.597222222219</v>
      </c>
      <c r="C594" s="1" t="s">
        <v>930</v>
      </c>
      <c r="D594">
        <v>22</v>
      </c>
      <c r="E594" s="1" t="s">
        <v>738</v>
      </c>
    </row>
    <row r="595" spans="1:5" x14ac:dyDescent="0.35">
      <c r="A595" s="1" t="s">
        <v>1368</v>
      </c>
      <c r="B595" s="2">
        <v>45211.424305555563</v>
      </c>
      <c r="C595" s="1" t="s">
        <v>930</v>
      </c>
      <c r="D595">
        <v>116</v>
      </c>
      <c r="E595" s="1" t="s">
        <v>738</v>
      </c>
    </row>
    <row r="596" spans="1:5" x14ac:dyDescent="0.35">
      <c r="A596" s="1" t="s">
        <v>1414</v>
      </c>
      <c r="B596" s="2">
        <v>45201.086111111108</v>
      </c>
      <c r="C596" s="1" t="s">
        <v>930</v>
      </c>
      <c r="D596">
        <v>55</v>
      </c>
      <c r="E596" s="1" t="s">
        <v>735</v>
      </c>
    </row>
    <row r="597" spans="1:5" x14ac:dyDescent="0.35">
      <c r="A597" s="1" t="s">
        <v>1414</v>
      </c>
      <c r="B597" s="2">
        <v>45218.331944444442</v>
      </c>
      <c r="C597" s="1" t="s">
        <v>930</v>
      </c>
      <c r="D597">
        <v>15</v>
      </c>
      <c r="E597" s="1" t="s">
        <v>740</v>
      </c>
    </row>
    <row r="598" spans="1:5" x14ac:dyDescent="0.35">
      <c r="A598" s="1" t="s">
        <v>864</v>
      </c>
      <c r="B598" s="2">
        <v>45230.486111111109</v>
      </c>
      <c r="C598" s="1" t="s">
        <v>903</v>
      </c>
      <c r="D598">
        <v>38</v>
      </c>
      <c r="E598" s="1" t="s">
        <v>735</v>
      </c>
    </row>
    <row r="599" spans="1:5" x14ac:dyDescent="0.35">
      <c r="A599" s="1" t="s">
        <v>1120</v>
      </c>
      <c r="B599" s="2">
        <v>45207.960416666669</v>
      </c>
      <c r="C599" s="1" t="s">
        <v>903</v>
      </c>
      <c r="D599">
        <v>23</v>
      </c>
      <c r="E599" s="1" t="s">
        <v>740</v>
      </c>
    </row>
    <row r="600" spans="1:5" x14ac:dyDescent="0.35">
      <c r="A600" s="1" t="s">
        <v>1199</v>
      </c>
      <c r="B600" s="2">
        <v>45204.53125</v>
      </c>
      <c r="C600" s="1" t="s">
        <v>903</v>
      </c>
      <c r="D600">
        <v>47</v>
      </c>
      <c r="E600" s="1" t="s">
        <v>735</v>
      </c>
    </row>
    <row r="601" spans="1:5" x14ac:dyDescent="0.35">
      <c r="A601" s="1" t="s">
        <v>1389</v>
      </c>
      <c r="B601" s="2">
        <v>45201.877083333333</v>
      </c>
      <c r="C601" s="1" t="s">
        <v>903</v>
      </c>
      <c r="D601">
        <v>82</v>
      </c>
      <c r="E601" s="1" t="s">
        <v>740</v>
      </c>
    </row>
    <row r="602" spans="1:5" x14ac:dyDescent="0.35">
      <c r="A602" s="1" t="s">
        <v>782</v>
      </c>
      <c r="B602" s="2">
        <v>45222.631249999999</v>
      </c>
      <c r="C602" s="1" t="s">
        <v>804</v>
      </c>
      <c r="D602">
        <v>90</v>
      </c>
      <c r="E602" s="1" t="s">
        <v>735</v>
      </c>
    </row>
    <row r="603" spans="1:5" x14ac:dyDescent="0.35">
      <c r="A603" s="1" t="s">
        <v>1171</v>
      </c>
      <c r="B603" s="2">
        <v>45230.862500000003</v>
      </c>
      <c r="C603" s="1" t="s">
        <v>804</v>
      </c>
      <c r="D603">
        <v>67</v>
      </c>
      <c r="E603" s="1" t="s">
        <v>735</v>
      </c>
    </row>
    <row r="604" spans="1:5" x14ac:dyDescent="0.35">
      <c r="A604" s="1" t="s">
        <v>782</v>
      </c>
      <c r="B604" s="2">
        <v>45222.427083333343</v>
      </c>
      <c r="C604" s="1" t="s">
        <v>820</v>
      </c>
      <c r="D604">
        <v>82</v>
      </c>
      <c r="E604" s="1" t="s">
        <v>735</v>
      </c>
    </row>
    <row r="605" spans="1:5" x14ac:dyDescent="0.35">
      <c r="A605" s="1" t="s">
        <v>864</v>
      </c>
      <c r="B605" s="2">
        <v>45217.570833333331</v>
      </c>
      <c r="C605" s="1" t="s">
        <v>899</v>
      </c>
      <c r="D605">
        <v>28</v>
      </c>
      <c r="E605" s="1" t="s">
        <v>735</v>
      </c>
    </row>
    <row r="606" spans="1:5" x14ac:dyDescent="0.35">
      <c r="A606" s="1" t="s">
        <v>1314</v>
      </c>
      <c r="B606" s="2">
        <v>45211.368055555547</v>
      </c>
      <c r="C606" s="1" t="s">
        <v>899</v>
      </c>
      <c r="D606">
        <v>15</v>
      </c>
      <c r="E606" s="1" t="s">
        <v>738</v>
      </c>
    </row>
    <row r="607" spans="1:5" x14ac:dyDescent="0.35">
      <c r="A607" s="1" t="s">
        <v>1028</v>
      </c>
      <c r="B607" s="2">
        <v>45226.988194444442</v>
      </c>
      <c r="C607" s="1" t="s">
        <v>1055</v>
      </c>
      <c r="D607">
        <v>83</v>
      </c>
      <c r="E607" s="1" t="s">
        <v>738</v>
      </c>
    </row>
    <row r="608" spans="1:5" x14ac:dyDescent="0.35">
      <c r="A608" s="1" t="s">
        <v>864</v>
      </c>
      <c r="B608" s="2">
        <v>45201.468055555553</v>
      </c>
      <c r="C608" s="1" t="s">
        <v>879</v>
      </c>
      <c r="D608">
        <v>80</v>
      </c>
      <c r="E608" s="1" t="s">
        <v>735</v>
      </c>
    </row>
    <row r="609" spans="1:5" x14ac:dyDescent="0.35">
      <c r="A609" s="1" t="s">
        <v>864</v>
      </c>
      <c r="B609" s="2">
        <v>45218.875694444447</v>
      </c>
      <c r="C609" s="1" t="s">
        <v>870</v>
      </c>
      <c r="D609">
        <v>39</v>
      </c>
      <c r="E609" s="1" t="s">
        <v>735</v>
      </c>
    </row>
    <row r="610" spans="1:5" x14ac:dyDescent="0.35">
      <c r="A610" s="1" t="s">
        <v>1389</v>
      </c>
      <c r="B610" s="2">
        <v>45218.240277777782</v>
      </c>
      <c r="C610" s="1" t="s">
        <v>870</v>
      </c>
      <c r="D610">
        <v>53</v>
      </c>
      <c r="E610" s="1" t="s">
        <v>740</v>
      </c>
    </row>
    <row r="611" spans="1:5" x14ac:dyDescent="0.35">
      <c r="A611" s="1" t="s">
        <v>1368</v>
      </c>
      <c r="B611" s="2">
        <v>45208.961805555547</v>
      </c>
      <c r="C611" s="1" t="s">
        <v>1370</v>
      </c>
      <c r="D611">
        <v>68</v>
      </c>
      <c r="E611" s="1" t="s">
        <v>735</v>
      </c>
    </row>
    <row r="612" spans="1:5" x14ac:dyDescent="0.35">
      <c r="A612" s="1" t="s">
        <v>826</v>
      </c>
      <c r="B612" s="2">
        <v>45230.004861111112</v>
      </c>
      <c r="C612" s="1" t="s">
        <v>827</v>
      </c>
      <c r="D612">
        <v>58</v>
      </c>
      <c r="E612" s="1" t="s">
        <v>735</v>
      </c>
    </row>
    <row r="613" spans="1:5" x14ac:dyDescent="0.35">
      <c r="A613" s="1" t="s">
        <v>1368</v>
      </c>
      <c r="B613" s="2">
        <v>45223.3125</v>
      </c>
      <c r="C613" s="1" t="s">
        <v>1387</v>
      </c>
      <c r="D613">
        <v>62</v>
      </c>
      <c r="E613" s="1" t="s">
        <v>735</v>
      </c>
    </row>
    <row r="614" spans="1:5" x14ac:dyDescent="0.35">
      <c r="A614" s="1" t="s">
        <v>782</v>
      </c>
      <c r="B614" s="2">
        <v>45223.710416666669</v>
      </c>
      <c r="C614" s="1" t="s">
        <v>807</v>
      </c>
      <c r="D614">
        <v>43</v>
      </c>
      <c r="E614" s="1" t="s">
        <v>738</v>
      </c>
    </row>
    <row r="615" spans="1:5" x14ac:dyDescent="0.35">
      <c r="A615" s="1" t="s">
        <v>1336</v>
      </c>
      <c r="B615" s="2">
        <v>45222.879166666673</v>
      </c>
      <c r="C615" s="1" t="s">
        <v>807</v>
      </c>
      <c r="D615">
        <v>103</v>
      </c>
      <c r="E615" s="1" t="s">
        <v>740</v>
      </c>
    </row>
    <row r="616" spans="1:5" x14ac:dyDescent="0.35">
      <c r="A616" s="1" t="s">
        <v>1368</v>
      </c>
      <c r="B616" s="2">
        <v>45212.48541666667</v>
      </c>
      <c r="C616" s="1" t="s">
        <v>1379</v>
      </c>
      <c r="D616">
        <v>75</v>
      </c>
      <c r="E616" s="1" t="s">
        <v>735</v>
      </c>
    </row>
    <row r="617" spans="1:5" x14ac:dyDescent="0.35">
      <c r="A617" s="1" t="s">
        <v>1294</v>
      </c>
      <c r="B617" s="2">
        <v>45201.585416666669</v>
      </c>
      <c r="C617" s="1" t="s">
        <v>1302</v>
      </c>
      <c r="D617">
        <v>17</v>
      </c>
      <c r="E617" s="1" t="s">
        <v>740</v>
      </c>
    </row>
    <row r="618" spans="1:5" x14ac:dyDescent="0.35">
      <c r="A618" s="1" t="s">
        <v>1199</v>
      </c>
      <c r="B618" s="2">
        <v>45214.634722222218</v>
      </c>
      <c r="C618" s="1" t="s">
        <v>1206</v>
      </c>
      <c r="D618">
        <v>112</v>
      </c>
      <c r="E618" s="1" t="s">
        <v>738</v>
      </c>
    </row>
    <row r="619" spans="1:5" x14ac:dyDescent="0.35">
      <c r="A619" s="1" t="s">
        <v>1294</v>
      </c>
      <c r="B619" s="2">
        <v>45204.122916666667</v>
      </c>
      <c r="C619" s="1" t="s">
        <v>1206</v>
      </c>
      <c r="D619">
        <v>34</v>
      </c>
      <c r="E619" s="1" t="s">
        <v>735</v>
      </c>
    </row>
    <row r="620" spans="1:5" x14ac:dyDescent="0.35">
      <c r="A620" s="1" t="s">
        <v>1314</v>
      </c>
      <c r="B620" s="2">
        <v>45209.988888888889</v>
      </c>
      <c r="C620" s="1" t="s">
        <v>1206</v>
      </c>
      <c r="D620">
        <v>51</v>
      </c>
      <c r="E620" s="1" t="s">
        <v>738</v>
      </c>
    </row>
    <row r="621" spans="1:5" x14ac:dyDescent="0.35">
      <c r="A621" s="1" t="s">
        <v>1171</v>
      </c>
      <c r="B621" s="2">
        <v>45204.011111111111</v>
      </c>
      <c r="C621" s="1" t="s">
        <v>1193</v>
      </c>
      <c r="D621">
        <v>12</v>
      </c>
      <c r="E621" s="1" t="s">
        <v>738</v>
      </c>
    </row>
    <row r="622" spans="1:5" x14ac:dyDescent="0.35">
      <c r="A622" s="1" t="s">
        <v>1225</v>
      </c>
      <c r="B622" s="2">
        <v>45226.964583333327</v>
      </c>
      <c r="C622" s="1" t="s">
        <v>1229</v>
      </c>
      <c r="D622">
        <v>27</v>
      </c>
      <c r="E622" s="1" t="s">
        <v>738</v>
      </c>
    </row>
    <row r="623" spans="1:5" x14ac:dyDescent="0.35">
      <c r="A623" s="1" t="s">
        <v>733</v>
      </c>
      <c r="B623" s="2">
        <v>45204.338888888888</v>
      </c>
      <c r="C623" s="1" t="s">
        <v>780</v>
      </c>
      <c r="D623">
        <v>60</v>
      </c>
      <c r="E623" s="1" t="s">
        <v>735</v>
      </c>
    </row>
    <row r="624" spans="1:5" x14ac:dyDescent="0.35">
      <c r="A624" s="1" t="s">
        <v>1414</v>
      </c>
      <c r="B624" s="2">
        <v>45203.273611111108</v>
      </c>
      <c r="C624" s="1" t="s">
        <v>780</v>
      </c>
      <c r="D624">
        <v>23</v>
      </c>
      <c r="E624" s="1" t="s">
        <v>740</v>
      </c>
    </row>
    <row r="625" spans="1:5" x14ac:dyDescent="0.35">
      <c r="A625" s="1" t="s">
        <v>1267</v>
      </c>
      <c r="B625" s="2">
        <v>45208.10833333333</v>
      </c>
      <c r="C625" s="1" t="s">
        <v>1289</v>
      </c>
      <c r="D625">
        <v>102</v>
      </c>
      <c r="E625" s="1" t="s">
        <v>738</v>
      </c>
    </row>
    <row r="626" spans="1:5" x14ac:dyDescent="0.35">
      <c r="A626" s="1" t="s">
        <v>1294</v>
      </c>
      <c r="B626" s="2">
        <v>45220.618750000001</v>
      </c>
      <c r="C626" s="1" t="s">
        <v>1289</v>
      </c>
      <c r="D626">
        <v>79</v>
      </c>
      <c r="E626" s="1" t="s">
        <v>735</v>
      </c>
    </row>
    <row r="627" spans="1:5" x14ac:dyDescent="0.35">
      <c r="A627" s="1" t="s">
        <v>1028</v>
      </c>
      <c r="B627" s="2">
        <v>45230.061111111107</v>
      </c>
      <c r="C627" s="1" t="s">
        <v>1037</v>
      </c>
      <c r="D627">
        <v>103</v>
      </c>
      <c r="E627" s="1" t="s">
        <v>735</v>
      </c>
    </row>
    <row r="628" spans="1:5" x14ac:dyDescent="0.35">
      <c r="A628" s="1" t="s">
        <v>1314</v>
      </c>
      <c r="B628" s="2">
        <v>45223.719444444447</v>
      </c>
      <c r="C628" s="1" t="s">
        <v>1037</v>
      </c>
      <c r="D628">
        <v>61</v>
      </c>
      <c r="E628" s="1" t="s">
        <v>738</v>
      </c>
    </row>
    <row r="629" spans="1:5" x14ac:dyDescent="0.35">
      <c r="A629" s="1" t="s">
        <v>1314</v>
      </c>
      <c r="B629" s="2">
        <v>45226.631249999999</v>
      </c>
      <c r="C629" s="1" t="s">
        <v>1335</v>
      </c>
      <c r="D629">
        <v>112</v>
      </c>
      <c r="E629" s="1" t="s">
        <v>738</v>
      </c>
    </row>
    <row r="630" spans="1:5" x14ac:dyDescent="0.35">
      <c r="A630" s="1" t="s">
        <v>1225</v>
      </c>
      <c r="B630" s="2">
        <v>45200.445138888892</v>
      </c>
      <c r="C630" s="1" t="s">
        <v>1233</v>
      </c>
      <c r="D630">
        <v>112</v>
      </c>
      <c r="E630" s="1" t="s">
        <v>735</v>
      </c>
    </row>
    <row r="631" spans="1:5" x14ac:dyDescent="0.35">
      <c r="A631" s="1" t="s">
        <v>1314</v>
      </c>
      <c r="B631" s="2">
        <v>45230.12777777778</v>
      </c>
      <c r="C631" s="1" t="s">
        <v>1233</v>
      </c>
      <c r="D631">
        <v>87</v>
      </c>
      <c r="E631" s="1" t="s">
        <v>740</v>
      </c>
    </row>
    <row r="632" spans="1:5" x14ac:dyDescent="0.35">
      <c r="A632" s="1" t="s">
        <v>1389</v>
      </c>
      <c r="B632" s="2">
        <v>45200.506249999999</v>
      </c>
      <c r="C632" s="1" t="s">
        <v>1233</v>
      </c>
      <c r="D632">
        <v>99</v>
      </c>
      <c r="E632" s="1" t="s">
        <v>735</v>
      </c>
    </row>
    <row r="633" spans="1:5" x14ac:dyDescent="0.35">
      <c r="A633" s="1" t="s">
        <v>1120</v>
      </c>
      <c r="B633" s="2">
        <v>45217.384722222218</v>
      </c>
      <c r="C633" s="1" t="s">
        <v>1140</v>
      </c>
      <c r="D633">
        <v>99</v>
      </c>
      <c r="E633" s="1" t="s">
        <v>738</v>
      </c>
    </row>
    <row r="634" spans="1:5" x14ac:dyDescent="0.35">
      <c r="A634" s="1" t="s">
        <v>1091</v>
      </c>
      <c r="B634" s="2">
        <v>45228.736111111109</v>
      </c>
      <c r="C634" s="1" t="s">
        <v>1106</v>
      </c>
      <c r="D634">
        <v>66</v>
      </c>
      <c r="E634" s="1" t="s">
        <v>740</v>
      </c>
    </row>
    <row r="635" spans="1:5" x14ac:dyDescent="0.35">
      <c r="A635" s="1" t="s">
        <v>942</v>
      </c>
      <c r="B635" s="2">
        <v>45222.52847222222</v>
      </c>
      <c r="C635" s="1" t="s">
        <v>956</v>
      </c>
      <c r="D635">
        <v>111</v>
      </c>
      <c r="E635" s="1" t="s">
        <v>735</v>
      </c>
    </row>
    <row r="636" spans="1:5" x14ac:dyDescent="0.35">
      <c r="A636" s="1" t="s">
        <v>1267</v>
      </c>
      <c r="B636" s="2">
        <v>45216.001388888893</v>
      </c>
      <c r="C636" s="1" t="s">
        <v>1284</v>
      </c>
      <c r="D636">
        <v>74</v>
      </c>
      <c r="E636" s="1" t="s">
        <v>740</v>
      </c>
    </row>
    <row r="637" spans="1:5" x14ac:dyDescent="0.35">
      <c r="A637" s="1" t="s">
        <v>1414</v>
      </c>
      <c r="B637" s="2">
        <v>45202.499305555553</v>
      </c>
      <c r="C637" s="1" t="s">
        <v>1284</v>
      </c>
      <c r="D637">
        <v>57</v>
      </c>
      <c r="E637" s="1" t="s">
        <v>738</v>
      </c>
    </row>
    <row r="638" spans="1:5" x14ac:dyDescent="0.35">
      <c r="A638" s="1" t="s">
        <v>864</v>
      </c>
      <c r="B638" s="2">
        <v>45209.901388888888</v>
      </c>
      <c r="C638" s="1" t="s">
        <v>896</v>
      </c>
      <c r="D638">
        <v>68</v>
      </c>
      <c r="E638" s="1" t="s">
        <v>738</v>
      </c>
    </row>
    <row r="639" spans="1:5" x14ac:dyDescent="0.35">
      <c r="A639" s="1" t="s">
        <v>782</v>
      </c>
      <c r="B639" s="2">
        <v>45208.279166666667</v>
      </c>
      <c r="C639" s="1" t="s">
        <v>819</v>
      </c>
      <c r="D639">
        <v>41</v>
      </c>
      <c r="E639" s="1" t="s">
        <v>738</v>
      </c>
    </row>
    <row r="640" spans="1:5" x14ac:dyDescent="0.35">
      <c r="A640" s="1" t="s">
        <v>1091</v>
      </c>
      <c r="B640" s="2">
        <v>45219.834027777782</v>
      </c>
      <c r="C640" s="1" t="s">
        <v>1119</v>
      </c>
      <c r="D640">
        <v>64</v>
      </c>
      <c r="E640" s="1" t="s">
        <v>740</v>
      </c>
    </row>
    <row r="641" spans="1:5" x14ac:dyDescent="0.35">
      <c r="A641" s="1" t="s">
        <v>1336</v>
      </c>
      <c r="B641" s="2">
        <v>45208.506249999999</v>
      </c>
      <c r="C641" s="1" t="s">
        <v>1338</v>
      </c>
      <c r="D641">
        <v>91</v>
      </c>
      <c r="E641" s="1" t="s">
        <v>740</v>
      </c>
    </row>
    <row r="642" spans="1:5" x14ac:dyDescent="0.35">
      <c r="A642" s="1" t="s">
        <v>1389</v>
      </c>
      <c r="B642" s="2">
        <v>45228.518055555563</v>
      </c>
      <c r="C642" s="1" t="s">
        <v>1338</v>
      </c>
      <c r="D642">
        <v>92</v>
      </c>
      <c r="E642" s="1" t="s">
        <v>740</v>
      </c>
    </row>
    <row r="643" spans="1:5" x14ac:dyDescent="0.35">
      <c r="A643" s="1" t="s">
        <v>981</v>
      </c>
      <c r="B643" s="2">
        <v>45221.27847222222</v>
      </c>
      <c r="C643" s="1" t="s">
        <v>994</v>
      </c>
      <c r="D643">
        <v>83</v>
      </c>
      <c r="E643" s="1" t="s">
        <v>740</v>
      </c>
    </row>
    <row r="644" spans="1:5" x14ac:dyDescent="0.35">
      <c r="A644" s="1" t="s">
        <v>1002</v>
      </c>
      <c r="B644" s="2">
        <v>45205.47152777778</v>
      </c>
      <c r="C644" s="1" t="s">
        <v>1017</v>
      </c>
      <c r="D644">
        <v>50</v>
      </c>
      <c r="E644" s="1" t="s">
        <v>738</v>
      </c>
    </row>
    <row r="645" spans="1:5" x14ac:dyDescent="0.35">
      <c r="A645" s="1" t="s">
        <v>1314</v>
      </c>
      <c r="B645" s="2">
        <v>45200.342361111107</v>
      </c>
      <c r="C645" s="1" t="s">
        <v>1017</v>
      </c>
      <c r="D645">
        <v>86</v>
      </c>
      <c r="E645" s="1" t="s">
        <v>738</v>
      </c>
    </row>
    <row r="646" spans="1:5" x14ac:dyDescent="0.35">
      <c r="A646" s="1" t="s">
        <v>1294</v>
      </c>
      <c r="B646" s="2">
        <v>45224.297222222223</v>
      </c>
      <c r="C646" s="1" t="s">
        <v>1298</v>
      </c>
      <c r="D646">
        <v>12</v>
      </c>
      <c r="E646" s="1" t="s">
        <v>740</v>
      </c>
    </row>
    <row r="647" spans="1:5" x14ac:dyDescent="0.35">
      <c r="A647" s="1" t="s">
        <v>1199</v>
      </c>
      <c r="B647" s="2">
        <v>45213.238194444442</v>
      </c>
      <c r="C647" s="1" t="s">
        <v>1207</v>
      </c>
      <c r="D647">
        <v>53</v>
      </c>
      <c r="E647" s="1" t="s">
        <v>738</v>
      </c>
    </row>
    <row r="648" spans="1:5" x14ac:dyDescent="0.35">
      <c r="A648" s="1" t="s">
        <v>1267</v>
      </c>
      <c r="B648" s="2">
        <v>45229.972222222219</v>
      </c>
      <c r="C648" s="1" t="s">
        <v>1207</v>
      </c>
      <c r="D648">
        <v>5</v>
      </c>
      <c r="E648" s="1" t="s">
        <v>740</v>
      </c>
    </row>
    <row r="649" spans="1:5" x14ac:dyDescent="0.35">
      <c r="A649" s="1" t="s">
        <v>1294</v>
      </c>
      <c r="B649" s="2">
        <v>45226.209027777782</v>
      </c>
      <c r="C649" s="1" t="s">
        <v>1207</v>
      </c>
      <c r="D649">
        <v>81</v>
      </c>
      <c r="E649" s="1" t="s">
        <v>740</v>
      </c>
    </row>
    <row r="650" spans="1:5" x14ac:dyDescent="0.35">
      <c r="A650" s="1" t="s">
        <v>1247</v>
      </c>
      <c r="B650" s="2">
        <v>45218.314583333333</v>
      </c>
      <c r="C650" s="1" t="s">
        <v>1261</v>
      </c>
      <c r="D650">
        <v>45</v>
      </c>
      <c r="E650" s="1" t="s">
        <v>735</v>
      </c>
    </row>
    <row r="651" spans="1:5" x14ac:dyDescent="0.35">
      <c r="A651" s="1" t="s">
        <v>1336</v>
      </c>
      <c r="B651" s="2">
        <v>45209.977777777778</v>
      </c>
      <c r="C651" s="1" t="s">
        <v>1261</v>
      </c>
      <c r="D651">
        <v>6</v>
      </c>
      <c r="E651" s="1" t="s">
        <v>740</v>
      </c>
    </row>
    <row r="652" spans="1:5" x14ac:dyDescent="0.35">
      <c r="A652" s="1" t="s">
        <v>826</v>
      </c>
      <c r="B652" s="2">
        <v>45228.34097222222</v>
      </c>
      <c r="C652" s="1" t="s">
        <v>828</v>
      </c>
      <c r="D652">
        <v>118</v>
      </c>
      <c r="E652" s="1" t="s">
        <v>740</v>
      </c>
    </row>
    <row r="653" spans="1:5" x14ac:dyDescent="0.35">
      <c r="A653" s="1" t="s">
        <v>864</v>
      </c>
      <c r="B653" s="2">
        <v>45212.965277777781</v>
      </c>
      <c r="C653" s="1" t="s">
        <v>867</v>
      </c>
      <c r="D653">
        <v>27</v>
      </c>
      <c r="E653" s="1" t="s">
        <v>740</v>
      </c>
    </row>
    <row r="654" spans="1:5" x14ac:dyDescent="0.35">
      <c r="A654" s="1" t="s">
        <v>981</v>
      </c>
      <c r="B654" s="2">
        <v>45218.286111111112</v>
      </c>
      <c r="C654" s="1" t="s">
        <v>997</v>
      </c>
      <c r="D654">
        <v>89</v>
      </c>
      <c r="E654" s="1" t="s">
        <v>735</v>
      </c>
    </row>
    <row r="655" spans="1:5" x14ac:dyDescent="0.35">
      <c r="A655" s="1" t="s">
        <v>1389</v>
      </c>
      <c r="B655" s="2">
        <v>45221.197916666657</v>
      </c>
      <c r="C655" s="1" t="s">
        <v>997</v>
      </c>
      <c r="D655">
        <v>61</v>
      </c>
      <c r="E655" s="1" t="s">
        <v>740</v>
      </c>
    </row>
    <row r="656" spans="1:5" x14ac:dyDescent="0.35">
      <c r="A656" s="1" t="s">
        <v>733</v>
      </c>
      <c r="B656" s="2">
        <v>45208.957638888889</v>
      </c>
      <c r="C656" s="1" t="s">
        <v>767</v>
      </c>
      <c r="D656">
        <v>115</v>
      </c>
      <c r="E656" s="1" t="s">
        <v>735</v>
      </c>
    </row>
    <row r="657" spans="1:5" x14ac:dyDescent="0.35">
      <c r="A657" s="1" t="s">
        <v>1368</v>
      </c>
      <c r="B657" s="2">
        <v>45226.747916666667</v>
      </c>
      <c r="C657" s="1" t="s">
        <v>1388</v>
      </c>
      <c r="D657">
        <v>68</v>
      </c>
      <c r="E657" s="1" t="s">
        <v>738</v>
      </c>
    </row>
    <row r="658" spans="1:5" x14ac:dyDescent="0.35">
      <c r="A658" s="1" t="s">
        <v>1294</v>
      </c>
      <c r="B658" s="2">
        <v>45200.534722222219</v>
      </c>
      <c r="C658" s="1" t="s">
        <v>1310</v>
      </c>
      <c r="D658">
        <v>50</v>
      </c>
      <c r="E658" s="1" t="s">
        <v>740</v>
      </c>
    </row>
    <row r="659" spans="1:5" x14ac:dyDescent="0.35">
      <c r="A659" s="1" t="s">
        <v>1368</v>
      </c>
      <c r="B659" s="2">
        <v>45213.87222222222</v>
      </c>
      <c r="C659" s="1" t="s">
        <v>1373</v>
      </c>
      <c r="D659">
        <v>46</v>
      </c>
      <c r="E659" s="1" t="s">
        <v>738</v>
      </c>
    </row>
    <row r="660" spans="1:5" x14ac:dyDescent="0.35">
      <c r="A660" s="1" t="s">
        <v>981</v>
      </c>
      <c r="B660" s="2">
        <v>45217.368750000001</v>
      </c>
      <c r="C660" s="1" t="s">
        <v>998</v>
      </c>
      <c r="D660">
        <v>8</v>
      </c>
      <c r="E660" s="1" t="s">
        <v>735</v>
      </c>
    </row>
    <row r="661" spans="1:5" x14ac:dyDescent="0.35">
      <c r="A661" s="1" t="s">
        <v>1028</v>
      </c>
      <c r="B661" s="2">
        <v>45219.181250000001</v>
      </c>
      <c r="C661" s="1" t="s">
        <v>998</v>
      </c>
      <c r="D661">
        <v>97</v>
      </c>
      <c r="E661" s="1" t="s">
        <v>738</v>
      </c>
    </row>
    <row r="662" spans="1:5" x14ac:dyDescent="0.35">
      <c r="A662" s="1" t="s">
        <v>1351</v>
      </c>
      <c r="B662" s="2">
        <v>45206.974305555559</v>
      </c>
      <c r="C662" s="1" t="s">
        <v>1365</v>
      </c>
      <c r="D662">
        <v>53</v>
      </c>
      <c r="E662" s="1" t="s">
        <v>738</v>
      </c>
    </row>
    <row r="663" spans="1:5" x14ac:dyDescent="0.35">
      <c r="A663" s="1" t="s">
        <v>1247</v>
      </c>
      <c r="B663" s="2">
        <v>45217.755555555559</v>
      </c>
      <c r="C663" s="1" t="s">
        <v>1253</v>
      </c>
      <c r="D663">
        <v>100</v>
      </c>
      <c r="E663" s="1" t="s">
        <v>735</v>
      </c>
    </row>
    <row r="664" spans="1:5" x14ac:dyDescent="0.35">
      <c r="A664" s="1" t="s">
        <v>981</v>
      </c>
      <c r="B664" s="2">
        <v>45214.59375</v>
      </c>
      <c r="C664" s="1" t="s">
        <v>989</v>
      </c>
      <c r="D664">
        <v>51</v>
      </c>
      <c r="E664" s="1" t="s">
        <v>740</v>
      </c>
    </row>
    <row r="665" spans="1:5" x14ac:dyDescent="0.35">
      <c r="A665" s="1" t="s">
        <v>1063</v>
      </c>
      <c r="B665" s="2">
        <v>45209.251388888893</v>
      </c>
      <c r="C665" s="1" t="s">
        <v>989</v>
      </c>
      <c r="D665">
        <v>46</v>
      </c>
      <c r="E665" s="1" t="s">
        <v>738</v>
      </c>
    </row>
    <row r="666" spans="1:5" x14ac:dyDescent="0.35">
      <c r="A666" s="1" t="s">
        <v>1247</v>
      </c>
      <c r="B666" s="2">
        <v>45228.100694444453</v>
      </c>
      <c r="C666" s="1" t="s">
        <v>989</v>
      </c>
      <c r="D666">
        <v>23</v>
      </c>
      <c r="E666" s="1" t="s">
        <v>740</v>
      </c>
    </row>
    <row r="667" spans="1:5" x14ac:dyDescent="0.35">
      <c r="A667" s="1" t="s">
        <v>733</v>
      </c>
      <c r="B667" s="2">
        <v>45214.713194444441</v>
      </c>
      <c r="C667" s="1" t="s">
        <v>756</v>
      </c>
      <c r="D667">
        <v>25</v>
      </c>
      <c r="E667" s="1" t="s">
        <v>735</v>
      </c>
    </row>
    <row r="668" spans="1:5" x14ac:dyDescent="0.35">
      <c r="A668" s="1" t="s">
        <v>905</v>
      </c>
      <c r="B668" s="2">
        <v>45201.574305555558</v>
      </c>
      <c r="C668" s="1" t="s">
        <v>756</v>
      </c>
      <c r="D668">
        <v>75</v>
      </c>
      <c r="E668" s="1" t="s">
        <v>740</v>
      </c>
    </row>
    <row r="669" spans="1:5" x14ac:dyDescent="0.35">
      <c r="A669" s="1" t="s">
        <v>1336</v>
      </c>
      <c r="B669" s="2">
        <v>45224.428472222222</v>
      </c>
      <c r="C669" s="1" t="s">
        <v>756</v>
      </c>
      <c r="D669">
        <v>65</v>
      </c>
      <c r="E669" s="1" t="s">
        <v>738</v>
      </c>
    </row>
    <row r="670" spans="1:5" x14ac:dyDescent="0.35">
      <c r="A670" s="1" t="s">
        <v>826</v>
      </c>
      <c r="B670" s="2">
        <v>45228.758333333331</v>
      </c>
      <c r="C670" s="1" t="s">
        <v>834</v>
      </c>
      <c r="D670">
        <v>54</v>
      </c>
      <c r="E670" s="1" t="s">
        <v>735</v>
      </c>
    </row>
    <row r="671" spans="1:5" x14ac:dyDescent="0.35">
      <c r="A671" s="1" t="s">
        <v>1063</v>
      </c>
      <c r="B671" s="2">
        <v>45213.027083333327</v>
      </c>
      <c r="C671" s="1" t="s">
        <v>1070</v>
      </c>
      <c r="D671">
        <v>68</v>
      </c>
      <c r="E671" s="1" t="s">
        <v>740</v>
      </c>
    </row>
    <row r="672" spans="1:5" x14ac:dyDescent="0.35">
      <c r="A672" s="1" t="s">
        <v>1091</v>
      </c>
      <c r="B672" s="2">
        <v>45211.618750000001</v>
      </c>
      <c r="C672" s="1" t="s">
        <v>1099</v>
      </c>
      <c r="D672">
        <v>92</v>
      </c>
      <c r="E672" s="1" t="s">
        <v>735</v>
      </c>
    </row>
    <row r="673" spans="1:5" x14ac:dyDescent="0.35">
      <c r="A673" s="1" t="s">
        <v>1389</v>
      </c>
      <c r="B673" s="2">
        <v>45215.775000000001</v>
      </c>
      <c r="C673" s="1" t="s">
        <v>1099</v>
      </c>
      <c r="D673">
        <v>95</v>
      </c>
      <c r="E673" s="1" t="s">
        <v>738</v>
      </c>
    </row>
    <row r="674" spans="1:5" x14ac:dyDescent="0.35">
      <c r="A674" s="1" t="s">
        <v>1002</v>
      </c>
      <c r="B674" s="2">
        <v>45221.857638888891</v>
      </c>
      <c r="C674" s="1" t="s">
        <v>1009</v>
      </c>
      <c r="D674">
        <v>60</v>
      </c>
      <c r="E674" s="1" t="s">
        <v>740</v>
      </c>
    </row>
    <row r="675" spans="1:5" x14ac:dyDescent="0.35">
      <c r="A675" s="1" t="s">
        <v>1351</v>
      </c>
      <c r="B675" s="2">
        <v>45202.054861111108</v>
      </c>
      <c r="C675" s="1" t="s">
        <v>1009</v>
      </c>
      <c r="D675">
        <v>11</v>
      </c>
      <c r="E675" s="1" t="s">
        <v>735</v>
      </c>
    </row>
    <row r="676" spans="1:5" x14ac:dyDescent="0.35">
      <c r="A676" s="1" t="s">
        <v>1368</v>
      </c>
      <c r="B676" s="2">
        <v>45204.948611111111</v>
      </c>
      <c r="C676" s="1" t="s">
        <v>1375</v>
      </c>
      <c r="D676">
        <v>47</v>
      </c>
      <c r="E676" s="1" t="s">
        <v>738</v>
      </c>
    </row>
    <row r="677" spans="1:5" x14ac:dyDescent="0.35">
      <c r="A677" s="1" t="s">
        <v>1171</v>
      </c>
      <c r="B677" s="2">
        <v>45215.322222222218</v>
      </c>
      <c r="C677" s="1" t="s">
        <v>1186</v>
      </c>
      <c r="D677">
        <v>57</v>
      </c>
      <c r="E677" s="1" t="s">
        <v>740</v>
      </c>
    </row>
    <row r="678" spans="1:5" x14ac:dyDescent="0.35">
      <c r="A678" s="1" t="s">
        <v>1368</v>
      </c>
      <c r="B678" s="2">
        <v>45220.506249999999</v>
      </c>
      <c r="C678" s="1" t="s">
        <v>1186</v>
      </c>
      <c r="D678">
        <v>20</v>
      </c>
      <c r="E678" s="1" t="s">
        <v>735</v>
      </c>
    </row>
    <row r="679" spans="1:5" x14ac:dyDescent="0.35">
      <c r="A679" s="1" t="s">
        <v>1414</v>
      </c>
      <c r="B679" s="2">
        <v>45229.986805555563</v>
      </c>
      <c r="C679" s="1" t="s">
        <v>1186</v>
      </c>
      <c r="D679">
        <v>37</v>
      </c>
      <c r="E679" s="1" t="s">
        <v>740</v>
      </c>
    </row>
    <row r="680" spans="1:5" x14ac:dyDescent="0.35">
      <c r="A680" s="1" t="s">
        <v>905</v>
      </c>
      <c r="B680" s="2">
        <v>45205.711111111108</v>
      </c>
      <c r="C680" s="1" t="s">
        <v>924</v>
      </c>
      <c r="D680">
        <v>109</v>
      </c>
      <c r="E680" s="1" t="s">
        <v>740</v>
      </c>
    </row>
    <row r="681" spans="1:5" x14ac:dyDescent="0.35">
      <c r="A681" s="1" t="s">
        <v>1351</v>
      </c>
      <c r="B681" s="2">
        <v>45200.06527777778</v>
      </c>
      <c r="C681" s="1" t="s">
        <v>924</v>
      </c>
      <c r="D681">
        <v>9</v>
      </c>
      <c r="E681" s="1" t="s">
        <v>735</v>
      </c>
    </row>
    <row r="682" spans="1:5" x14ac:dyDescent="0.35">
      <c r="A682" s="1" t="s">
        <v>1336</v>
      </c>
      <c r="B682" s="2">
        <v>45215.776388888888</v>
      </c>
      <c r="C682" s="1" t="s">
        <v>1337</v>
      </c>
      <c r="D682">
        <v>87</v>
      </c>
      <c r="E682" s="1" t="s">
        <v>740</v>
      </c>
    </row>
    <row r="683" spans="1:5" x14ac:dyDescent="0.35">
      <c r="A683" s="1" t="s">
        <v>981</v>
      </c>
      <c r="B683" s="2">
        <v>45206.162499999999</v>
      </c>
      <c r="C683" s="1" t="s">
        <v>992</v>
      </c>
      <c r="D683">
        <v>69</v>
      </c>
      <c r="E683" s="1" t="s">
        <v>735</v>
      </c>
    </row>
    <row r="684" spans="1:5" x14ac:dyDescent="0.35">
      <c r="A684" s="1" t="s">
        <v>733</v>
      </c>
      <c r="B684" s="2">
        <v>45204.283333333333</v>
      </c>
      <c r="C684" s="1" t="s">
        <v>752</v>
      </c>
      <c r="D684">
        <v>11</v>
      </c>
      <c r="E684" s="1" t="s">
        <v>740</v>
      </c>
    </row>
    <row r="685" spans="1:5" x14ac:dyDescent="0.35">
      <c r="A685" s="1" t="s">
        <v>905</v>
      </c>
      <c r="B685" s="2">
        <v>45215.376388888893</v>
      </c>
      <c r="C685" s="1" t="s">
        <v>752</v>
      </c>
      <c r="D685">
        <v>65</v>
      </c>
      <c r="E685" s="1" t="s">
        <v>740</v>
      </c>
    </row>
    <row r="686" spans="1:5" x14ac:dyDescent="0.35">
      <c r="A686" s="1" t="s">
        <v>1389</v>
      </c>
      <c r="B686" s="2">
        <v>45224.482638888891</v>
      </c>
      <c r="C686" s="1" t="s">
        <v>752</v>
      </c>
      <c r="D686">
        <v>95</v>
      </c>
      <c r="E686" s="1" t="s">
        <v>738</v>
      </c>
    </row>
    <row r="687" spans="1:5" x14ac:dyDescent="0.35">
      <c r="A687" s="1" t="s">
        <v>826</v>
      </c>
      <c r="B687" s="2">
        <v>45216.902777777781</v>
      </c>
      <c r="C687" s="1" t="s">
        <v>857</v>
      </c>
      <c r="D687">
        <v>20</v>
      </c>
      <c r="E687" s="1" t="s">
        <v>740</v>
      </c>
    </row>
    <row r="688" spans="1:5" x14ac:dyDescent="0.35">
      <c r="A688" s="1" t="s">
        <v>942</v>
      </c>
      <c r="B688" s="2">
        <v>45227.163194444453</v>
      </c>
      <c r="C688" s="1" t="s">
        <v>950</v>
      </c>
      <c r="D688">
        <v>78</v>
      </c>
      <c r="E688" s="1" t="s">
        <v>738</v>
      </c>
    </row>
    <row r="689" spans="1:5" x14ac:dyDescent="0.35">
      <c r="A689" s="1" t="s">
        <v>942</v>
      </c>
      <c r="B689" s="2">
        <v>45221.839583333327</v>
      </c>
      <c r="C689" s="1" t="s">
        <v>948</v>
      </c>
      <c r="D689">
        <v>18</v>
      </c>
      <c r="E689" s="1" t="s">
        <v>735</v>
      </c>
    </row>
    <row r="690" spans="1:5" x14ac:dyDescent="0.35">
      <c r="A690" s="1" t="s">
        <v>905</v>
      </c>
      <c r="B690" s="2">
        <v>45214.109722222223</v>
      </c>
      <c r="C690" s="1" t="s">
        <v>939</v>
      </c>
      <c r="D690">
        <v>102</v>
      </c>
      <c r="E690" s="1" t="s">
        <v>738</v>
      </c>
    </row>
    <row r="691" spans="1:5" x14ac:dyDescent="0.35">
      <c r="A691" s="1" t="s">
        <v>1351</v>
      </c>
      <c r="B691" s="2">
        <v>45210.84097222222</v>
      </c>
      <c r="C691" s="1" t="s">
        <v>939</v>
      </c>
      <c r="D691">
        <v>7</v>
      </c>
      <c r="E691" s="1" t="s">
        <v>735</v>
      </c>
    </row>
    <row r="692" spans="1:5" x14ac:dyDescent="0.35">
      <c r="A692" s="1" t="s">
        <v>981</v>
      </c>
      <c r="B692" s="2">
        <v>45226.586805555547</v>
      </c>
      <c r="C692" s="1" t="s">
        <v>993</v>
      </c>
      <c r="D692">
        <v>33</v>
      </c>
      <c r="E692" s="1" t="s">
        <v>740</v>
      </c>
    </row>
    <row r="693" spans="1:5" x14ac:dyDescent="0.35">
      <c r="A693" s="1" t="s">
        <v>1002</v>
      </c>
      <c r="B693" s="2">
        <v>45201.009027777778</v>
      </c>
      <c r="C693" s="1" t="s">
        <v>993</v>
      </c>
      <c r="D693">
        <v>56</v>
      </c>
      <c r="E693" s="1" t="s">
        <v>738</v>
      </c>
    </row>
    <row r="694" spans="1:5" x14ac:dyDescent="0.35">
      <c r="A694" s="1" t="s">
        <v>1199</v>
      </c>
      <c r="B694" s="2">
        <v>45209.659722222219</v>
      </c>
      <c r="C694" s="1" t="s">
        <v>993</v>
      </c>
      <c r="D694">
        <v>67</v>
      </c>
      <c r="E694" s="1" t="s">
        <v>740</v>
      </c>
    </row>
    <row r="695" spans="1:5" x14ac:dyDescent="0.35">
      <c r="A695" s="1" t="s">
        <v>782</v>
      </c>
      <c r="B695" s="2">
        <v>45218.635416666657</v>
      </c>
      <c r="C695" s="1" t="s">
        <v>783</v>
      </c>
      <c r="D695">
        <v>17</v>
      </c>
      <c r="E695" s="1" t="s">
        <v>740</v>
      </c>
    </row>
    <row r="696" spans="1:5" x14ac:dyDescent="0.35">
      <c r="A696" s="1" t="s">
        <v>782</v>
      </c>
      <c r="B696" s="2">
        <v>45214.185416666667</v>
      </c>
      <c r="C696" s="1" t="s">
        <v>783</v>
      </c>
      <c r="D696">
        <v>36</v>
      </c>
      <c r="E696" s="1" t="s">
        <v>738</v>
      </c>
    </row>
    <row r="697" spans="1:5" x14ac:dyDescent="0.35">
      <c r="A697" s="1" t="s">
        <v>782</v>
      </c>
      <c r="B697" s="2">
        <v>45201.224999999999</v>
      </c>
      <c r="C697" s="1" t="s">
        <v>800</v>
      </c>
      <c r="D697">
        <v>83</v>
      </c>
      <c r="E697" s="1" t="s">
        <v>738</v>
      </c>
    </row>
    <row r="698" spans="1:5" x14ac:dyDescent="0.35">
      <c r="A698" s="1" t="s">
        <v>826</v>
      </c>
      <c r="B698" s="2">
        <v>45225.776388888888</v>
      </c>
      <c r="C698" s="1" t="s">
        <v>800</v>
      </c>
      <c r="D698">
        <v>71</v>
      </c>
      <c r="E698" s="1" t="s">
        <v>735</v>
      </c>
    </row>
    <row r="699" spans="1:5" x14ac:dyDescent="0.35">
      <c r="A699" s="1" t="s">
        <v>1063</v>
      </c>
      <c r="B699" s="2">
        <v>45208.959027777782</v>
      </c>
      <c r="C699" s="1" t="s">
        <v>800</v>
      </c>
      <c r="D699">
        <v>98</v>
      </c>
      <c r="E699" s="1" t="s">
        <v>740</v>
      </c>
    </row>
    <row r="700" spans="1:5" x14ac:dyDescent="0.35">
      <c r="A700" s="1" t="s">
        <v>1267</v>
      </c>
      <c r="B700" s="2">
        <v>45229.065972222219</v>
      </c>
      <c r="C700" s="1" t="s">
        <v>800</v>
      </c>
      <c r="D700">
        <v>93</v>
      </c>
      <c r="E700" s="1" t="s">
        <v>735</v>
      </c>
    </row>
    <row r="701" spans="1:5" x14ac:dyDescent="0.35">
      <c r="A701" s="1" t="s">
        <v>1368</v>
      </c>
      <c r="B701" s="2">
        <v>45201.212500000001</v>
      </c>
      <c r="C701" s="1" t="s">
        <v>800</v>
      </c>
      <c r="D701">
        <v>40</v>
      </c>
      <c r="E701" s="1" t="s">
        <v>738</v>
      </c>
    </row>
    <row r="702" spans="1:5" x14ac:dyDescent="0.35">
      <c r="A702" s="1" t="s">
        <v>1120</v>
      </c>
      <c r="B702" s="2">
        <v>45210.805555555547</v>
      </c>
      <c r="C702" s="1" t="s">
        <v>1124</v>
      </c>
      <c r="D702">
        <v>97</v>
      </c>
      <c r="E702" s="1" t="s">
        <v>735</v>
      </c>
    </row>
    <row r="703" spans="1:5" x14ac:dyDescent="0.35">
      <c r="A703" s="1" t="s">
        <v>1247</v>
      </c>
      <c r="B703" s="2">
        <v>45215.088888888888</v>
      </c>
      <c r="C703" s="1" t="s">
        <v>1124</v>
      </c>
      <c r="D703">
        <v>59</v>
      </c>
      <c r="E703" s="1" t="s">
        <v>740</v>
      </c>
    </row>
    <row r="704" spans="1:5" x14ac:dyDescent="0.35">
      <c r="A704" s="1" t="s">
        <v>733</v>
      </c>
      <c r="B704" s="2">
        <v>45227.484722222223</v>
      </c>
      <c r="C704" s="1" t="s">
        <v>755</v>
      </c>
      <c r="D704">
        <v>24</v>
      </c>
      <c r="E704" s="1" t="s">
        <v>738</v>
      </c>
    </row>
    <row r="705" spans="1:5" x14ac:dyDescent="0.35">
      <c r="A705" s="1" t="s">
        <v>1063</v>
      </c>
      <c r="B705" s="2">
        <v>45221.106249999997</v>
      </c>
      <c r="C705" s="1" t="s">
        <v>755</v>
      </c>
      <c r="D705">
        <v>52</v>
      </c>
      <c r="E705" s="1" t="s">
        <v>740</v>
      </c>
    </row>
    <row r="706" spans="1:5" x14ac:dyDescent="0.35">
      <c r="A706" s="1" t="s">
        <v>1002</v>
      </c>
      <c r="B706" s="2">
        <v>45211.908333333333</v>
      </c>
      <c r="C706" s="1" t="s">
        <v>1003</v>
      </c>
      <c r="D706">
        <v>32</v>
      </c>
      <c r="E706" s="1" t="s">
        <v>738</v>
      </c>
    </row>
    <row r="707" spans="1:5" x14ac:dyDescent="0.35">
      <c r="A707" s="1" t="s">
        <v>1336</v>
      </c>
      <c r="B707" s="2">
        <v>45212.200694444437</v>
      </c>
      <c r="C707" s="1" t="s">
        <v>1003</v>
      </c>
      <c r="D707">
        <v>82</v>
      </c>
      <c r="E707" s="1" t="s">
        <v>735</v>
      </c>
    </row>
    <row r="708" spans="1:5" x14ac:dyDescent="0.35">
      <c r="A708" s="1" t="s">
        <v>1028</v>
      </c>
      <c r="B708" s="2">
        <v>45219.920138888891</v>
      </c>
      <c r="C708" s="1" t="s">
        <v>1051</v>
      </c>
      <c r="D708">
        <v>91</v>
      </c>
      <c r="E708" s="1" t="s">
        <v>740</v>
      </c>
    </row>
    <row r="709" spans="1:5" x14ac:dyDescent="0.35">
      <c r="A709" s="1" t="s">
        <v>1063</v>
      </c>
      <c r="B709" s="2">
        <v>45203.477083333331</v>
      </c>
      <c r="C709" s="1" t="s">
        <v>1090</v>
      </c>
      <c r="D709">
        <v>93</v>
      </c>
      <c r="E709" s="1" t="s">
        <v>738</v>
      </c>
    </row>
    <row r="710" spans="1:5" x14ac:dyDescent="0.35">
      <c r="A710" s="1" t="s">
        <v>1414</v>
      </c>
      <c r="B710" s="2">
        <v>45208.711111111108</v>
      </c>
      <c r="C710" s="1" t="s">
        <v>1090</v>
      </c>
      <c r="D710">
        <v>75</v>
      </c>
      <c r="E710" s="1" t="s">
        <v>738</v>
      </c>
    </row>
    <row r="711" spans="1:5" x14ac:dyDescent="0.35">
      <c r="A711" s="1" t="s">
        <v>864</v>
      </c>
      <c r="B711" s="2">
        <v>45204.297222222223</v>
      </c>
      <c r="C711" s="1" t="s">
        <v>882</v>
      </c>
      <c r="D711">
        <v>111</v>
      </c>
      <c r="E711" s="1" t="s">
        <v>738</v>
      </c>
    </row>
    <row r="712" spans="1:5" x14ac:dyDescent="0.35">
      <c r="A712" s="1" t="s">
        <v>942</v>
      </c>
      <c r="B712" s="2">
        <v>45227.587500000001</v>
      </c>
      <c r="C712" s="1" t="s">
        <v>882</v>
      </c>
      <c r="D712">
        <v>50</v>
      </c>
      <c r="E712" s="1" t="s">
        <v>738</v>
      </c>
    </row>
    <row r="713" spans="1:5" x14ac:dyDescent="0.35">
      <c r="A713" s="1" t="s">
        <v>1120</v>
      </c>
      <c r="B713" s="2">
        <v>45229.722916666673</v>
      </c>
      <c r="C713" s="1" t="s">
        <v>882</v>
      </c>
      <c r="D713">
        <v>76</v>
      </c>
      <c r="E713" s="1" t="s">
        <v>738</v>
      </c>
    </row>
    <row r="714" spans="1:5" x14ac:dyDescent="0.35">
      <c r="A714" s="1" t="s">
        <v>1247</v>
      </c>
      <c r="B714" s="2">
        <v>45214.018750000003</v>
      </c>
      <c r="C714" s="1" t="s">
        <v>882</v>
      </c>
      <c r="D714">
        <v>115</v>
      </c>
      <c r="E714" s="1" t="s">
        <v>738</v>
      </c>
    </row>
    <row r="715" spans="1:5" x14ac:dyDescent="0.35">
      <c r="A715" s="1" t="s">
        <v>1336</v>
      </c>
      <c r="B715" s="2">
        <v>45227.297222222223</v>
      </c>
      <c r="C715" s="1" t="s">
        <v>1343</v>
      </c>
      <c r="D715">
        <v>92</v>
      </c>
      <c r="E715" s="1" t="s">
        <v>740</v>
      </c>
    </row>
    <row r="716" spans="1:5" x14ac:dyDescent="0.35">
      <c r="A716" s="1" t="s">
        <v>1120</v>
      </c>
      <c r="B716" s="2">
        <v>45224.831944444442</v>
      </c>
      <c r="C716" s="1" t="s">
        <v>1135</v>
      </c>
      <c r="D716">
        <v>100</v>
      </c>
      <c r="E716" s="1" t="s">
        <v>735</v>
      </c>
    </row>
    <row r="717" spans="1:5" x14ac:dyDescent="0.35">
      <c r="A717" s="1" t="s">
        <v>1120</v>
      </c>
      <c r="B717" s="2">
        <v>45230.303472222222</v>
      </c>
      <c r="C717" s="1" t="s">
        <v>1139</v>
      </c>
      <c r="D717">
        <v>83</v>
      </c>
      <c r="E717" s="1" t="s">
        <v>740</v>
      </c>
    </row>
    <row r="718" spans="1:5" x14ac:dyDescent="0.35">
      <c r="A718" s="1" t="s">
        <v>1336</v>
      </c>
      <c r="B718" s="2">
        <v>45220.154861111107</v>
      </c>
      <c r="C718" s="1" t="s">
        <v>1139</v>
      </c>
      <c r="D718">
        <v>53</v>
      </c>
      <c r="E718" s="1" t="s">
        <v>735</v>
      </c>
    </row>
    <row r="719" spans="1:5" x14ac:dyDescent="0.35">
      <c r="A719" s="1" t="s">
        <v>1120</v>
      </c>
      <c r="B719" s="2">
        <v>45226.885416666657</v>
      </c>
      <c r="C719" s="1" t="s">
        <v>1132</v>
      </c>
      <c r="D719">
        <v>96</v>
      </c>
      <c r="E719" s="1" t="s">
        <v>740</v>
      </c>
    </row>
    <row r="720" spans="1:5" x14ac:dyDescent="0.35">
      <c r="A720" s="1" t="s">
        <v>1144</v>
      </c>
      <c r="B720" s="2">
        <v>45202.529166666667</v>
      </c>
      <c r="C720" s="1" t="s">
        <v>1145</v>
      </c>
      <c r="D720">
        <v>109</v>
      </c>
      <c r="E720" s="1" t="s">
        <v>738</v>
      </c>
    </row>
    <row r="721" spans="1:5" x14ac:dyDescent="0.35">
      <c r="A721" s="1" t="s">
        <v>1225</v>
      </c>
      <c r="B721" s="2">
        <v>45219.527083333327</v>
      </c>
      <c r="C721" s="1" t="s">
        <v>1145</v>
      </c>
      <c r="D721">
        <v>95</v>
      </c>
      <c r="E721" s="1" t="s">
        <v>735</v>
      </c>
    </row>
    <row r="722" spans="1:5" x14ac:dyDescent="0.35">
      <c r="A722" s="1" t="s">
        <v>1368</v>
      </c>
      <c r="B722" s="2">
        <v>45211.888888888891</v>
      </c>
      <c r="C722" s="1" t="s">
        <v>1145</v>
      </c>
      <c r="D722">
        <v>87</v>
      </c>
      <c r="E722" s="1" t="s">
        <v>738</v>
      </c>
    </row>
    <row r="723" spans="1:5" x14ac:dyDescent="0.35">
      <c r="A723" s="1" t="s">
        <v>1368</v>
      </c>
      <c r="B723" s="2">
        <v>45226.997916666667</v>
      </c>
      <c r="C723" s="1" t="s">
        <v>1381</v>
      </c>
      <c r="D723">
        <v>53</v>
      </c>
      <c r="E723" s="1" t="s">
        <v>740</v>
      </c>
    </row>
    <row r="724" spans="1:5" x14ac:dyDescent="0.35">
      <c r="A724" s="1" t="s">
        <v>1336</v>
      </c>
      <c r="B724" s="2">
        <v>45214.081944444442</v>
      </c>
      <c r="C724" s="1" t="s">
        <v>1347</v>
      </c>
      <c r="D724">
        <v>87</v>
      </c>
      <c r="E724" s="1" t="s">
        <v>738</v>
      </c>
    </row>
    <row r="725" spans="1:5" x14ac:dyDescent="0.35">
      <c r="A725" s="1" t="s">
        <v>1414</v>
      </c>
      <c r="B725" s="2">
        <v>45207.199305555558</v>
      </c>
      <c r="C725" s="1" t="s">
        <v>1347</v>
      </c>
      <c r="D725">
        <v>28</v>
      </c>
      <c r="E725" s="1" t="s">
        <v>738</v>
      </c>
    </row>
    <row r="726" spans="1:5" x14ac:dyDescent="0.35">
      <c r="A726" s="1" t="s">
        <v>905</v>
      </c>
      <c r="B726" s="2">
        <v>45219.801388888889</v>
      </c>
      <c r="C726" s="1" t="s">
        <v>915</v>
      </c>
      <c r="D726">
        <v>65</v>
      </c>
      <c r="E726" s="1" t="s">
        <v>738</v>
      </c>
    </row>
    <row r="727" spans="1:5" x14ac:dyDescent="0.35">
      <c r="A727" s="1" t="s">
        <v>1247</v>
      </c>
      <c r="B727" s="2">
        <v>45227.118055555547</v>
      </c>
      <c r="C727" s="1" t="s">
        <v>1250</v>
      </c>
      <c r="D727">
        <v>61</v>
      </c>
      <c r="E727" s="1" t="s">
        <v>738</v>
      </c>
    </row>
    <row r="728" spans="1:5" x14ac:dyDescent="0.35">
      <c r="A728" s="1" t="s">
        <v>1144</v>
      </c>
      <c r="B728" s="2">
        <v>45225.406944444447</v>
      </c>
      <c r="C728" s="1" t="s">
        <v>1169</v>
      </c>
      <c r="D728">
        <v>74</v>
      </c>
      <c r="E728" s="1" t="s">
        <v>735</v>
      </c>
    </row>
    <row r="729" spans="1:5" x14ac:dyDescent="0.35">
      <c r="A729" s="1" t="s">
        <v>1351</v>
      </c>
      <c r="B729" s="2">
        <v>45224.229861111111</v>
      </c>
      <c r="C729" s="1" t="s">
        <v>1362</v>
      </c>
      <c r="D729">
        <v>20</v>
      </c>
      <c r="E729" s="1" t="s">
        <v>735</v>
      </c>
    </row>
    <row r="730" spans="1:5" x14ac:dyDescent="0.35">
      <c r="A730" s="1" t="s">
        <v>1389</v>
      </c>
      <c r="B730" s="2">
        <v>45213.907638888893</v>
      </c>
      <c r="C730" s="1" t="s">
        <v>1362</v>
      </c>
      <c r="D730">
        <v>52</v>
      </c>
      <c r="E730" s="1" t="s">
        <v>735</v>
      </c>
    </row>
    <row r="731" spans="1:5" x14ac:dyDescent="0.35">
      <c r="A731" s="1" t="s">
        <v>1267</v>
      </c>
      <c r="B731" s="2">
        <v>45207.668055555558</v>
      </c>
      <c r="C731" s="1" t="s">
        <v>1291</v>
      </c>
      <c r="D731">
        <v>113</v>
      </c>
      <c r="E731" s="1" t="s">
        <v>735</v>
      </c>
    </row>
    <row r="732" spans="1:5" x14ac:dyDescent="0.35">
      <c r="A732" s="1" t="s">
        <v>1336</v>
      </c>
      <c r="B732" s="2">
        <v>45207.074305555558</v>
      </c>
      <c r="C732" s="1" t="s">
        <v>1291</v>
      </c>
      <c r="D732">
        <v>57</v>
      </c>
      <c r="E732" s="1" t="s">
        <v>735</v>
      </c>
    </row>
    <row r="733" spans="1:5" x14ac:dyDescent="0.35">
      <c r="A733" s="1" t="s">
        <v>1351</v>
      </c>
      <c r="B733" s="2">
        <v>45219.569444444453</v>
      </c>
      <c r="C733" s="1" t="s">
        <v>1291</v>
      </c>
      <c r="D733">
        <v>96</v>
      </c>
      <c r="E733" s="1" t="s">
        <v>735</v>
      </c>
    </row>
    <row r="734" spans="1:5" x14ac:dyDescent="0.35">
      <c r="A734" s="1" t="s">
        <v>864</v>
      </c>
      <c r="B734" s="2">
        <v>45203.950694444437</v>
      </c>
      <c r="C734" s="1" t="s">
        <v>895</v>
      </c>
      <c r="D734">
        <v>8</v>
      </c>
      <c r="E734" s="1" t="s">
        <v>738</v>
      </c>
    </row>
    <row r="735" spans="1:5" x14ac:dyDescent="0.35">
      <c r="A735" s="1" t="s">
        <v>1314</v>
      </c>
      <c r="B735" s="2">
        <v>45205.805555555547</v>
      </c>
      <c r="C735" s="1" t="s">
        <v>1318</v>
      </c>
      <c r="D735">
        <v>110</v>
      </c>
      <c r="E735" s="1" t="s">
        <v>735</v>
      </c>
    </row>
    <row r="736" spans="1:5" x14ac:dyDescent="0.35">
      <c r="A736" s="1" t="s">
        <v>1314</v>
      </c>
      <c r="B736" s="2">
        <v>45229.631249999999</v>
      </c>
      <c r="C736" s="1" t="s">
        <v>1319</v>
      </c>
      <c r="D736">
        <v>81</v>
      </c>
      <c r="E736" s="1" t="s">
        <v>735</v>
      </c>
    </row>
    <row r="737" spans="1:5" x14ac:dyDescent="0.35">
      <c r="A737" s="1" t="s">
        <v>1120</v>
      </c>
      <c r="B737" s="2">
        <v>45204.931250000001</v>
      </c>
      <c r="C737" s="1" t="s">
        <v>1121</v>
      </c>
      <c r="D737">
        <v>66</v>
      </c>
      <c r="E737" s="1" t="s">
        <v>735</v>
      </c>
    </row>
    <row r="738" spans="1:5" x14ac:dyDescent="0.35">
      <c r="A738" s="1" t="s">
        <v>1063</v>
      </c>
      <c r="B738" s="2">
        <v>45220.515972222223</v>
      </c>
      <c r="C738" s="1" t="s">
        <v>1075</v>
      </c>
      <c r="D738">
        <v>15</v>
      </c>
      <c r="E738" s="1" t="s">
        <v>740</v>
      </c>
    </row>
    <row r="739" spans="1:5" x14ac:dyDescent="0.35">
      <c r="A739" s="1" t="s">
        <v>1368</v>
      </c>
      <c r="B739" s="2">
        <v>45204.665277777778</v>
      </c>
      <c r="C739" s="1" t="s">
        <v>1075</v>
      </c>
      <c r="D739">
        <v>56</v>
      </c>
      <c r="E739" s="1" t="s">
        <v>735</v>
      </c>
    </row>
    <row r="740" spans="1:5" x14ac:dyDescent="0.35">
      <c r="A740" s="1" t="s">
        <v>1414</v>
      </c>
      <c r="B740" s="2">
        <v>45224.288194444453</v>
      </c>
      <c r="C740" s="1" t="s">
        <v>1075</v>
      </c>
      <c r="D740">
        <v>116</v>
      </c>
      <c r="E740" s="1" t="s">
        <v>740</v>
      </c>
    </row>
    <row r="741" spans="1:5" x14ac:dyDescent="0.35">
      <c r="A741" s="1" t="s">
        <v>1414</v>
      </c>
      <c r="B741" s="2">
        <v>45213.417361111111</v>
      </c>
      <c r="C741" s="1" t="s">
        <v>1075</v>
      </c>
      <c r="D741">
        <v>100</v>
      </c>
      <c r="E741" s="1" t="s">
        <v>735</v>
      </c>
    </row>
    <row r="742" spans="1:5" x14ac:dyDescent="0.35">
      <c r="A742" s="1" t="s">
        <v>1414</v>
      </c>
      <c r="B742" s="2">
        <v>45215.231944444437</v>
      </c>
      <c r="C742" s="1" t="s">
        <v>1075</v>
      </c>
      <c r="D742">
        <v>25</v>
      </c>
      <c r="E742" s="1" t="s">
        <v>738</v>
      </c>
    </row>
    <row r="743" spans="1:5" x14ac:dyDescent="0.35">
      <c r="A743" s="1" t="s">
        <v>1144</v>
      </c>
      <c r="B743" s="2">
        <v>45204.615972222222</v>
      </c>
      <c r="C743" s="1" t="s">
        <v>1154</v>
      </c>
      <c r="D743">
        <v>41</v>
      </c>
      <c r="E743" s="1" t="s">
        <v>740</v>
      </c>
    </row>
    <row r="744" spans="1:5" x14ac:dyDescent="0.35">
      <c r="A744" s="1" t="s">
        <v>1199</v>
      </c>
      <c r="B744" s="2">
        <v>45209.354861111111</v>
      </c>
      <c r="C744" s="1" t="s">
        <v>1154</v>
      </c>
      <c r="D744">
        <v>99</v>
      </c>
      <c r="E744" s="1" t="s">
        <v>738</v>
      </c>
    </row>
    <row r="745" spans="1:5" x14ac:dyDescent="0.35">
      <c r="A745" s="1" t="s">
        <v>1171</v>
      </c>
      <c r="B745" s="2">
        <v>45229.620833333327</v>
      </c>
      <c r="C745" s="1" t="s">
        <v>1180</v>
      </c>
      <c r="D745">
        <v>74</v>
      </c>
      <c r="E745" s="1" t="s">
        <v>740</v>
      </c>
    </row>
    <row r="746" spans="1:5" x14ac:dyDescent="0.35">
      <c r="A746" s="1" t="s">
        <v>1028</v>
      </c>
      <c r="B746" s="2">
        <v>45206.443055555559</v>
      </c>
      <c r="C746" s="1" t="s">
        <v>1036</v>
      </c>
      <c r="D746">
        <v>48</v>
      </c>
      <c r="E746" s="1" t="s">
        <v>740</v>
      </c>
    </row>
    <row r="747" spans="1:5" x14ac:dyDescent="0.35">
      <c r="A747" s="1" t="s">
        <v>1063</v>
      </c>
      <c r="B747" s="2">
        <v>45225.288888888892</v>
      </c>
      <c r="C747" s="1" t="s">
        <v>1036</v>
      </c>
      <c r="D747">
        <v>89</v>
      </c>
      <c r="E747" s="1" t="s">
        <v>735</v>
      </c>
    </row>
    <row r="748" spans="1:5" x14ac:dyDescent="0.35">
      <c r="A748" s="1" t="s">
        <v>1063</v>
      </c>
      <c r="B748" s="2">
        <v>45211.722916666673</v>
      </c>
      <c r="C748" s="1" t="s">
        <v>1080</v>
      </c>
      <c r="D748">
        <v>28</v>
      </c>
      <c r="E748" s="1" t="s">
        <v>735</v>
      </c>
    </row>
    <row r="749" spans="1:5" x14ac:dyDescent="0.35">
      <c r="A749" s="1" t="s">
        <v>942</v>
      </c>
      <c r="B749" s="2">
        <v>45207.543055555558</v>
      </c>
      <c r="C749" s="1" t="s">
        <v>945</v>
      </c>
      <c r="D749">
        <v>54</v>
      </c>
      <c r="E749" s="1" t="s">
        <v>735</v>
      </c>
    </row>
    <row r="750" spans="1:5" x14ac:dyDescent="0.35">
      <c r="A750" s="1" t="s">
        <v>1120</v>
      </c>
      <c r="B750" s="2">
        <v>45225.996527777781</v>
      </c>
      <c r="C750" s="1" t="s">
        <v>945</v>
      </c>
      <c r="D750">
        <v>55</v>
      </c>
      <c r="E750" s="1" t="s">
        <v>738</v>
      </c>
    </row>
    <row r="751" spans="1:5" x14ac:dyDescent="0.35">
      <c r="A751" s="1" t="s">
        <v>1199</v>
      </c>
      <c r="B751" s="2">
        <v>45225.322916666657</v>
      </c>
      <c r="C751" s="1" t="s">
        <v>1209</v>
      </c>
      <c r="D751">
        <v>47</v>
      </c>
      <c r="E751" s="1" t="s">
        <v>740</v>
      </c>
    </row>
    <row r="752" spans="1:5" x14ac:dyDescent="0.35">
      <c r="A752" s="1" t="s">
        <v>1171</v>
      </c>
      <c r="B752" s="2">
        <v>45226.313194444447</v>
      </c>
      <c r="C752" s="1" t="s">
        <v>1196</v>
      </c>
      <c r="D752">
        <v>66</v>
      </c>
      <c r="E752" s="1" t="s">
        <v>740</v>
      </c>
    </row>
    <row r="753" spans="1:5" x14ac:dyDescent="0.35">
      <c r="A753" s="1" t="s">
        <v>1336</v>
      </c>
      <c r="B753" s="2">
        <v>45214.290277777778</v>
      </c>
      <c r="C753" s="1" t="s">
        <v>1196</v>
      </c>
      <c r="D753">
        <v>27</v>
      </c>
      <c r="E753" s="1" t="s">
        <v>738</v>
      </c>
    </row>
    <row r="754" spans="1:5" x14ac:dyDescent="0.35">
      <c r="A754" s="1" t="s">
        <v>1351</v>
      </c>
      <c r="B754" s="2">
        <v>45224.104861111111</v>
      </c>
      <c r="C754" s="1" t="s">
        <v>1360</v>
      </c>
      <c r="D754">
        <v>98</v>
      </c>
      <c r="E754" s="1" t="s">
        <v>740</v>
      </c>
    </row>
    <row r="755" spans="1:5" x14ac:dyDescent="0.35">
      <c r="A755" s="1" t="s">
        <v>1314</v>
      </c>
      <c r="B755" s="2">
        <v>45224.884722222218</v>
      </c>
      <c r="C755" s="1" t="s">
        <v>1325</v>
      </c>
      <c r="D755">
        <v>119</v>
      </c>
      <c r="E755" s="1" t="s">
        <v>738</v>
      </c>
    </row>
    <row r="756" spans="1:5" x14ac:dyDescent="0.35">
      <c r="A756" s="1" t="s">
        <v>1002</v>
      </c>
      <c r="B756" s="2">
        <v>45200.220138888893</v>
      </c>
      <c r="C756" s="1" t="s">
        <v>1011</v>
      </c>
      <c r="D756">
        <v>53</v>
      </c>
      <c r="E756" s="1" t="s">
        <v>738</v>
      </c>
    </row>
    <row r="757" spans="1:5" x14ac:dyDescent="0.35">
      <c r="A757" s="1" t="s">
        <v>1351</v>
      </c>
      <c r="B757" s="2">
        <v>45227.393055555563</v>
      </c>
      <c r="C757" s="1" t="s">
        <v>1011</v>
      </c>
      <c r="D757">
        <v>67</v>
      </c>
      <c r="E757" s="1" t="s">
        <v>735</v>
      </c>
    </row>
    <row r="758" spans="1:5" x14ac:dyDescent="0.35">
      <c r="A758" s="1" t="s">
        <v>782</v>
      </c>
      <c r="B758" s="2">
        <v>45219.113194444442</v>
      </c>
      <c r="C758" s="1" t="s">
        <v>812</v>
      </c>
      <c r="D758">
        <v>19</v>
      </c>
      <c r="E758" s="1" t="s">
        <v>735</v>
      </c>
    </row>
    <row r="759" spans="1:5" x14ac:dyDescent="0.35">
      <c r="A759" s="1" t="s">
        <v>864</v>
      </c>
      <c r="B759" s="2">
        <v>45224.010416666657</v>
      </c>
      <c r="C759" s="1" t="s">
        <v>812</v>
      </c>
      <c r="D759">
        <v>114</v>
      </c>
      <c r="E759" s="1" t="s">
        <v>740</v>
      </c>
    </row>
    <row r="760" spans="1:5" x14ac:dyDescent="0.35">
      <c r="A760" s="1" t="s">
        <v>1247</v>
      </c>
      <c r="B760" s="2">
        <v>45218.038194444453</v>
      </c>
      <c r="C760" s="1" t="s">
        <v>812</v>
      </c>
      <c r="D760">
        <v>6</v>
      </c>
      <c r="E760" s="1" t="s">
        <v>735</v>
      </c>
    </row>
    <row r="761" spans="1:5" x14ac:dyDescent="0.35">
      <c r="A761" s="1" t="s">
        <v>864</v>
      </c>
      <c r="B761" s="2">
        <v>45230.925000000003</v>
      </c>
      <c r="C761" s="1" t="s">
        <v>892</v>
      </c>
      <c r="D761">
        <v>90</v>
      </c>
      <c r="E761" s="1" t="s">
        <v>735</v>
      </c>
    </row>
    <row r="762" spans="1:5" x14ac:dyDescent="0.35">
      <c r="A762" s="1" t="s">
        <v>1199</v>
      </c>
      <c r="B762" s="2">
        <v>45210.5</v>
      </c>
      <c r="C762" s="1" t="s">
        <v>1218</v>
      </c>
      <c r="D762">
        <v>30</v>
      </c>
      <c r="E762" s="1" t="s">
        <v>735</v>
      </c>
    </row>
    <row r="763" spans="1:5" x14ac:dyDescent="0.35">
      <c r="A763" s="1" t="s">
        <v>1351</v>
      </c>
      <c r="B763" s="2">
        <v>45210.924305555563</v>
      </c>
      <c r="C763" s="1" t="s">
        <v>1359</v>
      </c>
      <c r="D763">
        <v>32</v>
      </c>
      <c r="E763" s="1" t="s">
        <v>738</v>
      </c>
    </row>
    <row r="764" spans="1:5" x14ac:dyDescent="0.35">
      <c r="A764" s="1" t="s">
        <v>1171</v>
      </c>
      <c r="B764" s="2">
        <v>45223.554166666669</v>
      </c>
      <c r="C764" s="1" t="s">
        <v>1194</v>
      </c>
      <c r="D764">
        <v>86</v>
      </c>
      <c r="E764" s="1" t="s">
        <v>738</v>
      </c>
    </row>
    <row r="765" spans="1:5" x14ac:dyDescent="0.35">
      <c r="A765" s="1" t="s">
        <v>1314</v>
      </c>
      <c r="B765" s="2">
        <v>45227.751388888893</v>
      </c>
      <c r="C765" s="1" t="s">
        <v>1194</v>
      </c>
      <c r="D765">
        <v>42</v>
      </c>
      <c r="E765" s="1" t="s">
        <v>735</v>
      </c>
    </row>
    <row r="766" spans="1:5" x14ac:dyDescent="0.35">
      <c r="A766" s="1" t="s">
        <v>1171</v>
      </c>
      <c r="B766" s="2">
        <v>45210.836805555547</v>
      </c>
      <c r="C766" s="1" t="s">
        <v>1179</v>
      </c>
      <c r="D766">
        <v>118</v>
      </c>
      <c r="E766" s="1" t="s">
        <v>735</v>
      </c>
    </row>
    <row r="767" spans="1:5" x14ac:dyDescent="0.35">
      <c r="A767" s="1" t="s">
        <v>1294</v>
      </c>
      <c r="B767" s="2">
        <v>45214.160416666673</v>
      </c>
      <c r="C767" s="1" t="s">
        <v>1179</v>
      </c>
      <c r="D767">
        <v>108</v>
      </c>
      <c r="E767" s="1" t="s">
        <v>740</v>
      </c>
    </row>
    <row r="768" spans="1:5" x14ac:dyDescent="0.35">
      <c r="A768" s="1" t="s">
        <v>905</v>
      </c>
      <c r="B768" s="2">
        <v>45226.790277777778</v>
      </c>
      <c r="C768" s="1" t="s">
        <v>935</v>
      </c>
      <c r="D768">
        <v>68</v>
      </c>
      <c r="E768" s="1" t="s">
        <v>740</v>
      </c>
    </row>
    <row r="769" spans="1:5" x14ac:dyDescent="0.35">
      <c r="A769" s="1" t="s">
        <v>1267</v>
      </c>
      <c r="B769" s="2">
        <v>45202.645138888889</v>
      </c>
      <c r="C769" s="1" t="s">
        <v>1278</v>
      </c>
      <c r="D769">
        <v>106</v>
      </c>
      <c r="E769" s="1" t="s">
        <v>740</v>
      </c>
    </row>
    <row r="770" spans="1:5" x14ac:dyDescent="0.35">
      <c r="A770" s="1" t="s">
        <v>1294</v>
      </c>
      <c r="B770" s="2">
        <v>45202.775694444441</v>
      </c>
      <c r="C770" s="1" t="s">
        <v>1278</v>
      </c>
      <c r="D770">
        <v>72</v>
      </c>
      <c r="E770" s="1" t="s">
        <v>735</v>
      </c>
    </row>
    <row r="771" spans="1:5" x14ac:dyDescent="0.35">
      <c r="A771" s="1" t="s">
        <v>1351</v>
      </c>
      <c r="B771" s="2">
        <v>45230.039583333331</v>
      </c>
      <c r="C771" s="1" t="s">
        <v>1278</v>
      </c>
      <c r="D771">
        <v>117</v>
      </c>
      <c r="E771" s="1" t="s">
        <v>738</v>
      </c>
    </row>
    <row r="772" spans="1:5" x14ac:dyDescent="0.35">
      <c r="A772" s="1" t="s">
        <v>864</v>
      </c>
      <c r="B772" s="2">
        <v>45226.623611111107</v>
      </c>
      <c r="C772" s="1" t="s">
        <v>868</v>
      </c>
      <c r="D772">
        <v>98</v>
      </c>
      <c r="E772" s="1" t="s">
        <v>740</v>
      </c>
    </row>
    <row r="773" spans="1:5" x14ac:dyDescent="0.35">
      <c r="A773" s="1" t="s">
        <v>981</v>
      </c>
      <c r="B773" s="2">
        <v>45225.317361111112</v>
      </c>
      <c r="C773" s="1" t="s">
        <v>868</v>
      </c>
      <c r="D773">
        <v>56</v>
      </c>
      <c r="E773" s="1" t="s">
        <v>738</v>
      </c>
    </row>
    <row r="774" spans="1:5" x14ac:dyDescent="0.35">
      <c r="A774" s="1" t="s">
        <v>1294</v>
      </c>
      <c r="B774" s="2">
        <v>45221.861805555563</v>
      </c>
      <c r="C774" s="1" t="s">
        <v>1300</v>
      </c>
      <c r="D774">
        <v>65</v>
      </c>
      <c r="E774" s="1" t="s">
        <v>735</v>
      </c>
    </row>
    <row r="775" spans="1:5" x14ac:dyDescent="0.35">
      <c r="A775" s="1" t="s">
        <v>782</v>
      </c>
      <c r="B775" s="2">
        <v>45206.384027777778</v>
      </c>
      <c r="C775" s="1" t="s">
        <v>805</v>
      </c>
      <c r="D775">
        <v>109</v>
      </c>
      <c r="E775" s="1" t="s">
        <v>740</v>
      </c>
    </row>
    <row r="776" spans="1:5" x14ac:dyDescent="0.35">
      <c r="A776" s="1" t="s">
        <v>1389</v>
      </c>
      <c r="B776" s="2">
        <v>45226.072222222218</v>
      </c>
      <c r="C776" s="1" t="s">
        <v>1408</v>
      </c>
      <c r="D776">
        <v>29</v>
      </c>
      <c r="E776" s="1" t="s">
        <v>740</v>
      </c>
    </row>
    <row r="777" spans="1:5" x14ac:dyDescent="0.35">
      <c r="A777" s="1" t="s">
        <v>1199</v>
      </c>
      <c r="B777" s="2">
        <v>45204.09097222222</v>
      </c>
      <c r="C777" s="1" t="s">
        <v>1214</v>
      </c>
      <c r="D777">
        <v>81</v>
      </c>
      <c r="E777" s="1" t="s">
        <v>735</v>
      </c>
    </row>
    <row r="778" spans="1:5" x14ac:dyDescent="0.35">
      <c r="A778" s="1" t="s">
        <v>905</v>
      </c>
      <c r="B778" s="2">
        <v>45230.911805555559</v>
      </c>
      <c r="C778" s="1" t="s">
        <v>941</v>
      </c>
      <c r="D778">
        <v>16</v>
      </c>
      <c r="E778" s="1" t="s">
        <v>738</v>
      </c>
    </row>
    <row r="779" spans="1:5" x14ac:dyDescent="0.35">
      <c r="A779" s="1" t="s">
        <v>1002</v>
      </c>
      <c r="B779" s="2">
        <v>45221.143055555563</v>
      </c>
      <c r="C779" s="1" t="s">
        <v>941</v>
      </c>
      <c r="D779">
        <v>43</v>
      </c>
      <c r="E779" s="1" t="s">
        <v>735</v>
      </c>
    </row>
    <row r="780" spans="1:5" x14ac:dyDescent="0.35">
      <c r="A780" s="1" t="s">
        <v>1389</v>
      </c>
      <c r="B780" s="2">
        <v>45228.980555555558</v>
      </c>
      <c r="C780" s="1" t="s">
        <v>941</v>
      </c>
      <c r="D780">
        <v>37</v>
      </c>
      <c r="E780" s="1" t="s">
        <v>738</v>
      </c>
    </row>
    <row r="781" spans="1:5" x14ac:dyDescent="0.35">
      <c r="A781" s="1" t="s">
        <v>864</v>
      </c>
      <c r="B781" s="2">
        <v>45215.879861111112</v>
      </c>
      <c r="C781" s="1" t="s">
        <v>883</v>
      </c>
      <c r="D781">
        <v>16</v>
      </c>
      <c r="E781" s="1" t="s">
        <v>738</v>
      </c>
    </row>
    <row r="782" spans="1:5" x14ac:dyDescent="0.35">
      <c r="A782" s="1" t="s">
        <v>1028</v>
      </c>
      <c r="B782" s="2">
        <v>45216.459027777782</v>
      </c>
      <c r="C782" s="1" t="s">
        <v>883</v>
      </c>
      <c r="D782">
        <v>100</v>
      </c>
      <c r="E782" s="1" t="s">
        <v>738</v>
      </c>
    </row>
    <row r="783" spans="1:5" x14ac:dyDescent="0.35">
      <c r="A783" s="1" t="s">
        <v>1267</v>
      </c>
      <c r="B783" s="2">
        <v>45205.640277777777</v>
      </c>
      <c r="C783" s="1" t="s">
        <v>883</v>
      </c>
      <c r="D783">
        <v>52</v>
      </c>
      <c r="E783" s="1" t="s">
        <v>735</v>
      </c>
    </row>
    <row r="784" spans="1:5" x14ac:dyDescent="0.35">
      <c r="A784" s="1" t="s">
        <v>1336</v>
      </c>
      <c r="B784" s="2">
        <v>45211.925000000003</v>
      </c>
      <c r="C784" s="1" t="s">
        <v>883</v>
      </c>
      <c r="D784">
        <v>40</v>
      </c>
      <c r="E784" s="1" t="s">
        <v>740</v>
      </c>
    </row>
    <row r="785" spans="1:5" x14ac:dyDescent="0.35">
      <c r="A785" s="1" t="s">
        <v>981</v>
      </c>
      <c r="B785" s="2">
        <v>45221.988888888889</v>
      </c>
      <c r="C785" s="1" t="s">
        <v>983</v>
      </c>
      <c r="D785">
        <v>72</v>
      </c>
      <c r="E785" s="1" t="s">
        <v>738</v>
      </c>
    </row>
    <row r="786" spans="1:5" x14ac:dyDescent="0.35">
      <c r="A786" s="1" t="s">
        <v>981</v>
      </c>
      <c r="B786" s="2">
        <v>45201.427083333343</v>
      </c>
      <c r="C786" s="1" t="s">
        <v>983</v>
      </c>
      <c r="D786">
        <v>98</v>
      </c>
      <c r="E786" s="1" t="s">
        <v>738</v>
      </c>
    </row>
    <row r="787" spans="1:5" x14ac:dyDescent="0.35">
      <c r="A787" s="1" t="s">
        <v>826</v>
      </c>
      <c r="B787" s="2">
        <v>45201.3125</v>
      </c>
      <c r="C787" s="1" t="s">
        <v>862</v>
      </c>
      <c r="D787">
        <v>90</v>
      </c>
      <c r="E787" s="1" t="s">
        <v>738</v>
      </c>
    </row>
    <row r="788" spans="1:5" x14ac:dyDescent="0.35">
      <c r="A788" s="1" t="s">
        <v>1314</v>
      </c>
      <c r="B788" s="2">
        <v>45203.425694444442</v>
      </c>
      <c r="C788" s="1" t="s">
        <v>1332</v>
      </c>
      <c r="D788">
        <v>62</v>
      </c>
      <c r="E788" s="1" t="s">
        <v>735</v>
      </c>
    </row>
    <row r="789" spans="1:5" x14ac:dyDescent="0.35">
      <c r="A789" s="1" t="s">
        <v>1120</v>
      </c>
      <c r="B789" s="2">
        <v>45215.015972222223</v>
      </c>
      <c r="C789" s="1" t="s">
        <v>1127</v>
      </c>
      <c r="D789">
        <v>74</v>
      </c>
      <c r="E789" s="1" t="s">
        <v>735</v>
      </c>
    </row>
    <row r="790" spans="1:5" x14ac:dyDescent="0.35">
      <c r="A790" s="1" t="s">
        <v>733</v>
      </c>
      <c r="B790" s="2">
        <v>45213.042361111111</v>
      </c>
      <c r="C790" s="1" t="s">
        <v>742</v>
      </c>
      <c r="D790">
        <v>119</v>
      </c>
      <c r="E790" s="1" t="s">
        <v>738</v>
      </c>
    </row>
    <row r="791" spans="1:5" x14ac:dyDescent="0.35">
      <c r="A791" s="1" t="s">
        <v>826</v>
      </c>
      <c r="B791" s="2">
        <v>45213.022916666669</v>
      </c>
      <c r="C791" s="1" t="s">
        <v>742</v>
      </c>
      <c r="D791">
        <v>56</v>
      </c>
      <c r="E791" s="1" t="s">
        <v>740</v>
      </c>
    </row>
    <row r="792" spans="1:5" x14ac:dyDescent="0.35">
      <c r="A792" s="1" t="s">
        <v>1144</v>
      </c>
      <c r="B792" s="2">
        <v>45219.476388888892</v>
      </c>
      <c r="C792" s="1" t="s">
        <v>742</v>
      </c>
      <c r="D792">
        <v>57</v>
      </c>
      <c r="E792" s="1" t="s">
        <v>735</v>
      </c>
    </row>
    <row r="793" spans="1:5" x14ac:dyDescent="0.35">
      <c r="A793" s="1" t="s">
        <v>1225</v>
      </c>
      <c r="B793" s="2">
        <v>45200.925694444442</v>
      </c>
      <c r="C793" s="1" t="s">
        <v>742</v>
      </c>
      <c r="D793">
        <v>76</v>
      </c>
      <c r="E793" s="1" t="s">
        <v>740</v>
      </c>
    </row>
    <row r="794" spans="1:5" x14ac:dyDescent="0.35">
      <c r="A794" s="1" t="s">
        <v>1351</v>
      </c>
      <c r="B794" s="2">
        <v>45218.381944444453</v>
      </c>
      <c r="C794" s="1" t="s">
        <v>742</v>
      </c>
      <c r="D794">
        <v>81</v>
      </c>
      <c r="E794" s="1" t="s">
        <v>738</v>
      </c>
    </row>
    <row r="795" spans="1:5" x14ac:dyDescent="0.35">
      <c r="A795" s="1" t="s">
        <v>864</v>
      </c>
      <c r="B795" s="2">
        <v>45224.552777777782</v>
      </c>
      <c r="C795" s="1" t="s">
        <v>877</v>
      </c>
      <c r="D795">
        <v>60</v>
      </c>
      <c r="E795" s="1" t="s">
        <v>738</v>
      </c>
    </row>
    <row r="796" spans="1:5" x14ac:dyDescent="0.35">
      <c r="A796" s="1" t="s">
        <v>942</v>
      </c>
      <c r="B796" s="2">
        <v>45212.624305555553</v>
      </c>
      <c r="C796" s="1" t="s">
        <v>943</v>
      </c>
      <c r="D796">
        <v>113</v>
      </c>
      <c r="E796" s="1" t="s">
        <v>740</v>
      </c>
    </row>
    <row r="797" spans="1:5" x14ac:dyDescent="0.35">
      <c r="A797" s="1" t="s">
        <v>1091</v>
      </c>
      <c r="B797" s="2">
        <v>45218.242361111108</v>
      </c>
      <c r="C797" s="1" t="s">
        <v>943</v>
      </c>
      <c r="D797">
        <v>64</v>
      </c>
      <c r="E797" s="1" t="s">
        <v>735</v>
      </c>
    </row>
    <row r="798" spans="1:5" x14ac:dyDescent="0.35">
      <c r="A798" s="1" t="s">
        <v>1247</v>
      </c>
      <c r="B798" s="2">
        <v>45202.868055555547</v>
      </c>
      <c r="C798" s="1" t="s">
        <v>943</v>
      </c>
      <c r="D798">
        <v>91</v>
      </c>
      <c r="E798" s="1" t="s">
        <v>738</v>
      </c>
    </row>
    <row r="799" spans="1:5" x14ac:dyDescent="0.35">
      <c r="A799" s="1" t="s">
        <v>733</v>
      </c>
      <c r="B799" s="2">
        <v>45221.997916666667</v>
      </c>
      <c r="C799" s="1" t="s">
        <v>739</v>
      </c>
      <c r="D799">
        <v>79</v>
      </c>
      <c r="E799" s="1" t="s">
        <v>740</v>
      </c>
    </row>
    <row r="800" spans="1:5" x14ac:dyDescent="0.35">
      <c r="A800" s="1" t="s">
        <v>1171</v>
      </c>
      <c r="B800" s="2">
        <v>45207.304861111108</v>
      </c>
      <c r="C800" s="1" t="s">
        <v>739</v>
      </c>
      <c r="D800">
        <v>50</v>
      </c>
      <c r="E800" s="1" t="s">
        <v>738</v>
      </c>
    </row>
    <row r="801" spans="1:5" x14ac:dyDescent="0.35">
      <c r="A801" s="1" t="s">
        <v>1144</v>
      </c>
      <c r="B801" s="2">
        <v>45202.686111111107</v>
      </c>
      <c r="C801" s="1" t="s">
        <v>1165</v>
      </c>
      <c r="D801">
        <v>53</v>
      </c>
      <c r="E801" s="1" t="s">
        <v>735</v>
      </c>
    </row>
    <row r="802" spans="1:5" x14ac:dyDescent="0.35">
      <c r="A802" s="1" t="s">
        <v>1414</v>
      </c>
      <c r="B802" s="2">
        <v>45201.95416666667</v>
      </c>
      <c r="C802" s="1" t="s">
        <v>1419</v>
      </c>
      <c r="D802">
        <v>32</v>
      </c>
      <c r="E802" s="1" t="s">
        <v>738</v>
      </c>
    </row>
    <row r="803" spans="1:5" x14ac:dyDescent="0.35">
      <c r="A803" s="1" t="s">
        <v>1199</v>
      </c>
      <c r="B803" s="2">
        <v>45211.128472222219</v>
      </c>
      <c r="C803" s="1" t="s">
        <v>1212</v>
      </c>
      <c r="D803">
        <v>110</v>
      </c>
      <c r="E803" s="1" t="s">
        <v>738</v>
      </c>
    </row>
    <row r="804" spans="1:5" x14ac:dyDescent="0.35">
      <c r="A804" s="1" t="s">
        <v>1144</v>
      </c>
      <c r="B804" s="2">
        <v>45207.070833333331</v>
      </c>
      <c r="C804" s="1" t="s">
        <v>1151</v>
      </c>
      <c r="D804">
        <v>94</v>
      </c>
      <c r="E804" s="1" t="s">
        <v>738</v>
      </c>
    </row>
    <row r="805" spans="1:5" x14ac:dyDescent="0.35">
      <c r="A805" s="1" t="s">
        <v>942</v>
      </c>
      <c r="B805" s="2">
        <v>45221.724999999999</v>
      </c>
      <c r="C805" s="1" t="s">
        <v>958</v>
      </c>
      <c r="D805">
        <v>55</v>
      </c>
      <c r="E805" s="1" t="s">
        <v>738</v>
      </c>
    </row>
    <row r="806" spans="1:5" x14ac:dyDescent="0.35">
      <c r="A806" s="1" t="s">
        <v>1389</v>
      </c>
      <c r="B806" s="2">
        <v>45203.603472222218</v>
      </c>
      <c r="C806" s="1" t="s">
        <v>1390</v>
      </c>
      <c r="D806">
        <v>106</v>
      </c>
      <c r="E806" s="1" t="s">
        <v>738</v>
      </c>
    </row>
    <row r="807" spans="1:5" x14ac:dyDescent="0.35">
      <c r="A807" s="1" t="s">
        <v>1225</v>
      </c>
      <c r="B807" s="2">
        <v>45221.647916666669</v>
      </c>
      <c r="C807" s="1" t="s">
        <v>1242</v>
      </c>
      <c r="D807">
        <v>67</v>
      </c>
      <c r="E807" s="1" t="s">
        <v>735</v>
      </c>
    </row>
    <row r="808" spans="1:5" x14ac:dyDescent="0.35">
      <c r="A808" s="1" t="s">
        <v>1294</v>
      </c>
      <c r="B808" s="2">
        <v>45217.29583333333</v>
      </c>
      <c r="C808" s="1" t="s">
        <v>1296</v>
      </c>
      <c r="D808">
        <v>119</v>
      </c>
      <c r="E808" s="1" t="s">
        <v>735</v>
      </c>
    </row>
    <row r="809" spans="1:5" x14ac:dyDescent="0.35">
      <c r="A809" s="1" t="s">
        <v>1120</v>
      </c>
      <c r="B809" s="2">
        <v>45222.938194444447</v>
      </c>
      <c r="C809" s="1" t="s">
        <v>1143</v>
      </c>
      <c r="D809">
        <v>36</v>
      </c>
      <c r="E809" s="1" t="s">
        <v>735</v>
      </c>
    </row>
    <row r="810" spans="1:5" x14ac:dyDescent="0.35">
      <c r="A810" s="1" t="s">
        <v>782</v>
      </c>
      <c r="B810" s="2">
        <v>45213.948611111111</v>
      </c>
      <c r="C810" s="1" t="s">
        <v>802</v>
      </c>
      <c r="D810">
        <v>72</v>
      </c>
      <c r="E810" s="1" t="s">
        <v>738</v>
      </c>
    </row>
    <row r="811" spans="1:5" x14ac:dyDescent="0.35">
      <c r="A811" s="1" t="s">
        <v>1225</v>
      </c>
      <c r="B811" s="2">
        <v>45211.38958333333</v>
      </c>
      <c r="C811" s="1" t="s">
        <v>1230</v>
      </c>
      <c r="D811">
        <v>76</v>
      </c>
      <c r="E811" s="1" t="s">
        <v>738</v>
      </c>
    </row>
    <row r="812" spans="1:5" x14ac:dyDescent="0.35">
      <c r="A812" s="1" t="s">
        <v>826</v>
      </c>
      <c r="B812" s="2">
        <v>45212.929166666669</v>
      </c>
      <c r="C812" s="1" t="s">
        <v>845</v>
      </c>
      <c r="D812">
        <v>118</v>
      </c>
      <c r="E812" s="1" t="s">
        <v>740</v>
      </c>
    </row>
    <row r="813" spans="1:5" x14ac:dyDescent="0.35">
      <c r="A813" s="1" t="s">
        <v>864</v>
      </c>
      <c r="B813" s="2">
        <v>45215.143750000003</v>
      </c>
      <c r="C813" s="1" t="s">
        <v>902</v>
      </c>
      <c r="D813">
        <v>107</v>
      </c>
      <c r="E813" s="1" t="s">
        <v>738</v>
      </c>
    </row>
    <row r="814" spans="1:5" x14ac:dyDescent="0.35">
      <c r="A814" s="1" t="s">
        <v>1002</v>
      </c>
      <c r="B814" s="2">
        <v>45215.811111111107</v>
      </c>
      <c r="C814" s="1" t="s">
        <v>902</v>
      </c>
      <c r="D814">
        <v>7</v>
      </c>
      <c r="E814" s="1" t="s">
        <v>740</v>
      </c>
    </row>
    <row r="815" spans="1:5" x14ac:dyDescent="0.35">
      <c r="A815" s="1" t="s">
        <v>942</v>
      </c>
      <c r="B815" s="2">
        <v>45223.102083333331</v>
      </c>
      <c r="C815" s="1" t="s">
        <v>963</v>
      </c>
      <c r="D815">
        <v>104</v>
      </c>
      <c r="E815" s="1" t="s">
        <v>738</v>
      </c>
    </row>
    <row r="816" spans="1:5" x14ac:dyDescent="0.35">
      <c r="A816" s="1" t="s">
        <v>1247</v>
      </c>
      <c r="B816" s="2">
        <v>45201.04583333333</v>
      </c>
      <c r="C816" s="1" t="s">
        <v>963</v>
      </c>
      <c r="D816">
        <v>83</v>
      </c>
      <c r="E816" s="1" t="s">
        <v>738</v>
      </c>
    </row>
    <row r="817" spans="1:5" x14ac:dyDescent="0.35">
      <c r="A817" s="1" t="s">
        <v>1267</v>
      </c>
      <c r="B817" s="2">
        <v>45218.906944444447</v>
      </c>
      <c r="C817" s="1" t="s">
        <v>963</v>
      </c>
      <c r="D817">
        <v>8</v>
      </c>
      <c r="E817" s="1" t="s">
        <v>740</v>
      </c>
    </row>
    <row r="818" spans="1:5" x14ac:dyDescent="0.35">
      <c r="A818" s="1" t="s">
        <v>1063</v>
      </c>
      <c r="B818" s="2">
        <v>45210.168055555558</v>
      </c>
      <c r="C818" s="1" t="s">
        <v>1079</v>
      </c>
      <c r="D818">
        <v>110</v>
      </c>
      <c r="E818" s="1" t="s">
        <v>735</v>
      </c>
    </row>
    <row r="819" spans="1:5" x14ac:dyDescent="0.35">
      <c r="A819" s="1" t="s">
        <v>826</v>
      </c>
      <c r="B819" s="2">
        <v>45209.524305555547</v>
      </c>
      <c r="C819" s="1" t="s">
        <v>850</v>
      </c>
      <c r="D819">
        <v>27</v>
      </c>
      <c r="E819" s="1" t="s">
        <v>740</v>
      </c>
    </row>
    <row r="820" spans="1:5" x14ac:dyDescent="0.35">
      <c r="A820" s="1" t="s">
        <v>1225</v>
      </c>
      <c r="B820" s="2">
        <v>45212.754861111112</v>
      </c>
      <c r="C820" s="1" t="s">
        <v>850</v>
      </c>
      <c r="D820">
        <v>112</v>
      </c>
      <c r="E820" s="1" t="s">
        <v>740</v>
      </c>
    </row>
    <row r="821" spans="1:5" x14ac:dyDescent="0.35">
      <c r="A821" s="1" t="s">
        <v>1414</v>
      </c>
      <c r="B821" s="2">
        <v>45221.167361111111</v>
      </c>
      <c r="C821" s="1" t="s">
        <v>850</v>
      </c>
      <c r="D821">
        <v>78</v>
      </c>
      <c r="E821" s="1" t="s">
        <v>738</v>
      </c>
    </row>
    <row r="822" spans="1:5" x14ac:dyDescent="0.35">
      <c r="A822" s="1" t="s">
        <v>1314</v>
      </c>
      <c r="B822" s="2">
        <v>45230.767361111109</v>
      </c>
      <c r="C822" s="1" t="s">
        <v>1317</v>
      </c>
      <c r="D822">
        <v>16</v>
      </c>
      <c r="E822" s="1" t="s">
        <v>740</v>
      </c>
    </row>
    <row r="823" spans="1:5" x14ac:dyDescent="0.35">
      <c r="A823" s="1" t="s">
        <v>826</v>
      </c>
      <c r="B823" s="2">
        <v>45211.993055555547</v>
      </c>
      <c r="C823" s="1" t="s">
        <v>831</v>
      </c>
      <c r="D823">
        <v>29</v>
      </c>
      <c r="E823" s="1" t="s">
        <v>738</v>
      </c>
    </row>
    <row r="824" spans="1:5" x14ac:dyDescent="0.35">
      <c r="A824" s="1" t="s">
        <v>905</v>
      </c>
      <c r="B824" s="2">
        <v>45205.018055555563</v>
      </c>
      <c r="C824" s="1" t="s">
        <v>925</v>
      </c>
      <c r="D824">
        <v>67</v>
      </c>
      <c r="E824" s="1" t="s">
        <v>740</v>
      </c>
    </row>
    <row r="825" spans="1:5" x14ac:dyDescent="0.35">
      <c r="A825" s="1" t="s">
        <v>1120</v>
      </c>
      <c r="B825" s="2">
        <v>45201.922222222223</v>
      </c>
      <c r="C825" s="1" t="s">
        <v>925</v>
      </c>
      <c r="D825">
        <v>32</v>
      </c>
      <c r="E825" s="1" t="s">
        <v>735</v>
      </c>
    </row>
    <row r="826" spans="1:5" x14ac:dyDescent="0.35">
      <c r="A826" s="1" t="s">
        <v>1144</v>
      </c>
      <c r="B826" s="2">
        <v>45209.921527777777</v>
      </c>
      <c r="C826" s="1" t="s">
        <v>925</v>
      </c>
      <c r="D826">
        <v>119</v>
      </c>
      <c r="E826" s="1" t="s">
        <v>735</v>
      </c>
    </row>
    <row r="827" spans="1:5" x14ac:dyDescent="0.35">
      <c r="A827" s="1" t="s">
        <v>1225</v>
      </c>
      <c r="B827" s="2">
        <v>45200.98541666667</v>
      </c>
      <c r="C827" s="1" t="s">
        <v>925</v>
      </c>
      <c r="D827">
        <v>29</v>
      </c>
      <c r="E827" s="1" t="s">
        <v>740</v>
      </c>
    </row>
    <row r="828" spans="1:5" x14ac:dyDescent="0.35">
      <c r="A828" s="1" t="s">
        <v>1314</v>
      </c>
      <c r="B828" s="2">
        <v>45223.436111111107</v>
      </c>
      <c r="C828" s="1" t="s">
        <v>925</v>
      </c>
      <c r="D828">
        <v>26</v>
      </c>
      <c r="E828" s="1" t="s">
        <v>735</v>
      </c>
    </row>
    <row r="829" spans="1:5" x14ac:dyDescent="0.35">
      <c r="A829" s="1" t="s">
        <v>864</v>
      </c>
      <c r="B829" s="2">
        <v>45220.117361111108</v>
      </c>
      <c r="C829" s="1" t="s">
        <v>880</v>
      </c>
      <c r="D829">
        <v>39</v>
      </c>
      <c r="E829" s="1" t="s">
        <v>735</v>
      </c>
    </row>
    <row r="830" spans="1:5" x14ac:dyDescent="0.35">
      <c r="A830" s="1" t="s">
        <v>905</v>
      </c>
      <c r="B830" s="2">
        <v>45209.954861111109</v>
      </c>
      <c r="C830" s="1" t="s">
        <v>927</v>
      </c>
      <c r="D830">
        <v>57</v>
      </c>
      <c r="E830" s="1" t="s">
        <v>735</v>
      </c>
    </row>
    <row r="831" spans="1:5" x14ac:dyDescent="0.35">
      <c r="A831" s="1" t="s">
        <v>1225</v>
      </c>
      <c r="B831" s="2">
        <v>45218.558333333327</v>
      </c>
      <c r="C831" s="1" t="s">
        <v>927</v>
      </c>
      <c r="D831">
        <v>54</v>
      </c>
      <c r="E831" s="1" t="s">
        <v>740</v>
      </c>
    </row>
    <row r="832" spans="1:5" x14ac:dyDescent="0.35">
      <c r="A832" s="1" t="s">
        <v>733</v>
      </c>
      <c r="B832" s="2">
        <v>45220.94027777778</v>
      </c>
      <c r="C832" s="1" t="s">
        <v>746</v>
      </c>
      <c r="D832">
        <v>33</v>
      </c>
      <c r="E832" s="1" t="s">
        <v>740</v>
      </c>
    </row>
    <row r="833" spans="1:5" x14ac:dyDescent="0.35">
      <c r="A833" s="1" t="s">
        <v>733</v>
      </c>
      <c r="B833" s="2">
        <v>45227.48333333333</v>
      </c>
      <c r="C833" s="1" t="s">
        <v>746</v>
      </c>
      <c r="D833">
        <v>81</v>
      </c>
      <c r="E833" s="1" t="s">
        <v>738</v>
      </c>
    </row>
    <row r="834" spans="1:5" x14ac:dyDescent="0.35">
      <c r="A834" s="1" t="s">
        <v>1091</v>
      </c>
      <c r="B834" s="2">
        <v>45203.67291666667</v>
      </c>
      <c r="C834" s="1" t="s">
        <v>1109</v>
      </c>
      <c r="D834">
        <v>82</v>
      </c>
      <c r="E834" s="1" t="s">
        <v>735</v>
      </c>
    </row>
    <row r="835" spans="1:5" x14ac:dyDescent="0.35">
      <c r="A835" s="1" t="s">
        <v>1144</v>
      </c>
      <c r="B835" s="2">
        <v>45225.061805555553</v>
      </c>
      <c r="C835" s="1" t="s">
        <v>1166</v>
      </c>
      <c r="D835">
        <v>15</v>
      </c>
      <c r="E835" s="1" t="s">
        <v>740</v>
      </c>
    </row>
    <row r="836" spans="1:5" x14ac:dyDescent="0.35">
      <c r="A836" s="1" t="s">
        <v>1336</v>
      </c>
      <c r="B836" s="2">
        <v>45205.365972222222</v>
      </c>
      <c r="C836" s="1" t="s">
        <v>1166</v>
      </c>
      <c r="D836">
        <v>32</v>
      </c>
      <c r="E836" s="1" t="s">
        <v>735</v>
      </c>
    </row>
    <row r="837" spans="1:5" x14ac:dyDescent="0.35">
      <c r="A837" s="1" t="s">
        <v>826</v>
      </c>
      <c r="B837" s="2">
        <v>45214.613194444442</v>
      </c>
      <c r="C837" s="1" t="s">
        <v>853</v>
      </c>
      <c r="D837">
        <v>11</v>
      </c>
      <c r="E837" s="1" t="s">
        <v>740</v>
      </c>
    </row>
    <row r="838" spans="1:5" x14ac:dyDescent="0.35">
      <c r="A838" s="1" t="s">
        <v>1225</v>
      </c>
      <c r="B838" s="2">
        <v>45215.479166666657</v>
      </c>
      <c r="C838" s="1" t="s">
        <v>853</v>
      </c>
      <c r="D838">
        <v>67</v>
      </c>
      <c r="E838" s="1" t="s">
        <v>740</v>
      </c>
    </row>
    <row r="839" spans="1:5" x14ac:dyDescent="0.35">
      <c r="A839" s="1" t="s">
        <v>942</v>
      </c>
      <c r="B839" s="2">
        <v>45210.280555555553</v>
      </c>
      <c r="C839" s="1" t="s">
        <v>944</v>
      </c>
      <c r="D839">
        <v>43</v>
      </c>
      <c r="E839" s="1" t="s">
        <v>738</v>
      </c>
    </row>
    <row r="840" spans="1:5" x14ac:dyDescent="0.35">
      <c r="A840" s="1" t="s">
        <v>1368</v>
      </c>
      <c r="B840" s="2">
        <v>45211.904861111107</v>
      </c>
      <c r="C840" s="1" t="s">
        <v>944</v>
      </c>
      <c r="D840">
        <v>45</v>
      </c>
      <c r="E840" s="1" t="s">
        <v>740</v>
      </c>
    </row>
    <row r="841" spans="1:5" x14ac:dyDescent="0.35">
      <c r="A841" s="1" t="s">
        <v>1199</v>
      </c>
      <c r="B841" s="2">
        <v>45202.095138888893</v>
      </c>
      <c r="C841" s="1" t="s">
        <v>1210</v>
      </c>
      <c r="D841">
        <v>61</v>
      </c>
      <c r="E841" s="1" t="s">
        <v>738</v>
      </c>
    </row>
    <row r="842" spans="1:5" x14ac:dyDescent="0.35">
      <c r="A842" s="1" t="s">
        <v>1028</v>
      </c>
      <c r="B842" s="2">
        <v>45205.052083333343</v>
      </c>
      <c r="C842" s="1" t="s">
        <v>1039</v>
      </c>
      <c r="D842">
        <v>81</v>
      </c>
      <c r="E842" s="1" t="s">
        <v>740</v>
      </c>
    </row>
    <row r="843" spans="1:5" x14ac:dyDescent="0.35">
      <c r="A843" s="1" t="s">
        <v>1120</v>
      </c>
      <c r="B843" s="2">
        <v>45220.927777777782</v>
      </c>
      <c r="C843" s="1" t="s">
        <v>1039</v>
      </c>
      <c r="D843">
        <v>22</v>
      </c>
      <c r="E843" s="1" t="s">
        <v>738</v>
      </c>
    </row>
    <row r="844" spans="1:5" x14ac:dyDescent="0.35">
      <c r="A844" s="1" t="s">
        <v>782</v>
      </c>
      <c r="B844" s="2">
        <v>45213.645833333343</v>
      </c>
      <c r="C844" s="1" t="s">
        <v>798</v>
      </c>
      <c r="D844">
        <v>95</v>
      </c>
      <c r="E844" s="1" t="s">
        <v>735</v>
      </c>
    </row>
    <row r="845" spans="1:5" x14ac:dyDescent="0.35">
      <c r="A845" s="1" t="s">
        <v>1120</v>
      </c>
      <c r="B845" s="2">
        <v>45222.834027777782</v>
      </c>
      <c r="C845" s="1" t="s">
        <v>798</v>
      </c>
      <c r="D845">
        <v>109</v>
      </c>
      <c r="E845" s="1" t="s">
        <v>738</v>
      </c>
    </row>
    <row r="846" spans="1:5" x14ac:dyDescent="0.35">
      <c r="A846" s="1" t="s">
        <v>905</v>
      </c>
      <c r="B846" s="2">
        <v>45215.10833333333</v>
      </c>
      <c r="C846" s="1" t="s">
        <v>909</v>
      </c>
      <c r="D846">
        <v>39</v>
      </c>
      <c r="E846" s="1" t="s">
        <v>740</v>
      </c>
    </row>
    <row r="847" spans="1:5" x14ac:dyDescent="0.35">
      <c r="A847" s="1" t="s">
        <v>1225</v>
      </c>
      <c r="B847" s="2">
        <v>45214.272916666669</v>
      </c>
      <c r="C847" s="1" t="s">
        <v>909</v>
      </c>
      <c r="D847">
        <v>26</v>
      </c>
      <c r="E847" s="1" t="s">
        <v>738</v>
      </c>
    </row>
    <row r="848" spans="1:5" x14ac:dyDescent="0.35">
      <c r="A848" s="1" t="s">
        <v>1389</v>
      </c>
      <c r="B848" s="2">
        <v>45217.944444444453</v>
      </c>
      <c r="C848" s="1" t="s">
        <v>1403</v>
      </c>
      <c r="D848">
        <v>33</v>
      </c>
      <c r="E848" s="1" t="s">
        <v>735</v>
      </c>
    </row>
    <row r="849" spans="1:5" x14ac:dyDescent="0.35">
      <c r="A849" s="1" t="s">
        <v>1225</v>
      </c>
      <c r="B849" s="2">
        <v>45216.232638888891</v>
      </c>
      <c r="C849" s="1" t="s">
        <v>1235</v>
      </c>
      <c r="D849">
        <v>11</v>
      </c>
      <c r="E849" s="1" t="s">
        <v>740</v>
      </c>
    </row>
    <row r="850" spans="1:5" x14ac:dyDescent="0.35">
      <c r="A850" s="1" t="s">
        <v>826</v>
      </c>
      <c r="B850" s="2">
        <v>45206.6875</v>
      </c>
      <c r="C850" s="1" t="s">
        <v>854</v>
      </c>
      <c r="D850">
        <v>76</v>
      </c>
      <c r="E850" s="1" t="s">
        <v>740</v>
      </c>
    </row>
    <row r="851" spans="1:5" x14ac:dyDescent="0.35">
      <c r="A851" s="1" t="s">
        <v>1028</v>
      </c>
      <c r="B851" s="2">
        <v>45216.693749999999</v>
      </c>
      <c r="C851" s="1" t="s">
        <v>854</v>
      </c>
      <c r="D851">
        <v>24</v>
      </c>
      <c r="E851" s="1" t="s">
        <v>740</v>
      </c>
    </row>
    <row r="852" spans="1:5" x14ac:dyDescent="0.35">
      <c r="A852" s="1" t="s">
        <v>733</v>
      </c>
      <c r="B852" s="2">
        <v>45227.329861111109</v>
      </c>
      <c r="C852" s="1" t="s">
        <v>762</v>
      </c>
      <c r="D852">
        <v>81</v>
      </c>
      <c r="E852" s="1" t="s">
        <v>738</v>
      </c>
    </row>
    <row r="853" spans="1:5" x14ac:dyDescent="0.35">
      <c r="A853" s="1" t="s">
        <v>1002</v>
      </c>
      <c r="B853" s="2">
        <v>45209.904861111107</v>
      </c>
      <c r="C853" s="1" t="s">
        <v>762</v>
      </c>
      <c r="D853">
        <v>45</v>
      </c>
      <c r="E853" s="1" t="s">
        <v>740</v>
      </c>
    </row>
    <row r="854" spans="1:5" x14ac:dyDescent="0.35">
      <c r="A854" s="1" t="s">
        <v>1063</v>
      </c>
      <c r="B854" s="2">
        <v>45220.428472222222</v>
      </c>
      <c r="C854" s="1" t="s">
        <v>762</v>
      </c>
      <c r="D854">
        <v>26</v>
      </c>
      <c r="E854" s="1" t="s">
        <v>740</v>
      </c>
    </row>
    <row r="855" spans="1:5" x14ac:dyDescent="0.35">
      <c r="A855" s="1" t="s">
        <v>1247</v>
      </c>
      <c r="B855" s="2">
        <v>45222.478472222218</v>
      </c>
      <c r="C855" s="1" t="s">
        <v>762</v>
      </c>
      <c r="D855">
        <v>72</v>
      </c>
      <c r="E855" s="1" t="s">
        <v>738</v>
      </c>
    </row>
    <row r="856" spans="1:5" x14ac:dyDescent="0.35">
      <c r="A856" s="1" t="s">
        <v>1225</v>
      </c>
      <c r="B856" s="2">
        <v>45209.581944444442</v>
      </c>
      <c r="C856" s="1" t="s">
        <v>1228</v>
      </c>
      <c r="D856">
        <v>93</v>
      </c>
      <c r="E856" s="1" t="s">
        <v>738</v>
      </c>
    </row>
    <row r="857" spans="1:5" x14ac:dyDescent="0.35">
      <c r="A857" s="1" t="s">
        <v>1063</v>
      </c>
      <c r="B857" s="2">
        <v>45201.457638888889</v>
      </c>
      <c r="C857" s="1" t="s">
        <v>1086</v>
      </c>
      <c r="D857">
        <v>42</v>
      </c>
      <c r="E857" s="1" t="s">
        <v>740</v>
      </c>
    </row>
    <row r="858" spans="1:5" x14ac:dyDescent="0.35">
      <c r="A858" s="1" t="s">
        <v>1247</v>
      </c>
      <c r="B858" s="2">
        <v>45204.84652777778</v>
      </c>
      <c r="C858" s="1" t="s">
        <v>1256</v>
      </c>
      <c r="D858">
        <v>16</v>
      </c>
      <c r="E858" s="1" t="s">
        <v>740</v>
      </c>
    </row>
    <row r="859" spans="1:5" x14ac:dyDescent="0.35">
      <c r="A859" s="1" t="s">
        <v>1389</v>
      </c>
      <c r="B859" s="2">
        <v>45221.339583333327</v>
      </c>
      <c r="C859" s="1" t="s">
        <v>1256</v>
      </c>
      <c r="D859">
        <v>97</v>
      </c>
      <c r="E859" s="1" t="s">
        <v>738</v>
      </c>
    </row>
    <row r="860" spans="1:5" x14ac:dyDescent="0.35">
      <c r="A860" s="1" t="s">
        <v>1028</v>
      </c>
      <c r="B860" s="2">
        <v>45220.11041666667</v>
      </c>
      <c r="C860" s="1" t="s">
        <v>1031</v>
      </c>
      <c r="D860">
        <v>111</v>
      </c>
      <c r="E860" s="1" t="s">
        <v>740</v>
      </c>
    </row>
    <row r="861" spans="1:5" x14ac:dyDescent="0.35">
      <c r="A861" s="1" t="s">
        <v>1351</v>
      </c>
      <c r="B861" s="2">
        <v>45228.880555555559</v>
      </c>
      <c r="C861" s="1" t="s">
        <v>1031</v>
      </c>
      <c r="D861">
        <v>112</v>
      </c>
      <c r="E861" s="1" t="s">
        <v>740</v>
      </c>
    </row>
    <row r="862" spans="1:5" x14ac:dyDescent="0.35">
      <c r="A862" s="1" t="s">
        <v>1199</v>
      </c>
      <c r="B862" s="2">
        <v>45213.328472222223</v>
      </c>
      <c r="C862" s="1" t="s">
        <v>1203</v>
      </c>
      <c r="D862">
        <v>22</v>
      </c>
      <c r="E862" s="1" t="s">
        <v>740</v>
      </c>
    </row>
    <row r="863" spans="1:5" x14ac:dyDescent="0.35">
      <c r="A863" s="1" t="s">
        <v>942</v>
      </c>
      <c r="B863" s="2">
        <v>45210.054166666669</v>
      </c>
      <c r="C863" s="1" t="s">
        <v>968</v>
      </c>
      <c r="D863">
        <v>68</v>
      </c>
      <c r="E863" s="1" t="s">
        <v>740</v>
      </c>
    </row>
    <row r="864" spans="1:5" x14ac:dyDescent="0.35">
      <c r="A864" s="1" t="s">
        <v>942</v>
      </c>
      <c r="B864" s="2">
        <v>45227.839583333327</v>
      </c>
      <c r="C864" s="1" t="s">
        <v>953</v>
      </c>
      <c r="D864">
        <v>94</v>
      </c>
      <c r="E864" s="1" t="s">
        <v>740</v>
      </c>
    </row>
    <row r="865" spans="1:5" x14ac:dyDescent="0.35">
      <c r="A865" s="1" t="s">
        <v>1389</v>
      </c>
      <c r="B865" s="2">
        <v>45200.67083333333</v>
      </c>
      <c r="C865" s="1" t="s">
        <v>1405</v>
      </c>
      <c r="D865">
        <v>74</v>
      </c>
      <c r="E865" s="1" t="s">
        <v>740</v>
      </c>
    </row>
    <row r="866" spans="1:5" x14ac:dyDescent="0.35">
      <c r="A866" s="1" t="s">
        <v>1063</v>
      </c>
      <c r="B866" s="2">
        <v>45211.106249999997</v>
      </c>
      <c r="C866" s="1" t="s">
        <v>1072</v>
      </c>
      <c r="D866">
        <v>107</v>
      </c>
      <c r="E866" s="1" t="s">
        <v>735</v>
      </c>
    </row>
    <row r="867" spans="1:5" x14ac:dyDescent="0.35">
      <c r="A867" s="1" t="s">
        <v>1368</v>
      </c>
      <c r="B867" s="2">
        <v>45227.660416666673</v>
      </c>
      <c r="C867" s="1" t="s">
        <v>1072</v>
      </c>
      <c r="D867">
        <v>67</v>
      </c>
      <c r="E867" s="1" t="s">
        <v>740</v>
      </c>
    </row>
    <row r="868" spans="1:5" x14ac:dyDescent="0.35">
      <c r="A868" s="1" t="s">
        <v>864</v>
      </c>
      <c r="B868" s="2">
        <v>45211.234722222223</v>
      </c>
      <c r="C868" s="1" t="s">
        <v>886</v>
      </c>
      <c r="D868">
        <v>62</v>
      </c>
      <c r="E868" s="1" t="s">
        <v>740</v>
      </c>
    </row>
    <row r="869" spans="1:5" x14ac:dyDescent="0.35">
      <c r="A869" s="1" t="s">
        <v>981</v>
      </c>
      <c r="B869" s="2">
        <v>45200.493055555547</v>
      </c>
      <c r="C869" s="1" t="s">
        <v>1000</v>
      </c>
      <c r="D869">
        <v>113</v>
      </c>
      <c r="E869" s="1" t="s">
        <v>735</v>
      </c>
    </row>
    <row r="870" spans="1:5" x14ac:dyDescent="0.35">
      <c r="A870" s="1" t="s">
        <v>1247</v>
      </c>
      <c r="B870" s="2">
        <v>45220.469444444447</v>
      </c>
      <c r="C870" s="1" t="s">
        <v>1000</v>
      </c>
      <c r="D870">
        <v>17</v>
      </c>
      <c r="E870" s="1" t="s">
        <v>738</v>
      </c>
    </row>
    <row r="871" spans="1:5" x14ac:dyDescent="0.35">
      <c r="A871" s="1" t="s">
        <v>1171</v>
      </c>
      <c r="B871" s="2">
        <v>45211.705555555563</v>
      </c>
      <c r="C871" s="1" t="s">
        <v>1189</v>
      </c>
      <c r="D871">
        <v>95</v>
      </c>
      <c r="E871" s="1" t="s">
        <v>738</v>
      </c>
    </row>
    <row r="872" spans="1:5" x14ac:dyDescent="0.35">
      <c r="A872" s="1" t="s">
        <v>1199</v>
      </c>
      <c r="B872" s="2">
        <v>45207.772916666669</v>
      </c>
      <c r="C872" s="1" t="s">
        <v>1189</v>
      </c>
      <c r="D872">
        <v>55</v>
      </c>
      <c r="E872" s="1" t="s">
        <v>738</v>
      </c>
    </row>
    <row r="873" spans="1:5" x14ac:dyDescent="0.35">
      <c r="A873" s="1" t="s">
        <v>1199</v>
      </c>
      <c r="B873" s="2">
        <v>45205.89166666667</v>
      </c>
      <c r="C873" s="1" t="s">
        <v>1189</v>
      </c>
      <c r="D873">
        <v>45</v>
      </c>
      <c r="E873" s="1" t="s">
        <v>738</v>
      </c>
    </row>
    <row r="874" spans="1:5" x14ac:dyDescent="0.35">
      <c r="A874" s="1" t="s">
        <v>1199</v>
      </c>
      <c r="B874" s="2">
        <v>45203.003472222219</v>
      </c>
      <c r="C874" s="1" t="s">
        <v>1216</v>
      </c>
      <c r="D874">
        <v>46</v>
      </c>
      <c r="E874" s="1" t="s">
        <v>738</v>
      </c>
    </row>
    <row r="875" spans="1:5" x14ac:dyDescent="0.35">
      <c r="A875" s="1" t="s">
        <v>905</v>
      </c>
      <c r="B875" s="2">
        <v>45210.802777777782</v>
      </c>
      <c r="C875" s="1" t="s">
        <v>940</v>
      </c>
      <c r="D875">
        <v>9</v>
      </c>
      <c r="E875" s="1" t="s">
        <v>738</v>
      </c>
    </row>
    <row r="876" spans="1:5" x14ac:dyDescent="0.35">
      <c r="A876" s="1" t="s">
        <v>1414</v>
      </c>
      <c r="B876" s="2">
        <v>45221.578472222223</v>
      </c>
      <c r="C876" s="1" t="s">
        <v>940</v>
      </c>
      <c r="D876">
        <v>76</v>
      </c>
      <c r="E876" s="1" t="s">
        <v>740</v>
      </c>
    </row>
    <row r="877" spans="1:5" x14ac:dyDescent="0.35">
      <c r="A877" s="1" t="s">
        <v>1314</v>
      </c>
      <c r="B877" s="2">
        <v>45212.774305555547</v>
      </c>
      <c r="C877" s="1" t="s">
        <v>1334</v>
      </c>
      <c r="D877">
        <v>33</v>
      </c>
      <c r="E877" s="1" t="s">
        <v>735</v>
      </c>
    </row>
    <row r="878" spans="1:5" x14ac:dyDescent="0.35">
      <c r="A878" s="1" t="s">
        <v>1002</v>
      </c>
      <c r="B878" s="2">
        <v>45207.57916666667</v>
      </c>
      <c r="C878" s="1" t="s">
        <v>1008</v>
      </c>
      <c r="D878">
        <v>68</v>
      </c>
      <c r="E878" s="1" t="s">
        <v>735</v>
      </c>
    </row>
    <row r="879" spans="1:5" x14ac:dyDescent="0.35">
      <c r="A879" s="1" t="s">
        <v>1028</v>
      </c>
      <c r="B879" s="2">
        <v>45227.915277777778</v>
      </c>
      <c r="C879" s="1" t="s">
        <v>1008</v>
      </c>
      <c r="D879">
        <v>26</v>
      </c>
      <c r="E879" s="1" t="s">
        <v>738</v>
      </c>
    </row>
    <row r="880" spans="1:5" x14ac:dyDescent="0.35">
      <c r="A880" s="1" t="s">
        <v>1063</v>
      </c>
      <c r="B880" s="2">
        <v>45218.991666666669</v>
      </c>
      <c r="C880" s="1" t="s">
        <v>1008</v>
      </c>
      <c r="D880">
        <v>82</v>
      </c>
      <c r="E880" s="1" t="s">
        <v>735</v>
      </c>
    </row>
    <row r="881" spans="1:5" x14ac:dyDescent="0.35">
      <c r="A881" s="1" t="s">
        <v>1336</v>
      </c>
      <c r="B881" s="2">
        <v>45218.287499999999</v>
      </c>
      <c r="C881" s="1" t="s">
        <v>1350</v>
      </c>
      <c r="D881">
        <v>71</v>
      </c>
      <c r="E881" s="1" t="s">
        <v>740</v>
      </c>
    </row>
    <row r="882" spans="1:5" x14ac:dyDescent="0.35">
      <c r="A882" s="1" t="s">
        <v>942</v>
      </c>
      <c r="B882" s="2">
        <v>45222.353472222218</v>
      </c>
      <c r="C882" s="1" t="s">
        <v>980</v>
      </c>
      <c r="D882">
        <v>101</v>
      </c>
      <c r="E882" s="1" t="s">
        <v>738</v>
      </c>
    </row>
    <row r="883" spans="1:5" x14ac:dyDescent="0.35">
      <c r="A883" s="1" t="s">
        <v>1171</v>
      </c>
      <c r="B883" s="2">
        <v>45223.252083333333</v>
      </c>
      <c r="C883" s="1" t="s">
        <v>980</v>
      </c>
      <c r="D883">
        <v>12</v>
      </c>
      <c r="E883" s="1" t="s">
        <v>738</v>
      </c>
    </row>
    <row r="884" spans="1:5" x14ac:dyDescent="0.35">
      <c r="A884" s="1" t="s">
        <v>1294</v>
      </c>
      <c r="B884" s="2">
        <v>45214.740972222222</v>
      </c>
      <c r="C884" s="1" t="s">
        <v>980</v>
      </c>
      <c r="D884">
        <v>8</v>
      </c>
      <c r="E884" s="1" t="s">
        <v>735</v>
      </c>
    </row>
    <row r="885" spans="1:5" x14ac:dyDescent="0.35">
      <c r="A885" s="1" t="s">
        <v>1314</v>
      </c>
      <c r="B885" s="2">
        <v>45207.472222222219</v>
      </c>
      <c r="C885" s="1" t="s">
        <v>1320</v>
      </c>
      <c r="D885">
        <v>30</v>
      </c>
      <c r="E885" s="1" t="s">
        <v>740</v>
      </c>
    </row>
    <row r="886" spans="1:5" x14ac:dyDescent="0.35">
      <c r="A886" s="1" t="s">
        <v>1028</v>
      </c>
      <c r="B886" s="2">
        <v>45226.37777777778</v>
      </c>
      <c r="C886" s="1" t="s">
        <v>1030</v>
      </c>
      <c r="D886">
        <v>74</v>
      </c>
      <c r="E886" s="1" t="s">
        <v>740</v>
      </c>
    </row>
    <row r="887" spans="1:5" x14ac:dyDescent="0.35">
      <c r="A887" s="1" t="s">
        <v>1294</v>
      </c>
      <c r="B887" s="2">
        <v>45221.549305555563</v>
      </c>
      <c r="C887" s="1" t="s">
        <v>1305</v>
      </c>
      <c r="D887">
        <v>39</v>
      </c>
      <c r="E887" s="1" t="s">
        <v>738</v>
      </c>
    </row>
    <row r="888" spans="1:5" x14ac:dyDescent="0.35">
      <c r="A888" s="1" t="s">
        <v>1171</v>
      </c>
      <c r="B888" s="2">
        <v>45207.342361111107</v>
      </c>
      <c r="C888" s="1" t="s">
        <v>1178</v>
      </c>
      <c r="D888">
        <v>28</v>
      </c>
      <c r="E888" s="1" t="s">
        <v>735</v>
      </c>
    </row>
    <row r="889" spans="1:5" x14ac:dyDescent="0.35">
      <c r="A889" s="1" t="s">
        <v>1091</v>
      </c>
      <c r="B889" s="2">
        <v>45210.836111111108</v>
      </c>
      <c r="C889" s="1" t="s">
        <v>1104</v>
      </c>
      <c r="D889">
        <v>25</v>
      </c>
      <c r="E889" s="1" t="s">
        <v>740</v>
      </c>
    </row>
    <row r="890" spans="1:5" x14ac:dyDescent="0.35">
      <c r="A890" s="1" t="s">
        <v>826</v>
      </c>
      <c r="B890" s="2">
        <v>45208.072916666657</v>
      </c>
      <c r="C890" s="1" t="s">
        <v>835</v>
      </c>
      <c r="D890">
        <v>68</v>
      </c>
      <c r="E890" s="1" t="s">
        <v>735</v>
      </c>
    </row>
    <row r="891" spans="1:5" x14ac:dyDescent="0.35">
      <c r="A891" s="1" t="s">
        <v>1171</v>
      </c>
      <c r="B891" s="2">
        <v>45210.39166666667</v>
      </c>
      <c r="C891" s="1" t="s">
        <v>835</v>
      </c>
      <c r="D891">
        <v>85</v>
      </c>
      <c r="E891" s="1" t="s">
        <v>738</v>
      </c>
    </row>
    <row r="892" spans="1:5" x14ac:dyDescent="0.35">
      <c r="A892" s="1" t="s">
        <v>1028</v>
      </c>
      <c r="B892" s="2">
        <v>45217.89166666667</v>
      </c>
      <c r="C892" s="1" t="s">
        <v>1045</v>
      </c>
      <c r="D892">
        <v>108</v>
      </c>
      <c r="E892" s="1" t="s">
        <v>740</v>
      </c>
    </row>
    <row r="893" spans="1:5" x14ac:dyDescent="0.35">
      <c r="A893" s="1" t="s">
        <v>1199</v>
      </c>
      <c r="B893" s="2">
        <v>45211.04583333333</v>
      </c>
      <c r="C893" s="1" t="s">
        <v>1045</v>
      </c>
      <c r="D893">
        <v>18</v>
      </c>
      <c r="E893" s="1" t="s">
        <v>740</v>
      </c>
    </row>
    <row r="894" spans="1:5" x14ac:dyDescent="0.35">
      <c r="A894" s="1" t="s">
        <v>1225</v>
      </c>
      <c r="B894" s="2">
        <v>45222.188888888893</v>
      </c>
      <c r="C894" s="1" t="s">
        <v>1045</v>
      </c>
      <c r="D894">
        <v>33</v>
      </c>
      <c r="E894" s="1" t="s">
        <v>735</v>
      </c>
    </row>
    <row r="895" spans="1:5" x14ac:dyDescent="0.35">
      <c r="A895" s="1" t="s">
        <v>1368</v>
      </c>
      <c r="B895" s="2">
        <v>45223.759722222218</v>
      </c>
      <c r="C895" s="1" t="s">
        <v>1045</v>
      </c>
      <c r="D895">
        <v>78</v>
      </c>
      <c r="E895" s="1" t="s">
        <v>738</v>
      </c>
    </row>
    <row r="896" spans="1:5" x14ac:dyDescent="0.35">
      <c r="A896" s="1" t="s">
        <v>1199</v>
      </c>
      <c r="B896" s="2">
        <v>45224.115277777782</v>
      </c>
      <c r="C896" s="1" t="s">
        <v>1220</v>
      </c>
      <c r="D896">
        <v>45</v>
      </c>
      <c r="E896" s="1" t="s">
        <v>738</v>
      </c>
    </row>
    <row r="897" spans="1:5" x14ac:dyDescent="0.35">
      <c r="A897" s="1" t="s">
        <v>1314</v>
      </c>
      <c r="B897" s="2">
        <v>45228.563194444447</v>
      </c>
      <c r="C897" s="1" t="s">
        <v>1220</v>
      </c>
      <c r="D897">
        <v>44</v>
      </c>
      <c r="E897" s="1" t="s">
        <v>735</v>
      </c>
    </row>
    <row r="898" spans="1:5" x14ac:dyDescent="0.35">
      <c r="A898" s="1" t="s">
        <v>1267</v>
      </c>
      <c r="B898" s="2">
        <v>45225.949305555558</v>
      </c>
      <c r="C898" s="1" t="s">
        <v>1287</v>
      </c>
      <c r="D898">
        <v>117</v>
      </c>
      <c r="E898" s="1" t="s">
        <v>735</v>
      </c>
    </row>
    <row r="899" spans="1:5" x14ac:dyDescent="0.35">
      <c r="A899" s="1" t="s">
        <v>1225</v>
      </c>
      <c r="B899" s="2">
        <v>45221.559027777781</v>
      </c>
      <c r="C899" s="1" t="s">
        <v>1238</v>
      </c>
      <c r="D899">
        <v>22</v>
      </c>
      <c r="E899" s="1" t="s">
        <v>735</v>
      </c>
    </row>
    <row r="900" spans="1:5" x14ac:dyDescent="0.35">
      <c r="A900" s="1" t="s">
        <v>1144</v>
      </c>
      <c r="B900" s="2">
        <v>45219.106249999997</v>
      </c>
      <c r="C900" s="1" t="s">
        <v>1159</v>
      </c>
      <c r="D900">
        <v>87</v>
      </c>
      <c r="E900" s="1" t="s">
        <v>738</v>
      </c>
    </row>
    <row r="901" spans="1:5" x14ac:dyDescent="0.35">
      <c r="A901" s="1" t="s">
        <v>1225</v>
      </c>
      <c r="B901" s="2">
        <v>45213.593055555553</v>
      </c>
      <c r="C901" s="1" t="s">
        <v>1159</v>
      </c>
      <c r="D901">
        <v>50</v>
      </c>
      <c r="E901" s="1" t="s">
        <v>740</v>
      </c>
    </row>
    <row r="902" spans="1:5" x14ac:dyDescent="0.35">
      <c r="A902" s="1" t="s">
        <v>905</v>
      </c>
      <c r="B902" s="2">
        <v>45207.149305555547</v>
      </c>
      <c r="C902" s="1" t="s">
        <v>913</v>
      </c>
      <c r="D902">
        <v>101</v>
      </c>
      <c r="E902" s="1" t="s">
        <v>740</v>
      </c>
    </row>
    <row r="903" spans="1:5" x14ac:dyDescent="0.35">
      <c r="A903" s="1" t="s">
        <v>942</v>
      </c>
      <c r="B903" s="2">
        <v>45209.898611111108</v>
      </c>
      <c r="C903" s="1" t="s">
        <v>913</v>
      </c>
      <c r="D903">
        <v>29</v>
      </c>
      <c r="E903" s="1" t="s">
        <v>738</v>
      </c>
    </row>
    <row r="904" spans="1:5" x14ac:dyDescent="0.35">
      <c r="A904" s="1" t="s">
        <v>1336</v>
      </c>
      <c r="B904" s="2">
        <v>45208.52847222222</v>
      </c>
      <c r="C904" s="1" t="s">
        <v>913</v>
      </c>
      <c r="D904">
        <v>33</v>
      </c>
      <c r="E904" s="1" t="s">
        <v>738</v>
      </c>
    </row>
    <row r="905" spans="1:5" x14ac:dyDescent="0.35">
      <c r="A905" s="1" t="s">
        <v>1368</v>
      </c>
      <c r="B905" s="2">
        <v>45230.595138888893</v>
      </c>
      <c r="C905" s="1" t="s">
        <v>1371</v>
      </c>
      <c r="D905">
        <v>14</v>
      </c>
      <c r="E905" s="1" t="s">
        <v>735</v>
      </c>
    </row>
    <row r="906" spans="1:5" x14ac:dyDescent="0.35">
      <c r="A906" s="1" t="s">
        <v>1368</v>
      </c>
      <c r="B906" s="2">
        <v>45227.897916666669</v>
      </c>
      <c r="C906" s="1" t="s">
        <v>1371</v>
      </c>
      <c r="D906">
        <v>61</v>
      </c>
      <c r="E906" s="1" t="s">
        <v>735</v>
      </c>
    </row>
    <row r="907" spans="1:5" x14ac:dyDescent="0.35">
      <c r="A907" s="1" t="s">
        <v>1171</v>
      </c>
      <c r="B907" s="2">
        <v>45217.863194444442</v>
      </c>
      <c r="C907" s="1" t="s">
        <v>1197</v>
      </c>
      <c r="D907">
        <v>89</v>
      </c>
      <c r="E907" s="1" t="s">
        <v>735</v>
      </c>
    </row>
    <row r="908" spans="1:5" x14ac:dyDescent="0.35">
      <c r="A908" s="1" t="s">
        <v>782</v>
      </c>
      <c r="B908" s="2">
        <v>45207.102777777778</v>
      </c>
      <c r="C908" s="1" t="s">
        <v>794</v>
      </c>
      <c r="D908">
        <v>41</v>
      </c>
      <c r="E908" s="1" t="s">
        <v>735</v>
      </c>
    </row>
    <row r="909" spans="1:5" x14ac:dyDescent="0.35">
      <c r="A909" s="1" t="s">
        <v>1225</v>
      </c>
      <c r="B909" s="2">
        <v>45230.847222222219</v>
      </c>
      <c r="C909" s="1" t="s">
        <v>794</v>
      </c>
      <c r="D909">
        <v>58</v>
      </c>
      <c r="E909" s="1" t="s">
        <v>740</v>
      </c>
    </row>
    <row r="910" spans="1:5" x14ac:dyDescent="0.35">
      <c r="A910" s="1" t="s">
        <v>826</v>
      </c>
      <c r="B910" s="2">
        <v>45213.112500000003</v>
      </c>
      <c r="C910" s="1" t="s">
        <v>839</v>
      </c>
      <c r="D910">
        <v>93</v>
      </c>
      <c r="E910" s="1" t="s">
        <v>735</v>
      </c>
    </row>
    <row r="911" spans="1:5" x14ac:dyDescent="0.35">
      <c r="A911" s="1" t="s">
        <v>942</v>
      </c>
      <c r="B911" s="2">
        <v>45207.611111111109</v>
      </c>
      <c r="C911" s="1" t="s">
        <v>839</v>
      </c>
      <c r="D911">
        <v>107</v>
      </c>
      <c r="E911" s="1" t="s">
        <v>738</v>
      </c>
    </row>
    <row r="912" spans="1:5" x14ac:dyDescent="0.35">
      <c r="A912" s="1" t="s">
        <v>1351</v>
      </c>
      <c r="B912" s="2">
        <v>45220.96875</v>
      </c>
      <c r="C912" s="1" t="s">
        <v>839</v>
      </c>
      <c r="D912">
        <v>103</v>
      </c>
      <c r="E912" s="1" t="s">
        <v>735</v>
      </c>
    </row>
    <row r="913" spans="1:5" x14ac:dyDescent="0.35">
      <c r="A913" s="1" t="s">
        <v>733</v>
      </c>
      <c r="B913" s="2">
        <v>45226.07708333333</v>
      </c>
      <c r="C913" s="1" t="s">
        <v>775</v>
      </c>
      <c r="D913">
        <v>101</v>
      </c>
      <c r="E913" s="1" t="s">
        <v>735</v>
      </c>
    </row>
    <row r="914" spans="1:5" x14ac:dyDescent="0.35">
      <c r="A914" s="1" t="s">
        <v>1002</v>
      </c>
      <c r="B914" s="2">
        <v>45221.928472222222</v>
      </c>
      <c r="C914" s="1" t="s">
        <v>775</v>
      </c>
      <c r="D914">
        <v>21</v>
      </c>
      <c r="E914" s="1" t="s">
        <v>735</v>
      </c>
    </row>
    <row r="915" spans="1:5" x14ac:dyDescent="0.35">
      <c r="A915" s="1" t="s">
        <v>1199</v>
      </c>
      <c r="B915" s="2">
        <v>45219.826388888891</v>
      </c>
      <c r="C915" s="1" t="s">
        <v>775</v>
      </c>
      <c r="D915">
        <v>93</v>
      </c>
      <c r="E915" s="1" t="s">
        <v>740</v>
      </c>
    </row>
    <row r="916" spans="1:5" x14ac:dyDescent="0.35">
      <c r="A916" s="1" t="s">
        <v>782</v>
      </c>
      <c r="B916" s="2">
        <v>45221.775000000001</v>
      </c>
      <c r="C916" s="1" t="s">
        <v>817</v>
      </c>
      <c r="D916">
        <v>24</v>
      </c>
      <c r="E916" s="1" t="s">
        <v>735</v>
      </c>
    </row>
    <row r="917" spans="1:5" x14ac:dyDescent="0.35">
      <c r="A917" s="1" t="s">
        <v>1144</v>
      </c>
      <c r="B917" s="2">
        <v>45205.529861111107</v>
      </c>
      <c r="C917" s="1" t="s">
        <v>817</v>
      </c>
      <c r="D917">
        <v>74</v>
      </c>
      <c r="E917" s="1" t="s">
        <v>738</v>
      </c>
    </row>
    <row r="918" spans="1:5" x14ac:dyDescent="0.35">
      <c r="A918" s="1" t="s">
        <v>1028</v>
      </c>
      <c r="B918" s="2">
        <v>45230.997916666667</v>
      </c>
      <c r="C918" s="1" t="s">
        <v>1033</v>
      </c>
      <c r="D918">
        <v>72</v>
      </c>
      <c r="E918" s="1" t="s">
        <v>740</v>
      </c>
    </row>
    <row r="919" spans="1:5" x14ac:dyDescent="0.35">
      <c r="A919" s="1" t="s">
        <v>1294</v>
      </c>
      <c r="B919" s="2">
        <v>45215.01666666667</v>
      </c>
      <c r="C919" s="1" t="s">
        <v>1304</v>
      </c>
      <c r="D919">
        <v>35</v>
      </c>
      <c r="E919" s="1" t="s">
        <v>738</v>
      </c>
    </row>
    <row r="920" spans="1:5" x14ac:dyDescent="0.35">
      <c r="A920" s="1" t="s">
        <v>942</v>
      </c>
      <c r="B920" s="2">
        <v>45210.979166666657</v>
      </c>
      <c r="C920" s="1" t="s">
        <v>946</v>
      </c>
      <c r="D920">
        <v>114</v>
      </c>
      <c r="E920" s="1" t="s">
        <v>740</v>
      </c>
    </row>
    <row r="921" spans="1:5" x14ac:dyDescent="0.35">
      <c r="A921" s="1" t="s">
        <v>1336</v>
      </c>
      <c r="B921" s="2">
        <v>45226.388194444437</v>
      </c>
      <c r="C921" s="1" t="s">
        <v>1341</v>
      </c>
      <c r="D921">
        <v>115</v>
      </c>
      <c r="E921" s="1" t="s">
        <v>740</v>
      </c>
    </row>
    <row r="922" spans="1:5" x14ac:dyDescent="0.35">
      <c r="A922" s="1" t="s">
        <v>826</v>
      </c>
      <c r="B922" s="2">
        <v>45209.268750000003</v>
      </c>
      <c r="C922" s="1" t="s">
        <v>852</v>
      </c>
      <c r="D922">
        <v>94</v>
      </c>
      <c r="E922" s="1" t="s">
        <v>738</v>
      </c>
    </row>
    <row r="923" spans="1:5" x14ac:dyDescent="0.35">
      <c r="A923" s="1" t="s">
        <v>1314</v>
      </c>
      <c r="B923" s="2">
        <v>45201.519444444442</v>
      </c>
      <c r="C923" s="1" t="s">
        <v>852</v>
      </c>
      <c r="D923">
        <v>113</v>
      </c>
      <c r="E923" s="1" t="s">
        <v>740</v>
      </c>
    </row>
    <row r="924" spans="1:5" x14ac:dyDescent="0.35">
      <c r="A924" s="1" t="s">
        <v>733</v>
      </c>
      <c r="B924" s="2">
        <v>45212.140277777777</v>
      </c>
      <c r="C924" s="1" t="s">
        <v>754</v>
      </c>
      <c r="D924">
        <v>19</v>
      </c>
      <c r="E924" s="1" t="s">
        <v>738</v>
      </c>
    </row>
    <row r="925" spans="1:5" x14ac:dyDescent="0.35">
      <c r="A925" s="1" t="s">
        <v>1336</v>
      </c>
      <c r="B925" s="2">
        <v>45211.01458333333</v>
      </c>
      <c r="C925" s="1" t="s">
        <v>1340</v>
      </c>
      <c r="D925">
        <v>7</v>
      </c>
      <c r="E925" s="1" t="s">
        <v>740</v>
      </c>
    </row>
    <row r="926" spans="1:5" x14ac:dyDescent="0.35">
      <c r="A926" s="1" t="s">
        <v>1389</v>
      </c>
      <c r="B926" s="2">
        <v>45230.90625</v>
      </c>
      <c r="C926" s="1" t="s">
        <v>1340</v>
      </c>
      <c r="D926">
        <v>87</v>
      </c>
      <c r="E926" s="1" t="s">
        <v>735</v>
      </c>
    </row>
    <row r="927" spans="1:5" x14ac:dyDescent="0.35">
      <c r="A927" s="1" t="s">
        <v>1002</v>
      </c>
      <c r="B927" s="2">
        <v>45204.986111111109</v>
      </c>
      <c r="C927" s="1" t="s">
        <v>1015</v>
      </c>
      <c r="D927">
        <v>76</v>
      </c>
      <c r="E927" s="1" t="s">
        <v>738</v>
      </c>
    </row>
    <row r="928" spans="1:5" x14ac:dyDescent="0.35">
      <c r="A928" s="1" t="s">
        <v>1368</v>
      </c>
      <c r="B928" s="2">
        <v>45210.689583333333</v>
      </c>
      <c r="C928" s="1" t="s">
        <v>1015</v>
      </c>
      <c r="D928">
        <v>16</v>
      </c>
      <c r="E928" s="1" t="s">
        <v>735</v>
      </c>
    </row>
    <row r="929" spans="1:5" x14ac:dyDescent="0.35">
      <c r="A929" s="1" t="s">
        <v>1267</v>
      </c>
      <c r="B929" s="2">
        <v>45225.553472222222</v>
      </c>
      <c r="C929" s="1" t="s">
        <v>1275</v>
      </c>
      <c r="D929">
        <v>120</v>
      </c>
      <c r="E929" s="1" t="s">
        <v>735</v>
      </c>
    </row>
    <row r="930" spans="1:5" x14ac:dyDescent="0.35">
      <c r="A930" s="1" t="s">
        <v>782</v>
      </c>
      <c r="B930" s="2">
        <v>45223.45208333333</v>
      </c>
      <c r="C930" s="1" t="s">
        <v>790</v>
      </c>
      <c r="D930">
        <v>117</v>
      </c>
      <c r="E930" s="1" t="s">
        <v>740</v>
      </c>
    </row>
    <row r="931" spans="1:5" x14ac:dyDescent="0.35">
      <c r="A931" s="1" t="s">
        <v>1028</v>
      </c>
      <c r="B931" s="2">
        <v>45211.382638888892</v>
      </c>
      <c r="C931" s="1" t="s">
        <v>790</v>
      </c>
      <c r="D931">
        <v>105</v>
      </c>
      <c r="E931" s="1" t="s">
        <v>735</v>
      </c>
    </row>
    <row r="932" spans="1:5" x14ac:dyDescent="0.35">
      <c r="A932" s="1" t="s">
        <v>1389</v>
      </c>
      <c r="B932" s="2">
        <v>45219.95</v>
      </c>
      <c r="C932" s="1" t="s">
        <v>790</v>
      </c>
      <c r="D932">
        <v>45</v>
      </c>
      <c r="E932" s="1" t="s">
        <v>740</v>
      </c>
    </row>
    <row r="933" spans="1:5" x14ac:dyDescent="0.35">
      <c r="A933" s="1" t="s">
        <v>1247</v>
      </c>
      <c r="B933" s="2">
        <v>45221.931944444441</v>
      </c>
      <c r="C933" s="1" t="s">
        <v>1249</v>
      </c>
      <c r="D933">
        <v>26</v>
      </c>
      <c r="E933" s="1" t="s">
        <v>735</v>
      </c>
    </row>
    <row r="934" spans="1:5" x14ac:dyDescent="0.35">
      <c r="A934" s="1" t="s">
        <v>1171</v>
      </c>
      <c r="B934" s="2">
        <v>45210.366666666669</v>
      </c>
      <c r="C934" s="1" t="s">
        <v>1198</v>
      </c>
      <c r="D934">
        <v>67</v>
      </c>
      <c r="E934" s="1" t="s">
        <v>738</v>
      </c>
    </row>
    <row r="935" spans="1:5" x14ac:dyDescent="0.35">
      <c r="A935" s="1" t="s">
        <v>1199</v>
      </c>
      <c r="B935" s="2">
        <v>45228.747916666667</v>
      </c>
      <c r="C935" s="1" t="s">
        <v>1198</v>
      </c>
      <c r="D935">
        <v>27</v>
      </c>
      <c r="E935" s="1" t="s">
        <v>735</v>
      </c>
    </row>
    <row r="936" spans="1:5" x14ac:dyDescent="0.35">
      <c r="A936" s="1" t="s">
        <v>1247</v>
      </c>
      <c r="B936" s="2">
        <v>45223.611111111109</v>
      </c>
      <c r="C936" s="1" t="s">
        <v>1198</v>
      </c>
      <c r="D936">
        <v>88</v>
      </c>
      <c r="E936" s="1" t="s">
        <v>735</v>
      </c>
    </row>
    <row r="937" spans="1:5" x14ac:dyDescent="0.35">
      <c r="A937" s="1" t="s">
        <v>1063</v>
      </c>
      <c r="B937" s="2">
        <v>45222.584722222222</v>
      </c>
      <c r="C937" s="1" t="s">
        <v>1085</v>
      </c>
      <c r="D937">
        <v>15</v>
      </c>
      <c r="E937" s="1" t="s">
        <v>740</v>
      </c>
    </row>
    <row r="938" spans="1:5" x14ac:dyDescent="0.35">
      <c r="A938" s="1" t="s">
        <v>1028</v>
      </c>
      <c r="B938" s="2">
        <v>45230.633333333331</v>
      </c>
      <c r="C938" s="1" t="s">
        <v>1059</v>
      </c>
      <c r="D938">
        <v>34</v>
      </c>
      <c r="E938" s="1" t="s">
        <v>735</v>
      </c>
    </row>
    <row r="939" spans="1:5" x14ac:dyDescent="0.35">
      <c r="A939" s="1" t="s">
        <v>1414</v>
      </c>
      <c r="B939" s="2">
        <v>45226.115972222222</v>
      </c>
      <c r="C939" s="1" t="s">
        <v>1059</v>
      </c>
      <c r="D939">
        <v>5</v>
      </c>
      <c r="E939" s="1" t="s">
        <v>740</v>
      </c>
    </row>
    <row r="940" spans="1:5" x14ac:dyDescent="0.35">
      <c r="A940" s="1" t="s">
        <v>1414</v>
      </c>
      <c r="B940" s="2">
        <v>45226.955555555563</v>
      </c>
      <c r="C940" s="1" t="s">
        <v>1416</v>
      </c>
      <c r="D940">
        <v>20</v>
      </c>
      <c r="E940" s="1" t="s">
        <v>738</v>
      </c>
    </row>
    <row r="941" spans="1:5" x14ac:dyDescent="0.35">
      <c r="A941" s="1" t="s">
        <v>782</v>
      </c>
      <c r="B941" s="2">
        <v>45225.660416666673</v>
      </c>
      <c r="C941" s="1" t="s">
        <v>784</v>
      </c>
      <c r="D941">
        <v>14</v>
      </c>
      <c r="E941" s="1" t="s">
        <v>735</v>
      </c>
    </row>
    <row r="942" spans="1:5" x14ac:dyDescent="0.35">
      <c r="A942" s="1" t="s">
        <v>981</v>
      </c>
      <c r="B942" s="2">
        <v>45208.047222222223</v>
      </c>
      <c r="C942" s="1" t="s">
        <v>784</v>
      </c>
      <c r="D942">
        <v>92</v>
      </c>
      <c r="E942" s="1" t="s">
        <v>740</v>
      </c>
    </row>
    <row r="943" spans="1:5" x14ac:dyDescent="0.35">
      <c r="A943" s="1" t="s">
        <v>1314</v>
      </c>
      <c r="B943" s="2">
        <v>45213.210416666669</v>
      </c>
      <c r="C943" s="1" t="s">
        <v>1331</v>
      </c>
      <c r="D943">
        <v>28</v>
      </c>
      <c r="E943" s="1" t="s">
        <v>740</v>
      </c>
    </row>
    <row r="944" spans="1:5" x14ac:dyDescent="0.35">
      <c r="A944" s="1" t="s">
        <v>1144</v>
      </c>
      <c r="B944" s="2">
        <v>45203.213888888888</v>
      </c>
      <c r="C944" s="1" t="s">
        <v>1146</v>
      </c>
      <c r="D944">
        <v>5</v>
      </c>
      <c r="E944" s="1" t="s">
        <v>735</v>
      </c>
    </row>
    <row r="945" spans="1:5" x14ac:dyDescent="0.35">
      <c r="A945" s="1" t="s">
        <v>1247</v>
      </c>
      <c r="B945" s="2">
        <v>45224.195138888892</v>
      </c>
      <c r="C945" s="1" t="s">
        <v>1266</v>
      </c>
      <c r="D945">
        <v>81</v>
      </c>
      <c r="E945" s="1" t="s">
        <v>738</v>
      </c>
    </row>
    <row r="946" spans="1:5" x14ac:dyDescent="0.35">
      <c r="A946" s="1" t="s">
        <v>826</v>
      </c>
      <c r="B946" s="2">
        <v>45217.175000000003</v>
      </c>
      <c r="C946" s="1" t="s">
        <v>846</v>
      </c>
      <c r="D946">
        <v>18</v>
      </c>
      <c r="E946" s="1" t="s">
        <v>740</v>
      </c>
    </row>
    <row r="947" spans="1:5" x14ac:dyDescent="0.35">
      <c r="A947" s="1" t="s">
        <v>1225</v>
      </c>
      <c r="B947" s="2">
        <v>45203.224305555559</v>
      </c>
      <c r="C947" s="1" t="s">
        <v>846</v>
      </c>
      <c r="D947">
        <v>102</v>
      </c>
      <c r="E947" s="1" t="s">
        <v>740</v>
      </c>
    </row>
    <row r="948" spans="1:5" x14ac:dyDescent="0.35">
      <c r="A948" s="1" t="s">
        <v>1336</v>
      </c>
      <c r="B948" s="2">
        <v>45218.007638888892</v>
      </c>
      <c r="C948" s="1" t="s">
        <v>846</v>
      </c>
      <c r="D948">
        <v>44</v>
      </c>
      <c r="E948" s="1" t="s">
        <v>738</v>
      </c>
    </row>
    <row r="949" spans="1:5" x14ac:dyDescent="0.35">
      <c r="A949" s="1" t="s">
        <v>1091</v>
      </c>
      <c r="B949" s="2">
        <v>45211.73333333333</v>
      </c>
      <c r="C949" s="1" t="s">
        <v>1098</v>
      </c>
      <c r="D949">
        <v>108</v>
      </c>
      <c r="E949" s="1" t="s">
        <v>738</v>
      </c>
    </row>
    <row r="950" spans="1:5" x14ac:dyDescent="0.35">
      <c r="A950" s="1" t="s">
        <v>905</v>
      </c>
      <c r="B950" s="2">
        <v>45204.20208333333</v>
      </c>
      <c r="C950" s="1" t="s">
        <v>911</v>
      </c>
      <c r="D950">
        <v>10</v>
      </c>
      <c r="E950" s="1" t="s">
        <v>735</v>
      </c>
    </row>
    <row r="951" spans="1:5" x14ac:dyDescent="0.35">
      <c r="A951" s="1" t="s">
        <v>1091</v>
      </c>
      <c r="B951" s="2">
        <v>45223.647916666669</v>
      </c>
      <c r="C951" s="1" t="s">
        <v>1102</v>
      </c>
      <c r="D951">
        <v>14</v>
      </c>
      <c r="E951" s="1" t="s">
        <v>740</v>
      </c>
    </row>
    <row r="952" spans="1:5" x14ac:dyDescent="0.35">
      <c r="A952" s="1" t="s">
        <v>1314</v>
      </c>
      <c r="B952" s="2">
        <v>45205.586111111108</v>
      </c>
      <c r="C952" s="1" t="s">
        <v>1326</v>
      </c>
      <c r="D952">
        <v>89</v>
      </c>
      <c r="E952" s="1" t="s">
        <v>740</v>
      </c>
    </row>
    <row r="953" spans="1:5" x14ac:dyDescent="0.35">
      <c r="A953" s="1" t="s">
        <v>905</v>
      </c>
      <c r="B953" s="2">
        <v>45224.683333333327</v>
      </c>
      <c r="C953" s="1" t="s">
        <v>916</v>
      </c>
      <c r="D953">
        <v>71</v>
      </c>
      <c r="E953" s="1" t="s">
        <v>735</v>
      </c>
    </row>
    <row r="954" spans="1:5" x14ac:dyDescent="0.35">
      <c r="A954" s="1" t="s">
        <v>1063</v>
      </c>
      <c r="B954" s="2">
        <v>45217.027777777781</v>
      </c>
      <c r="C954" s="1" t="s">
        <v>916</v>
      </c>
      <c r="D954">
        <v>54</v>
      </c>
      <c r="E954" s="1" t="s">
        <v>738</v>
      </c>
    </row>
    <row r="955" spans="1:5" x14ac:dyDescent="0.35">
      <c r="A955" s="1" t="s">
        <v>733</v>
      </c>
      <c r="B955" s="2">
        <v>45213.428472222222</v>
      </c>
      <c r="C955" s="1" t="s">
        <v>751</v>
      </c>
      <c r="D955">
        <v>101</v>
      </c>
      <c r="E955" s="1" t="s">
        <v>738</v>
      </c>
    </row>
    <row r="956" spans="1:5" x14ac:dyDescent="0.35">
      <c r="A956" s="1" t="s">
        <v>1028</v>
      </c>
      <c r="B956" s="2">
        <v>45204.47152777778</v>
      </c>
      <c r="C956" s="1" t="s">
        <v>1048</v>
      </c>
      <c r="D956">
        <v>10</v>
      </c>
      <c r="E956" s="1" t="s">
        <v>735</v>
      </c>
    </row>
    <row r="957" spans="1:5" x14ac:dyDescent="0.35">
      <c r="A957" s="1" t="s">
        <v>1028</v>
      </c>
      <c r="B957" s="2">
        <v>45220.452777777777</v>
      </c>
      <c r="C957" s="1" t="s">
        <v>1053</v>
      </c>
      <c r="D957">
        <v>35</v>
      </c>
      <c r="E957" s="1" t="s">
        <v>738</v>
      </c>
    </row>
    <row r="958" spans="1:5" x14ac:dyDescent="0.35">
      <c r="A958" s="1" t="s">
        <v>1225</v>
      </c>
      <c r="B958" s="2">
        <v>45226.90625</v>
      </c>
      <c r="C958" s="1" t="s">
        <v>1053</v>
      </c>
      <c r="D958">
        <v>26</v>
      </c>
      <c r="E958" s="1" t="s">
        <v>738</v>
      </c>
    </row>
    <row r="959" spans="1:5" x14ac:dyDescent="0.35">
      <c r="A959" s="1" t="s">
        <v>733</v>
      </c>
      <c r="B959" s="2">
        <v>45217.109027777777</v>
      </c>
      <c r="C959" s="1" t="s">
        <v>741</v>
      </c>
      <c r="D959">
        <v>59</v>
      </c>
      <c r="E959" s="1" t="s">
        <v>735</v>
      </c>
    </row>
    <row r="960" spans="1:5" x14ac:dyDescent="0.35">
      <c r="A960" s="1" t="s">
        <v>1144</v>
      </c>
      <c r="B960" s="2">
        <v>45222.771527777782</v>
      </c>
      <c r="C960" s="1" t="s">
        <v>741</v>
      </c>
      <c r="D960">
        <v>53</v>
      </c>
      <c r="E960" s="1" t="s">
        <v>740</v>
      </c>
    </row>
    <row r="961" spans="1:5" x14ac:dyDescent="0.35">
      <c r="A961" s="1" t="s">
        <v>1247</v>
      </c>
      <c r="B961" s="2">
        <v>45217.509027777778</v>
      </c>
      <c r="C961" s="1" t="s">
        <v>741</v>
      </c>
      <c r="D961">
        <v>49</v>
      </c>
      <c r="E961" s="1" t="s">
        <v>735</v>
      </c>
    </row>
    <row r="962" spans="1:5" x14ac:dyDescent="0.35">
      <c r="A962" s="1" t="s">
        <v>942</v>
      </c>
      <c r="B962" s="2">
        <v>45204.314583333333</v>
      </c>
      <c r="C962" s="1" t="s">
        <v>969</v>
      </c>
      <c r="D962">
        <v>120</v>
      </c>
      <c r="E962" s="1" t="s">
        <v>738</v>
      </c>
    </row>
    <row r="963" spans="1:5" x14ac:dyDescent="0.35">
      <c r="A963" s="1" t="s">
        <v>733</v>
      </c>
      <c r="B963" s="2">
        <v>45210.051388888889</v>
      </c>
      <c r="C963" s="1" t="s">
        <v>774</v>
      </c>
      <c r="D963">
        <v>73</v>
      </c>
      <c r="E963" s="1" t="s">
        <v>735</v>
      </c>
    </row>
    <row r="964" spans="1:5" x14ac:dyDescent="0.35">
      <c r="A964" s="1" t="s">
        <v>733</v>
      </c>
      <c r="B964" s="2">
        <v>45228.853472222225</v>
      </c>
      <c r="C964" s="1" t="s">
        <v>774</v>
      </c>
      <c r="D964">
        <v>42</v>
      </c>
      <c r="E964" s="1" t="s">
        <v>735</v>
      </c>
    </row>
    <row r="965" spans="1:5" x14ac:dyDescent="0.35">
      <c r="A965" s="1" t="s">
        <v>1120</v>
      </c>
      <c r="B965" s="2">
        <v>45214.43472222222</v>
      </c>
      <c r="C965" s="1" t="s">
        <v>774</v>
      </c>
      <c r="D965">
        <v>61</v>
      </c>
      <c r="E965" s="1" t="s">
        <v>740</v>
      </c>
    </row>
    <row r="966" spans="1:5" x14ac:dyDescent="0.35">
      <c r="A966" s="1" t="s">
        <v>1091</v>
      </c>
      <c r="B966" s="2">
        <v>45208.194444444453</v>
      </c>
      <c r="C966" s="1" t="s">
        <v>1112</v>
      </c>
      <c r="D966">
        <v>98</v>
      </c>
      <c r="E966" s="1" t="s">
        <v>738</v>
      </c>
    </row>
    <row r="967" spans="1:5" x14ac:dyDescent="0.35">
      <c r="A967" s="1" t="s">
        <v>864</v>
      </c>
      <c r="B967" s="2">
        <v>45221.910416666673</v>
      </c>
      <c r="C967" s="1" t="s">
        <v>866</v>
      </c>
      <c r="D967">
        <v>60</v>
      </c>
      <c r="E967" s="1" t="s">
        <v>738</v>
      </c>
    </row>
    <row r="968" spans="1:5" x14ac:dyDescent="0.35">
      <c r="A968" s="1" t="s">
        <v>864</v>
      </c>
      <c r="B968" s="2">
        <v>45204.81527777778</v>
      </c>
      <c r="C968" s="1" t="s">
        <v>866</v>
      </c>
      <c r="D968">
        <v>71</v>
      </c>
      <c r="E968" s="1" t="s">
        <v>740</v>
      </c>
    </row>
    <row r="969" spans="1:5" x14ac:dyDescent="0.35">
      <c r="A969" s="1" t="s">
        <v>905</v>
      </c>
      <c r="B969" s="2">
        <v>45209.824305555558</v>
      </c>
      <c r="C969" s="1" t="s">
        <v>866</v>
      </c>
      <c r="D969">
        <v>93</v>
      </c>
      <c r="E969" s="1" t="s">
        <v>740</v>
      </c>
    </row>
    <row r="970" spans="1:5" x14ac:dyDescent="0.35">
      <c r="A970" s="1" t="s">
        <v>1120</v>
      </c>
      <c r="B970" s="2">
        <v>45203.250694444447</v>
      </c>
      <c r="C970" s="1" t="s">
        <v>866</v>
      </c>
      <c r="D970">
        <v>49</v>
      </c>
      <c r="E970" s="1" t="s">
        <v>738</v>
      </c>
    </row>
    <row r="971" spans="1:5" x14ac:dyDescent="0.35">
      <c r="A971" s="1" t="s">
        <v>1294</v>
      </c>
      <c r="B971" s="2">
        <v>45211.290277777778</v>
      </c>
      <c r="C971" s="1" t="s">
        <v>1306</v>
      </c>
      <c r="D971">
        <v>73</v>
      </c>
      <c r="E971" s="1" t="s">
        <v>740</v>
      </c>
    </row>
    <row r="972" spans="1:5" x14ac:dyDescent="0.35">
      <c r="A972" s="1" t="s">
        <v>1314</v>
      </c>
      <c r="B972" s="2">
        <v>45210.24722222222</v>
      </c>
      <c r="C972" s="1" t="s">
        <v>1306</v>
      </c>
      <c r="D972">
        <v>74</v>
      </c>
      <c r="E972" s="1" t="s">
        <v>735</v>
      </c>
    </row>
    <row r="973" spans="1:5" x14ac:dyDescent="0.35">
      <c r="A973" s="1" t="s">
        <v>782</v>
      </c>
      <c r="B973" s="2">
        <v>45227.211111111108</v>
      </c>
      <c r="C973" s="1" t="s">
        <v>811</v>
      </c>
      <c r="D973">
        <v>38</v>
      </c>
      <c r="E973" s="1" t="s">
        <v>735</v>
      </c>
    </row>
    <row r="974" spans="1:5" x14ac:dyDescent="0.35">
      <c r="A974" s="1" t="s">
        <v>1247</v>
      </c>
      <c r="B974" s="2">
        <v>45226.163194444453</v>
      </c>
      <c r="C974" s="1" t="s">
        <v>1263</v>
      </c>
      <c r="D974">
        <v>36</v>
      </c>
      <c r="E974" s="1" t="s">
        <v>738</v>
      </c>
    </row>
    <row r="975" spans="1:5" x14ac:dyDescent="0.35">
      <c r="A975" s="1" t="s">
        <v>1368</v>
      </c>
      <c r="B975" s="2">
        <v>45225.779861111107</v>
      </c>
      <c r="C975" s="1" t="s">
        <v>1377</v>
      </c>
      <c r="D975">
        <v>69</v>
      </c>
      <c r="E975" s="1" t="s">
        <v>738</v>
      </c>
    </row>
    <row r="976" spans="1:5" x14ac:dyDescent="0.35">
      <c r="A976" s="1" t="s">
        <v>826</v>
      </c>
      <c r="B976" s="2">
        <v>45210.568055555559</v>
      </c>
      <c r="C976" s="1" t="s">
        <v>832</v>
      </c>
      <c r="D976">
        <v>96</v>
      </c>
      <c r="E976" s="1" t="s">
        <v>735</v>
      </c>
    </row>
    <row r="977" spans="1:5" x14ac:dyDescent="0.35">
      <c r="A977" s="1" t="s">
        <v>826</v>
      </c>
      <c r="B977" s="2">
        <v>45229.738194444442</v>
      </c>
      <c r="C977" s="1" t="s">
        <v>836</v>
      </c>
      <c r="D977">
        <v>36</v>
      </c>
      <c r="E977" s="1" t="s">
        <v>738</v>
      </c>
    </row>
    <row r="978" spans="1:5" x14ac:dyDescent="0.35">
      <c r="A978" s="1" t="s">
        <v>1336</v>
      </c>
      <c r="B978" s="2">
        <v>45214.684027777781</v>
      </c>
      <c r="C978" s="1" t="s">
        <v>836</v>
      </c>
      <c r="D978">
        <v>119</v>
      </c>
      <c r="E978" s="1" t="s">
        <v>740</v>
      </c>
    </row>
    <row r="979" spans="1:5" x14ac:dyDescent="0.35">
      <c r="A979" s="1" t="s">
        <v>1267</v>
      </c>
      <c r="B979" s="2">
        <v>45216.460416666669</v>
      </c>
      <c r="C979" s="1" t="s">
        <v>1279</v>
      </c>
      <c r="D979">
        <v>36</v>
      </c>
      <c r="E979" s="1" t="s">
        <v>740</v>
      </c>
    </row>
    <row r="980" spans="1:5" x14ac:dyDescent="0.35">
      <c r="A980" s="1" t="s">
        <v>826</v>
      </c>
      <c r="B980" s="2">
        <v>45209.679861111108</v>
      </c>
      <c r="C980" s="1" t="s">
        <v>843</v>
      </c>
      <c r="D980">
        <v>115</v>
      </c>
      <c r="E980" s="1" t="s">
        <v>740</v>
      </c>
    </row>
    <row r="981" spans="1:5" x14ac:dyDescent="0.35">
      <c r="A981" s="1" t="s">
        <v>1267</v>
      </c>
      <c r="B981" s="2">
        <v>45228.01458333333</v>
      </c>
      <c r="C981" s="1" t="s">
        <v>843</v>
      </c>
      <c r="D981">
        <v>98</v>
      </c>
      <c r="E981" s="1" t="s">
        <v>735</v>
      </c>
    </row>
    <row r="982" spans="1:5" x14ac:dyDescent="0.35">
      <c r="A982" s="1" t="s">
        <v>1247</v>
      </c>
      <c r="B982" s="2">
        <v>45205.336805555547</v>
      </c>
      <c r="C982" s="1" t="s">
        <v>1257</v>
      </c>
      <c r="D982">
        <v>119</v>
      </c>
      <c r="E982" s="1" t="s">
        <v>740</v>
      </c>
    </row>
    <row r="983" spans="1:5" x14ac:dyDescent="0.35">
      <c r="A983" s="1" t="s">
        <v>981</v>
      </c>
      <c r="B983" s="2">
        <v>45203.652083333327</v>
      </c>
      <c r="C983" s="1" t="s">
        <v>986</v>
      </c>
      <c r="D983">
        <v>65</v>
      </c>
      <c r="E983" s="1" t="s">
        <v>740</v>
      </c>
    </row>
    <row r="984" spans="1:5" x14ac:dyDescent="0.35">
      <c r="A984" s="1" t="s">
        <v>1351</v>
      </c>
      <c r="B984" s="2">
        <v>45207.955555555563</v>
      </c>
      <c r="C984" s="1" t="s">
        <v>986</v>
      </c>
      <c r="D984">
        <v>73</v>
      </c>
      <c r="E984" s="1" t="s">
        <v>738</v>
      </c>
    </row>
    <row r="985" spans="1:5" x14ac:dyDescent="0.35">
      <c r="A985" s="1" t="s">
        <v>1336</v>
      </c>
      <c r="B985" s="2">
        <v>45209.01666666667</v>
      </c>
      <c r="C985" s="1" t="s">
        <v>1349</v>
      </c>
      <c r="D985">
        <v>43</v>
      </c>
      <c r="E985" s="1" t="s">
        <v>735</v>
      </c>
    </row>
    <row r="986" spans="1:5" x14ac:dyDescent="0.35">
      <c r="A986" s="1" t="s">
        <v>1314</v>
      </c>
      <c r="B986" s="2">
        <v>45221.388194444437</v>
      </c>
      <c r="C986" s="1" t="s">
        <v>1333</v>
      </c>
      <c r="D986">
        <v>64</v>
      </c>
      <c r="E986" s="1" t="s">
        <v>738</v>
      </c>
    </row>
    <row r="987" spans="1:5" x14ac:dyDescent="0.35">
      <c r="A987" s="1" t="s">
        <v>1091</v>
      </c>
      <c r="B987" s="2">
        <v>45213.577777777777</v>
      </c>
      <c r="C987" s="1" t="s">
        <v>1103</v>
      </c>
      <c r="D987">
        <v>93</v>
      </c>
      <c r="E987" s="1" t="s">
        <v>738</v>
      </c>
    </row>
    <row r="988" spans="1:5" x14ac:dyDescent="0.35">
      <c r="A988" s="1" t="s">
        <v>1314</v>
      </c>
      <c r="B988" s="2">
        <v>45205.830555555563</v>
      </c>
      <c r="C988" s="1" t="s">
        <v>1330</v>
      </c>
      <c r="D988">
        <v>52</v>
      </c>
      <c r="E988" s="1" t="s">
        <v>735</v>
      </c>
    </row>
    <row r="989" spans="1:5" x14ac:dyDescent="0.35">
      <c r="A989" s="1" t="s">
        <v>782</v>
      </c>
      <c r="B989" s="2">
        <v>45227.309027777781</v>
      </c>
      <c r="C989" s="1" t="s">
        <v>813</v>
      </c>
      <c r="D989">
        <v>118</v>
      </c>
      <c r="E989" s="1" t="s">
        <v>740</v>
      </c>
    </row>
    <row r="990" spans="1:5" x14ac:dyDescent="0.35">
      <c r="A990" s="1" t="s">
        <v>942</v>
      </c>
      <c r="B990" s="2">
        <v>45216.76458333333</v>
      </c>
      <c r="C990" s="1" t="s">
        <v>813</v>
      </c>
      <c r="D990">
        <v>53</v>
      </c>
      <c r="E990" s="1" t="s">
        <v>738</v>
      </c>
    </row>
    <row r="991" spans="1:5" x14ac:dyDescent="0.35">
      <c r="A991" s="1" t="s">
        <v>1028</v>
      </c>
      <c r="B991" s="2">
        <v>45214.774305555547</v>
      </c>
      <c r="C991" s="1" t="s">
        <v>813</v>
      </c>
      <c r="D991">
        <v>118</v>
      </c>
      <c r="E991" s="1" t="s">
        <v>735</v>
      </c>
    </row>
    <row r="992" spans="1:5" x14ac:dyDescent="0.35">
      <c r="A992" s="1" t="s">
        <v>1120</v>
      </c>
      <c r="B992" s="2">
        <v>45225.647916666669</v>
      </c>
      <c r="C992" s="1" t="s">
        <v>1122</v>
      </c>
      <c r="D992">
        <v>49</v>
      </c>
      <c r="E992" s="1" t="s">
        <v>735</v>
      </c>
    </row>
    <row r="993" spans="1:5" x14ac:dyDescent="0.35">
      <c r="A993" s="1" t="s">
        <v>782</v>
      </c>
      <c r="B993" s="2">
        <v>45221.861805555563</v>
      </c>
      <c r="C993" s="1" t="s">
        <v>788</v>
      </c>
      <c r="D993">
        <v>21</v>
      </c>
      <c r="E993" s="1" t="s">
        <v>738</v>
      </c>
    </row>
    <row r="994" spans="1:5" x14ac:dyDescent="0.35">
      <c r="A994" s="1" t="s">
        <v>826</v>
      </c>
      <c r="B994" s="2">
        <v>45229.443749999999</v>
      </c>
      <c r="C994" s="1" t="s">
        <v>840</v>
      </c>
      <c r="D994">
        <v>5</v>
      </c>
      <c r="E994" s="1" t="s">
        <v>735</v>
      </c>
    </row>
    <row r="995" spans="1:5" x14ac:dyDescent="0.35">
      <c r="A995" s="1" t="s">
        <v>782</v>
      </c>
      <c r="B995" s="2">
        <v>45203.059027777781</v>
      </c>
      <c r="C995" s="1" t="s">
        <v>789</v>
      </c>
      <c r="D995">
        <v>49</v>
      </c>
      <c r="E995" s="1" t="s">
        <v>735</v>
      </c>
    </row>
    <row r="996" spans="1:5" x14ac:dyDescent="0.35">
      <c r="A996" s="1" t="s">
        <v>1120</v>
      </c>
      <c r="B996" s="2">
        <v>45224.988194444442</v>
      </c>
      <c r="C996" s="1" t="s">
        <v>789</v>
      </c>
      <c r="D996">
        <v>39</v>
      </c>
      <c r="E996" s="1" t="s">
        <v>735</v>
      </c>
    </row>
    <row r="997" spans="1:5" x14ac:dyDescent="0.35">
      <c r="A997" s="1" t="s">
        <v>942</v>
      </c>
      <c r="B997" s="2">
        <v>45217.068749999999</v>
      </c>
      <c r="C997" s="1" t="s">
        <v>960</v>
      </c>
      <c r="D997">
        <v>77</v>
      </c>
      <c r="E997" s="1" t="s">
        <v>740</v>
      </c>
    </row>
    <row r="998" spans="1:5" x14ac:dyDescent="0.35">
      <c r="A998" s="1" t="s">
        <v>981</v>
      </c>
      <c r="B998" s="2">
        <v>45230.726388888892</v>
      </c>
      <c r="C998" s="1" t="s">
        <v>960</v>
      </c>
      <c r="D998">
        <v>19</v>
      </c>
      <c r="E998" s="1" t="s">
        <v>738</v>
      </c>
    </row>
    <row r="999" spans="1:5" x14ac:dyDescent="0.35">
      <c r="A999" s="1" t="s">
        <v>1171</v>
      </c>
      <c r="B999" s="2">
        <v>45219.793055555558</v>
      </c>
      <c r="C999" s="1" t="s">
        <v>960</v>
      </c>
      <c r="D999">
        <v>9</v>
      </c>
      <c r="E999" s="1" t="s">
        <v>738</v>
      </c>
    </row>
    <row r="1000" spans="1:5" x14ac:dyDescent="0.35">
      <c r="A1000" s="1" t="s">
        <v>1063</v>
      </c>
      <c r="B1000" s="2">
        <v>45216.760416666657</v>
      </c>
      <c r="C1000" s="1" t="s">
        <v>1068</v>
      </c>
      <c r="D1000">
        <v>48</v>
      </c>
      <c r="E1000" s="1" t="s">
        <v>735</v>
      </c>
    </row>
    <row r="1001" spans="1:5" x14ac:dyDescent="0.35">
      <c r="A1001" s="1" t="s">
        <v>733</v>
      </c>
      <c r="B1001" s="2">
        <v>45227.033333333333</v>
      </c>
      <c r="C1001" s="1" t="s">
        <v>749</v>
      </c>
      <c r="D1001">
        <v>68</v>
      </c>
      <c r="E1001" s="1" t="s">
        <v>740</v>
      </c>
    </row>
    <row r="1002" spans="1:5" x14ac:dyDescent="0.35">
      <c r="A1002" s="1" t="s">
        <v>942</v>
      </c>
      <c r="B1002" s="2">
        <v>45221.313194444447</v>
      </c>
      <c r="C1002" s="1" t="s">
        <v>973</v>
      </c>
      <c r="D1002">
        <v>34</v>
      </c>
      <c r="E1002" s="1" t="s">
        <v>738</v>
      </c>
    </row>
    <row r="1003" spans="1:5" x14ac:dyDescent="0.35">
      <c r="A1003" s="1" t="s">
        <v>942</v>
      </c>
      <c r="B1003" s="2">
        <v>45225.622916666667</v>
      </c>
      <c r="C1003" s="1" t="s">
        <v>973</v>
      </c>
      <c r="D1003">
        <v>86</v>
      </c>
      <c r="E1003" s="1" t="s">
        <v>735</v>
      </c>
    </row>
    <row r="1004" spans="1:5" x14ac:dyDescent="0.35">
      <c r="A1004" s="1" t="s">
        <v>1294</v>
      </c>
      <c r="B1004" s="2">
        <v>45200.078472222223</v>
      </c>
      <c r="C1004" s="1" t="s">
        <v>973</v>
      </c>
      <c r="D1004">
        <v>40</v>
      </c>
      <c r="E1004" s="1" t="s">
        <v>735</v>
      </c>
    </row>
    <row r="1005" spans="1:5" x14ac:dyDescent="0.35">
      <c r="A1005" s="1" t="s">
        <v>733</v>
      </c>
      <c r="B1005" s="2">
        <v>45211.224305555559</v>
      </c>
      <c r="C1005" s="1" t="s">
        <v>765</v>
      </c>
      <c r="D1005">
        <v>37</v>
      </c>
      <c r="E1005" s="1" t="s">
        <v>735</v>
      </c>
    </row>
    <row r="1006" spans="1:5" x14ac:dyDescent="0.35">
      <c r="A1006" s="1" t="s">
        <v>1171</v>
      </c>
      <c r="B1006" s="2">
        <v>45221.717361111107</v>
      </c>
      <c r="C1006" s="1" t="s">
        <v>765</v>
      </c>
      <c r="D1006">
        <v>14</v>
      </c>
      <c r="E1006" s="1" t="s">
        <v>735</v>
      </c>
    </row>
    <row r="1007" spans="1:5" x14ac:dyDescent="0.35">
      <c r="A1007" s="1" t="s">
        <v>1002</v>
      </c>
      <c r="B1007" s="2">
        <v>45222.415277777778</v>
      </c>
      <c r="C1007" s="1" t="s">
        <v>1012</v>
      </c>
      <c r="D1007">
        <v>73</v>
      </c>
      <c r="E1007" s="1" t="s">
        <v>735</v>
      </c>
    </row>
    <row r="1008" spans="1:5" x14ac:dyDescent="0.35">
      <c r="A1008" s="1" t="s">
        <v>1267</v>
      </c>
      <c r="B1008" s="2">
        <v>45223.365277777782</v>
      </c>
      <c r="C1008" s="1" t="s">
        <v>1274</v>
      </c>
      <c r="D1008">
        <v>104</v>
      </c>
      <c r="E1008" s="1" t="s">
        <v>738</v>
      </c>
    </row>
    <row r="1009" spans="1:5" x14ac:dyDescent="0.35">
      <c r="A1009" s="1" t="s">
        <v>733</v>
      </c>
      <c r="B1009" s="2">
        <v>45203.511805555558</v>
      </c>
      <c r="C1009" s="1" t="s">
        <v>763</v>
      </c>
      <c r="D1009">
        <v>64</v>
      </c>
      <c r="E1009" s="1" t="s">
        <v>740</v>
      </c>
    </row>
    <row r="1010" spans="1:5" x14ac:dyDescent="0.35">
      <c r="A1010" s="1" t="s">
        <v>905</v>
      </c>
      <c r="B1010" s="2">
        <v>45220.206944444442</v>
      </c>
      <c r="C1010" s="1" t="s">
        <v>932</v>
      </c>
      <c r="D1010">
        <v>25</v>
      </c>
      <c r="E1010" s="1" t="s">
        <v>735</v>
      </c>
    </row>
    <row r="1011" spans="1:5" x14ac:dyDescent="0.35">
      <c r="A1011" s="1" t="s">
        <v>1389</v>
      </c>
      <c r="B1011" s="2">
        <v>45219.929166666669</v>
      </c>
      <c r="C1011" s="1" t="s">
        <v>1401</v>
      </c>
      <c r="D1011">
        <v>115</v>
      </c>
      <c r="E1011" s="1" t="s">
        <v>735</v>
      </c>
    </row>
    <row r="1012" spans="1:5" x14ac:dyDescent="0.35">
      <c r="A1012" s="1" t="s">
        <v>733</v>
      </c>
      <c r="B1012" s="2">
        <v>45208.863888888889</v>
      </c>
      <c r="C1012" s="1" t="s">
        <v>772</v>
      </c>
      <c r="D1012">
        <v>92</v>
      </c>
      <c r="E1012" s="1" t="s">
        <v>735</v>
      </c>
    </row>
    <row r="1013" spans="1:5" x14ac:dyDescent="0.35">
      <c r="A1013" s="1" t="s">
        <v>1120</v>
      </c>
      <c r="B1013" s="2">
        <v>45218.631944444453</v>
      </c>
      <c r="C1013" s="1" t="s">
        <v>772</v>
      </c>
      <c r="D1013">
        <v>42</v>
      </c>
      <c r="E1013" s="1" t="s">
        <v>738</v>
      </c>
    </row>
    <row r="1014" spans="1:5" x14ac:dyDescent="0.35">
      <c r="A1014" s="1" t="s">
        <v>1199</v>
      </c>
      <c r="B1014" s="2">
        <v>45220.368055555547</v>
      </c>
      <c r="C1014" s="1" t="s">
        <v>1205</v>
      </c>
      <c r="D1014">
        <v>47</v>
      </c>
      <c r="E1014" s="1" t="s">
        <v>740</v>
      </c>
    </row>
    <row r="1015" spans="1:5" x14ac:dyDescent="0.35">
      <c r="A1015" s="1" t="s">
        <v>1389</v>
      </c>
      <c r="B1015" s="2">
        <v>45210.921527777777</v>
      </c>
      <c r="C1015" s="1" t="s">
        <v>1205</v>
      </c>
      <c r="D1015">
        <v>86</v>
      </c>
      <c r="E1015" s="1" t="s">
        <v>738</v>
      </c>
    </row>
    <row r="1016" spans="1:5" x14ac:dyDescent="0.35">
      <c r="A1016" s="1" t="s">
        <v>1414</v>
      </c>
      <c r="B1016" s="2">
        <v>45214.931250000001</v>
      </c>
      <c r="C1016" s="1" t="s">
        <v>1205</v>
      </c>
      <c r="D1016">
        <v>81</v>
      </c>
      <c r="E1016" s="1" t="s">
        <v>738</v>
      </c>
    </row>
    <row r="1017" spans="1:5" x14ac:dyDescent="0.35">
      <c r="A1017" s="1" t="s">
        <v>1028</v>
      </c>
      <c r="B1017" s="2">
        <v>45229.670138888891</v>
      </c>
      <c r="C1017" s="1" t="s">
        <v>1056</v>
      </c>
      <c r="D1017">
        <v>41</v>
      </c>
      <c r="E1017" s="1" t="s">
        <v>740</v>
      </c>
    </row>
    <row r="1018" spans="1:5" x14ac:dyDescent="0.35">
      <c r="A1018" s="1" t="s">
        <v>1091</v>
      </c>
      <c r="B1018" s="2">
        <v>45216.463888888888</v>
      </c>
      <c r="C1018" s="1" t="s">
        <v>1056</v>
      </c>
      <c r="D1018">
        <v>58</v>
      </c>
      <c r="E1018" s="1" t="s">
        <v>735</v>
      </c>
    </row>
    <row r="1019" spans="1:5" x14ac:dyDescent="0.35">
      <c r="A1019" s="1" t="s">
        <v>1247</v>
      </c>
      <c r="B1019" s="2">
        <v>45212.115277777782</v>
      </c>
      <c r="C1019" s="1" t="s">
        <v>1056</v>
      </c>
      <c r="D1019">
        <v>15</v>
      </c>
      <c r="E1019" s="1" t="s">
        <v>738</v>
      </c>
    </row>
    <row r="1020" spans="1:5" x14ac:dyDescent="0.35">
      <c r="A1020" s="1" t="s">
        <v>1120</v>
      </c>
      <c r="B1020" s="2">
        <v>45201.780555555553</v>
      </c>
      <c r="C1020" s="1" t="s">
        <v>1133</v>
      </c>
      <c r="D1020">
        <v>15</v>
      </c>
      <c r="E1020" s="1" t="s">
        <v>735</v>
      </c>
    </row>
    <row r="1021" spans="1:5" x14ac:dyDescent="0.35">
      <c r="A1021" s="1" t="s">
        <v>1314</v>
      </c>
      <c r="B1021" s="2">
        <v>45225.054166666669</v>
      </c>
      <c r="C1021" s="1" t="s">
        <v>1327</v>
      </c>
      <c r="D1021">
        <v>38</v>
      </c>
      <c r="E1021" s="1" t="s">
        <v>740</v>
      </c>
    </row>
    <row r="1022" spans="1:5" x14ac:dyDescent="0.35">
      <c r="A1022" s="1" t="s">
        <v>1144</v>
      </c>
      <c r="B1022" s="2">
        <v>45203.884027777778</v>
      </c>
      <c r="C1022" s="1" t="s">
        <v>1164</v>
      </c>
      <c r="D1022">
        <v>116</v>
      </c>
      <c r="E1022" s="1" t="s">
        <v>738</v>
      </c>
    </row>
    <row r="1023" spans="1:5" x14ac:dyDescent="0.35">
      <c r="A1023" s="1" t="s">
        <v>1389</v>
      </c>
      <c r="B1023" s="2">
        <v>45209.940972222219</v>
      </c>
      <c r="C1023" s="1" t="s">
        <v>1164</v>
      </c>
      <c r="D1023">
        <v>30</v>
      </c>
      <c r="E1023" s="1" t="s">
        <v>740</v>
      </c>
    </row>
    <row r="1024" spans="1:5" x14ac:dyDescent="0.35">
      <c r="A1024" s="1" t="s">
        <v>1171</v>
      </c>
      <c r="B1024" s="2">
        <v>45208.529861111107</v>
      </c>
      <c r="C1024" s="1" t="s">
        <v>1181</v>
      </c>
      <c r="D1024">
        <v>72</v>
      </c>
      <c r="E1024" s="1" t="s">
        <v>740</v>
      </c>
    </row>
    <row r="1025" spans="1:5" x14ac:dyDescent="0.35">
      <c r="A1025" s="1" t="s">
        <v>1247</v>
      </c>
      <c r="B1025" s="2">
        <v>45230.638888888891</v>
      </c>
      <c r="C1025" s="1" t="s">
        <v>1248</v>
      </c>
      <c r="D1025">
        <v>77</v>
      </c>
      <c r="E1025" s="1" t="s">
        <v>738</v>
      </c>
    </row>
    <row r="1026" spans="1:5" x14ac:dyDescent="0.35">
      <c r="A1026" s="1" t="s">
        <v>1199</v>
      </c>
      <c r="B1026" s="2">
        <v>45211.337500000001</v>
      </c>
      <c r="C1026" s="1" t="s">
        <v>1213</v>
      </c>
      <c r="D1026">
        <v>88</v>
      </c>
      <c r="E1026" s="1" t="s">
        <v>738</v>
      </c>
    </row>
    <row r="1027" spans="1:5" x14ac:dyDescent="0.35">
      <c r="A1027" s="1" t="s">
        <v>942</v>
      </c>
      <c r="B1027" s="2">
        <v>45205.102777777778</v>
      </c>
      <c r="C1027" s="1" t="s">
        <v>977</v>
      </c>
      <c r="D1027">
        <v>84</v>
      </c>
      <c r="E1027" s="1" t="s">
        <v>740</v>
      </c>
    </row>
    <row r="1028" spans="1:5" x14ac:dyDescent="0.35">
      <c r="A1028" s="1" t="s">
        <v>782</v>
      </c>
      <c r="B1028" s="2">
        <v>45201.670138888891</v>
      </c>
      <c r="C1028" s="1" t="s">
        <v>810</v>
      </c>
      <c r="D1028">
        <v>22</v>
      </c>
      <c r="E1028" s="1" t="s">
        <v>740</v>
      </c>
    </row>
    <row r="1029" spans="1:5" x14ac:dyDescent="0.35">
      <c r="A1029" s="1" t="s">
        <v>1091</v>
      </c>
      <c r="B1029" s="2">
        <v>45219.997916666667</v>
      </c>
      <c r="C1029" s="1" t="s">
        <v>810</v>
      </c>
      <c r="D1029">
        <v>102</v>
      </c>
      <c r="E1029" s="1" t="s">
        <v>738</v>
      </c>
    </row>
    <row r="1030" spans="1:5" x14ac:dyDescent="0.35">
      <c r="A1030" s="1" t="s">
        <v>1091</v>
      </c>
      <c r="B1030" s="2">
        <v>45225.177083333343</v>
      </c>
      <c r="C1030" s="1" t="s">
        <v>1096</v>
      </c>
      <c r="D1030">
        <v>36</v>
      </c>
      <c r="E1030" s="1" t="s">
        <v>740</v>
      </c>
    </row>
    <row r="1031" spans="1:5" x14ac:dyDescent="0.35">
      <c r="A1031" s="1" t="s">
        <v>733</v>
      </c>
      <c r="B1031" s="2">
        <v>45207.982638888891</v>
      </c>
      <c r="C1031" s="1" t="s">
        <v>781</v>
      </c>
      <c r="D1031">
        <v>25</v>
      </c>
      <c r="E1031" s="1" t="s">
        <v>740</v>
      </c>
    </row>
    <row r="1032" spans="1:5" x14ac:dyDescent="0.35">
      <c r="A1032" s="1" t="s">
        <v>1028</v>
      </c>
      <c r="B1032" s="2">
        <v>45215.67291666667</v>
      </c>
      <c r="C1032" s="1" t="s">
        <v>781</v>
      </c>
      <c r="D1032">
        <v>117</v>
      </c>
      <c r="E1032" s="1" t="s">
        <v>740</v>
      </c>
    </row>
    <row r="1033" spans="1:5" x14ac:dyDescent="0.35">
      <c r="A1033" s="1" t="s">
        <v>864</v>
      </c>
      <c r="B1033" s="2">
        <v>45201.35</v>
      </c>
      <c r="C1033" s="1" t="s">
        <v>873</v>
      </c>
      <c r="D1033">
        <v>73</v>
      </c>
      <c r="E1033" s="1" t="s">
        <v>735</v>
      </c>
    </row>
    <row r="1034" spans="1:5" x14ac:dyDescent="0.35">
      <c r="A1034" s="1" t="s">
        <v>1002</v>
      </c>
      <c r="B1034" s="2">
        <v>45217.818749999999</v>
      </c>
      <c r="C1034" s="1" t="s">
        <v>873</v>
      </c>
      <c r="D1034">
        <v>100</v>
      </c>
      <c r="E1034" s="1" t="s">
        <v>735</v>
      </c>
    </row>
    <row r="1035" spans="1:5" x14ac:dyDescent="0.35">
      <c r="A1035" s="1" t="s">
        <v>1063</v>
      </c>
      <c r="B1035" s="2">
        <v>45217.701388888891</v>
      </c>
      <c r="C1035" s="1" t="s">
        <v>873</v>
      </c>
      <c r="D1035">
        <v>71</v>
      </c>
      <c r="E1035" s="1" t="s">
        <v>738</v>
      </c>
    </row>
    <row r="1036" spans="1:5" x14ac:dyDescent="0.35">
      <c r="A1036" s="1" t="s">
        <v>1294</v>
      </c>
      <c r="B1036" s="2">
        <v>45202.289583333331</v>
      </c>
      <c r="C1036" s="1" t="s">
        <v>873</v>
      </c>
      <c r="D1036">
        <v>103</v>
      </c>
      <c r="E1036" s="1" t="s">
        <v>738</v>
      </c>
    </row>
    <row r="1037" spans="1:5" x14ac:dyDescent="0.35">
      <c r="A1037" s="1" t="s">
        <v>1294</v>
      </c>
      <c r="B1037" s="2">
        <v>45205.768750000003</v>
      </c>
      <c r="C1037" s="1" t="s">
        <v>1303</v>
      </c>
      <c r="D1037">
        <v>36</v>
      </c>
      <c r="E1037" s="1" t="s">
        <v>735</v>
      </c>
    </row>
    <row r="1038" spans="1:5" x14ac:dyDescent="0.35">
      <c r="A1038" s="1" t="s">
        <v>826</v>
      </c>
      <c r="B1038" s="2">
        <v>45203.810416666667</v>
      </c>
      <c r="C1038" s="1" t="s">
        <v>830</v>
      </c>
      <c r="D1038">
        <v>78</v>
      </c>
      <c r="E1038" s="1" t="s">
        <v>740</v>
      </c>
    </row>
    <row r="1039" spans="1:5" x14ac:dyDescent="0.35">
      <c r="A1039" s="1" t="s">
        <v>1368</v>
      </c>
      <c r="B1039" s="2">
        <v>45213.584722222222</v>
      </c>
      <c r="C1039" s="1" t="s">
        <v>1383</v>
      </c>
      <c r="D1039">
        <v>35</v>
      </c>
      <c r="E1039" s="1" t="s">
        <v>738</v>
      </c>
    </row>
    <row r="1040" spans="1:5" x14ac:dyDescent="0.35">
      <c r="A1040" s="1" t="s">
        <v>1414</v>
      </c>
      <c r="B1040" s="2">
        <v>45225.888194444437</v>
      </c>
      <c r="C1040" s="1" t="s">
        <v>1421</v>
      </c>
      <c r="D1040">
        <v>87</v>
      </c>
      <c r="E1040" s="1" t="s">
        <v>740</v>
      </c>
    </row>
    <row r="1041" spans="1:5" x14ac:dyDescent="0.35">
      <c r="A1041" s="1" t="s">
        <v>1063</v>
      </c>
      <c r="B1041" s="2">
        <v>45226.895138888889</v>
      </c>
      <c r="C1041" s="1" t="s">
        <v>1082</v>
      </c>
      <c r="D1041">
        <v>42</v>
      </c>
      <c r="E1041" s="1" t="s">
        <v>735</v>
      </c>
    </row>
    <row r="1042" spans="1:5" x14ac:dyDescent="0.35">
      <c r="A1042" s="1" t="s">
        <v>1199</v>
      </c>
      <c r="B1042" s="2">
        <v>45223.513888888891</v>
      </c>
      <c r="C1042" s="1" t="s">
        <v>1082</v>
      </c>
      <c r="D1042">
        <v>109</v>
      </c>
      <c r="E1042" s="1" t="s">
        <v>738</v>
      </c>
    </row>
    <row r="1043" spans="1:5" x14ac:dyDescent="0.35">
      <c r="A1043" s="1" t="s">
        <v>1336</v>
      </c>
      <c r="B1043" s="2">
        <v>45208.494444444441</v>
      </c>
      <c r="C1043" s="1" t="s">
        <v>1082</v>
      </c>
      <c r="D1043">
        <v>59</v>
      </c>
      <c r="E1043" s="1" t="s">
        <v>738</v>
      </c>
    </row>
    <row r="1044" spans="1:5" x14ac:dyDescent="0.35">
      <c r="A1044" s="1" t="s">
        <v>733</v>
      </c>
      <c r="B1044" s="2">
        <v>45204.962500000001</v>
      </c>
      <c r="C1044" s="1" t="s">
        <v>737</v>
      </c>
      <c r="D1044">
        <v>100</v>
      </c>
      <c r="E1044" s="1" t="s">
        <v>738</v>
      </c>
    </row>
    <row r="1045" spans="1:5" x14ac:dyDescent="0.35">
      <c r="A1045" s="1" t="s">
        <v>733</v>
      </c>
      <c r="B1045" s="2">
        <v>45224.378472222219</v>
      </c>
      <c r="C1045" s="1" t="s">
        <v>737</v>
      </c>
      <c r="D1045">
        <v>53</v>
      </c>
      <c r="E1045" s="1" t="s">
        <v>740</v>
      </c>
    </row>
    <row r="1046" spans="1:5" x14ac:dyDescent="0.35">
      <c r="A1046" s="1" t="s">
        <v>1247</v>
      </c>
      <c r="B1046" s="2">
        <v>45202.487500000003</v>
      </c>
      <c r="C1046" s="1" t="s">
        <v>1258</v>
      </c>
      <c r="D1046">
        <v>22</v>
      </c>
      <c r="E1046" s="1" t="s">
        <v>740</v>
      </c>
    </row>
    <row r="1047" spans="1:5" x14ac:dyDescent="0.35">
      <c r="A1047" s="1" t="s">
        <v>1389</v>
      </c>
      <c r="B1047" s="2">
        <v>45219.907638888893</v>
      </c>
      <c r="C1047" s="1" t="s">
        <v>1411</v>
      </c>
      <c r="D1047">
        <v>92</v>
      </c>
      <c r="E1047" s="1" t="s">
        <v>738</v>
      </c>
    </row>
    <row r="1048" spans="1:5" x14ac:dyDescent="0.35">
      <c r="A1048" s="1" t="s">
        <v>1171</v>
      </c>
      <c r="B1048" s="2">
        <v>45206.472222222219</v>
      </c>
      <c r="C1048" s="1" t="s">
        <v>1191</v>
      </c>
      <c r="D1048">
        <v>69</v>
      </c>
      <c r="E1048" s="1" t="s">
        <v>740</v>
      </c>
    </row>
    <row r="1049" spans="1:5" x14ac:dyDescent="0.35">
      <c r="A1049" s="1" t="s">
        <v>1267</v>
      </c>
      <c r="B1049" s="2">
        <v>45209.907638888893</v>
      </c>
      <c r="C1049" s="1" t="s">
        <v>1270</v>
      </c>
      <c r="D1049">
        <v>99</v>
      </c>
      <c r="E1049" s="1" t="s">
        <v>740</v>
      </c>
    </row>
    <row r="1050" spans="1:5" x14ac:dyDescent="0.35">
      <c r="A1050" s="1" t="s">
        <v>1091</v>
      </c>
      <c r="B1050" s="2">
        <v>45209.53125</v>
      </c>
      <c r="C1050" s="1" t="s">
        <v>1101</v>
      </c>
      <c r="D1050">
        <v>63</v>
      </c>
      <c r="E1050" s="1" t="s">
        <v>735</v>
      </c>
    </row>
    <row r="1051" spans="1:5" x14ac:dyDescent="0.35">
      <c r="A1051" s="1" t="s">
        <v>1368</v>
      </c>
      <c r="B1051" s="2">
        <v>45225.213194444441</v>
      </c>
      <c r="C1051" s="1" t="s">
        <v>1374</v>
      </c>
      <c r="D1051">
        <v>35</v>
      </c>
      <c r="E1051" s="1" t="s">
        <v>740</v>
      </c>
    </row>
    <row r="1052" spans="1:5" x14ac:dyDescent="0.35">
      <c r="A1052" s="1" t="s">
        <v>1120</v>
      </c>
      <c r="B1052" s="2">
        <v>45224.775000000001</v>
      </c>
      <c r="C1052" s="1" t="s">
        <v>1130</v>
      </c>
      <c r="D1052">
        <v>107</v>
      </c>
      <c r="E1052" s="1" t="s">
        <v>740</v>
      </c>
    </row>
    <row r="1053" spans="1:5" x14ac:dyDescent="0.35">
      <c r="A1053" s="1" t="s">
        <v>1120</v>
      </c>
      <c r="B1053" s="2">
        <v>45216.274305555547</v>
      </c>
      <c r="C1053" s="1" t="s">
        <v>1130</v>
      </c>
      <c r="D1053">
        <v>30</v>
      </c>
      <c r="E1053" s="1" t="s">
        <v>738</v>
      </c>
    </row>
    <row r="1054" spans="1:5" x14ac:dyDescent="0.35">
      <c r="A1054" s="1" t="s">
        <v>1267</v>
      </c>
      <c r="B1054" s="2">
        <v>45230.50277777778</v>
      </c>
      <c r="C1054" s="1" t="s">
        <v>1130</v>
      </c>
      <c r="D1054">
        <v>99</v>
      </c>
      <c r="E1054" s="1" t="s">
        <v>735</v>
      </c>
    </row>
    <row r="1055" spans="1:5" x14ac:dyDescent="0.35">
      <c r="A1055" s="1" t="s">
        <v>1028</v>
      </c>
      <c r="B1055" s="2">
        <v>45201.057638888888</v>
      </c>
      <c r="C1055" s="1" t="s">
        <v>1029</v>
      </c>
      <c r="D1055">
        <v>103</v>
      </c>
      <c r="E1055" s="1" t="s">
        <v>735</v>
      </c>
    </row>
    <row r="1056" spans="1:5" x14ac:dyDescent="0.35">
      <c r="A1056" s="1" t="s">
        <v>1314</v>
      </c>
      <c r="B1056" s="2">
        <v>45226.659722222219</v>
      </c>
      <c r="C1056" s="1" t="s">
        <v>1029</v>
      </c>
      <c r="D1056">
        <v>65</v>
      </c>
      <c r="E1056" s="1" t="s">
        <v>738</v>
      </c>
    </row>
    <row r="1057" spans="1:5" x14ac:dyDescent="0.35">
      <c r="A1057" s="1" t="s">
        <v>1002</v>
      </c>
      <c r="B1057" s="2">
        <v>45207.140277777777</v>
      </c>
      <c r="C1057" s="1" t="s">
        <v>1006</v>
      </c>
      <c r="D1057">
        <v>46</v>
      </c>
      <c r="E1057" s="1" t="s">
        <v>738</v>
      </c>
    </row>
    <row r="1058" spans="1:5" x14ac:dyDescent="0.35">
      <c r="A1058" s="1" t="s">
        <v>1028</v>
      </c>
      <c r="B1058" s="2">
        <v>45220.847916666673</v>
      </c>
      <c r="C1058" s="1" t="s">
        <v>1006</v>
      </c>
      <c r="D1058">
        <v>103</v>
      </c>
      <c r="E1058" s="1" t="s">
        <v>735</v>
      </c>
    </row>
    <row r="1059" spans="1:5" x14ac:dyDescent="0.35">
      <c r="A1059" s="1" t="s">
        <v>1091</v>
      </c>
      <c r="B1059" s="2">
        <v>45201.867361111108</v>
      </c>
      <c r="C1059" s="1" t="s">
        <v>1006</v>
      </c>
      <c r="D1059">
        <v>18</v>
      </c>
      <c r="E1059" s="1" t="s">
        <v>735</v>
      </c>
    </row>
    <row r="1060" spans="1:5" x14ac:dyDescent="0.35">
      <c r="A1060" s="1" t="s">
        <v>1336</v>
      </c>
      <c r="B1060" s="2">
        <v>45215.372916666667</v>
      </c>
      <c r="C1060" s="1" t="s">
        <v>1006</v>
      </c>
      <c r="D1060">
        <v>70</v>
      </c>
      <c r="E1060" s="1" t="s">
        <v>738</v>
      </c>
    </row>
    <row r="1061" spans="1:5" x14ac:dyDescent="0.35">
      <c r="A1061" s="1" t="s">
        <v>942</v>
      </c>
      <c r="B1061" s="2">
        <v>45209.852083333331</v>
      </c>
      <c r="C1061" s="1" t="s">
        <v>979</v>
      </c>
      <c r="D1061">
        <v>91</v>
      </c>
      <c r="E1061" s="1" t="s">
        <v>740</v>
      </c>
    </row>
    <row r="1062" spans="1:5" x14ac:dyDescent="0.35">
      <c r="A1062" s="1" t="s">
        <v>905</v>
      </c>
      <c r="B1062" s="2">
        <v>45226.100694444453</v>
      </c>
      <c r="C1062" s="1" t="s">
        <v>908</v>
      </c>
      <c r="D1062">
        <v>110</v>
      </c>
      <c r="E1062" s="1" t="s">
        <v>738</v>
      </c>
    </row>
    <row r="1063" spans="1:5" x14ac:dyDescent="0.35">
      <c r="A1063" s="1" t="s">
        <v>1294</v>
      </c>
      <c r="B1063" s="2">
        <v>45205.345138888893</v>
      </c>
      <c r="C1063" s="1" t="s">
        <v>908</v>
      </c>
      <c r="D1063">
        <v>109</v>
      </c>
      <c r="E1063" s="1" t="s">
        <v>738</v>
      </c>
    </row>
    <row r="1064" spans="1:5" x14ac:dyDescent="0.35">
      <c r="A1064" s="1" t="s">
        <v>942</v>
      </c>
      <c r="B1064" s="2">
        <v>45213.779861111107</v>
      </c>
      <c r="C1064" s="1" t="s">
        <v>970</v>
      </c>
      <c r="D1064">
        <v>120</v>
      </c>
      <c r="E1064" s="1" t="s">
        <v>735</v>
      </c>
    </row>
    <row r="1065" spans="1:5" x14ac:dyDescent="0.35">
      <c r="A1065" s="1" t="s">
        <v>1314</v>
      </c>
      <c r="B1065" s="2">
        <v>45222.902777777781</v>
      </c>
      <c r="C1065" s="1" t="s">
        <v>970</v>
      </c>
      <c r="D1065">
        <v>31</v>
      </c>
      <c r="E1065" s="1" t="s">
        <v>740</v>
      </c>
    </row>
    <row r="1066" spans="1:5" x14ac:dyDescent="0.35">
      <c r="A1066" s="1" t="s">
        <v>733</v>
      </c>
      <c r="B1066" s="2">
        <v>45216.792361111111</v>
      </c>
      <c r="C1066" s="1" t="s">
        <v>744</v>
      </c>
      <c r="D1066">
        <v>56</v>
      </c>
      <c r="E1066" s="1" t="s">
        <v>735</v>
      </c>
    </row>
    <row r="1067" spans="1:5" x14ac:dyDescent="0.35">
      <c r="A1067" s="1" t="s">
        <v>1267</v>
      </c>
      <c r="B1067" s="2">
        <v>45203.03125</v>
      </c>
      <c r="C1067" s="1" t="s">
        <v>744</v>
      </c>
      <c r="D1067">
        <v>36</v>
      </c>
      <c r="E1067" s="1" t="s">
        <v>740</v>
      </c>
    </row>
    <row r="1068" spans="1:5" x14ac:dyDescent="0.35">
      <c r="A1068" s="1" t="s">
        <v>905</v>
      </c>
      <c r="B1068" s="2">
        <v>45216.729861111111</v>
      </c>
      <c r="C1068" s="1" t="s">
        <v>938</v>
      </c>
      <c r="D1068">
        <v>109</v>
      </c>
      <c r="E1068" s="1" t="s">
        <v>740</v>
      </c>
    </row>
    <row r="1069" spans="1:5" x14ac:dyDescent="0.35">
      <c r="A1069" s="1" t="s">
        <v>1267</v>
      </c>
      <c r="B1069" s="2">
        <v>45224.164583333331</v>
      </c>
      <c r="C1069" s="1" t="s">
        <v>1282</v>
      </c>
      <c r="D1069">
        <v>57</v>
      </c>
      <c r="E1069" s="1" t="s">
        <v>738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CA21-D827-42F3-8DAC-4B01E178B0DE}">
  <sheetPr>
    <tabColor theme="9" tint="-0.499984740745262"/>
  </sheetPr>
  <dimension ref="A1:G499"/>
  <sheetViews>
    <sheetView topLeftCell="A140" workbookViewId="0">
      <selection activeCell="C150" sqref="C150"/>
    </sheetView>
  </sheetViews>
  <sheetFormatPr baseColWidth="10" defaultRowHeight="14.5" x14ac:dyDescent="0.35"/>
  <cols>
    <col min="1" max="1" width="29.6328125" bestFit="1" customWidth="1"/>
    <col min="2" max="2" width="12.7265625" bestFit="1" customWidth="1"/>
    <col min="3" max="3" width="14.90625" bestFit="1" customWidth="1"/>
    <col min="4" max="4" width="10.453125" bestFit="1" customWidth="1"/>
    <col min="5" max="5" width="11.36328125" bestFit="1" customWidth="1"/>
    <col min="6" max="6" width="13.1796875" bestFit="1" customWidth="1"/>
    <col min="7" max="7" width="15.453125" bestFit="1" customWidth="1"/>
  </cols>
  <sheetData>
    <row r="1" spans="1:7" x14ac:dyDescent="0.35">
      <c r="A1" t="s">
        <v>0</v>
      </c>
      <c r="B1" t="s">
        <v>1425</v>
      </c>
      <c r="C1" t="s">
        <v>1426</v>
      </c>
      <c r="D1" t="s">
        <v>1427</v>
      </c>
      <c r="E1" t="s">
        <v>1428</v>
      </c>
      <c r="F1" t="s">
        <v>1429</v>
      </c>
      <c r="G1" t="s">
        <v>1430</v>
      </c>
    </row>
    <row r="2" spans="1:7" x14ac:dyDescent="0.35">
      <c r="A2" s="1" t="s">
        <v>1565</v>
      </c>
      <c r="B2" s="1" t="s">
        <v>766</v>
      </c>
      <c r="C2" s="1" t="s">
        <v>83</v>
      </c>
      <c r="D2">
        <v>-8.1437910000000002</v>
      </c>
      <c r="E2">
        <v>28.946161</v>
      </c>
      <c r="F2" s="1" t="s">
        <v>1435</v>
      </c>
      <c r="G2" s="1" t="s">
        <v>1438</v>
      </c>
    </row>
    <row r="3" spans="1:7" x14ac:dyDescent="0.35">
      <c r="A3" s="1" t="s">
        <v>1529</v>
      </c>
      <c r="B3" s="1" t="s">
        <v>914</v>
      </c>
      <c r="C3" s="1" t="s">
        <v>41</v>
      </c>
      <c r="D3">
        <v>-10.442425</v>
      </c>
      <c r="E3">
        <v>23.243632000000002</v>
      </c>
      <c r="F3" s="1" t="s">
        <v>1435</v>
      </c>
      <c r="G3" s="1" t="s">
        <v>1445</v>
      </c>
    </row>
    <row r="4" spans="1:7" x14ac:dyDescent="0.35">
      <c r="A4" s="1" t="s">
        <v>1588</v>
      </c>
      <c r="B4" s="1" t="s">
        <v>1591</v>
      </c>
      <c r="C4" s="1" t="s">
        <v>57</v>
      </c>
      <c r="D4">
        <v>-3.544581</v>
      </c>
      <c r="E4">
        <v>14.776605</v>
      </c>
      <c r="F4" s="1" t="s">
        <v>1435</v>
      </c>
      <c r="G4" s="1" t="s">
        <v>1445</v>
      </c>
    </row>
    <row r="5" spans="1:7" x14ac:dyDescent="0.35">
      <c r="A5" s="1" t="s">
        <v>1529</v>
      </c>
      <c r="B5" s="1" t="s">
        <v>1129</v>
      </c>
      <c r="C5" s="1" t="s">
        <v>24</v>
      </c>
      <c r="D5">
        <v>-2.8532869999999999</v>
      </c>
      <c r="E5">
        <v>22.117896000000002</v>
      </c>
      <c r="F5" s="1" t="s">
        <v>1432</v>
      </c>
      <c r="G5" s="1" t="s">
        <v>1436</v>
      </c>
    </row>
    <row r="6" spans="1:7" x14ac:dyDescent="0.35">
      <c r="A6" s="1" t="s">
        <v>1473</v>
      </c>
      <c r="B6" s="1" t="s">
        <v>1172</v>
      </c>
      <c r="C6" s="1" t="s">
        <v>68</v>
      </c>
      <c r="D6">
        <v>4.7777349999999998</v>
      </c>
      <c r="E6">
        <v>16.392204</v>
      </c>
      <c r="F6" s="1" t="s">
        <v>1432</v>
      </c>
      <c r="G6" s="1" t="s">
        <v>1438</v>
      </c>
    </row>
    <row r="7" spans="1:7" x14ac:dyDescent="0.35">
      <c r="A7" s="1" t="s">
        <v>1529</v>
      </c>
      <c r="B7" s="1" t="s">
        <v>1339</v>
      </c>
      <c r="C7" s="1" t="s">
        <v>17</v>
      </c>
      <c r="D7">
        <v>-11.89448</v>
      </c>
      <c r="E7">
        <v>19.216214999999998</v>
      </c>
      <c r="F7" s="1" t="s">
        <v>1437</v>
      </c>
      <c r="G7" s="1" t="s">
        <v>1438</v>
      </c>
    </row>
    <row r="8" spans="1:7" x14ac:dyDescent="0.35">
      <c r="A8" s="1" t="s">
        <v>1588</v>
      </c>
      <c r="B8" s="1" t="s">
        <v>808</v>
      </c>
      <c r="C8" s="1" t="s">
        <v>23</v>
      </c>
      <c r="D8">
        <v>4.4712560000000003</v>
      </c>
      <c r="E8">
        <v>27.107028</v>
      </c>
      <c r="F8" s="1" t="s">
        <v>1437</v>
      </c>
      <c r="G8" s="1" t="s">
        <v>1433</v>
      </c>
    </row>
    <row r="9" spans="1:7" x14ac:dyDescent="0.35">
      <c r="A9" s="1" t="s">
        <v>1458</v>
      </c>
      <c r="B9" s="1" t="s">
        <v>871</v>
      </c>
      <c r="C9" s="1" t="s">
        <v>41</v>
      </c>
      <c r="D9">
        <v>-1.607639</v>
      </c>
      <c r="E9">
        <v>17.003636</v>
      </c>
      <c r="F9" s="1" t="s">
        <v>1435</v>
      </c>
      <c r="G9" s="1" t="s">
        <v>1433</v>
      </c>
    </row>
    <row r="10" spans="1:7" x14ac:dyDescent="0.35">
      <c r="A10" s="1" t="s">
        <v>1565</v>
      </c>
      <c r="B10" s="1" t="s">
        <v>1585</v>
      </c>
      <c r="C10" s="1" t="s">
        <v>59</v>
      </c>
      <c r="D10">
        <v>2.9836019999999999</v>
      </c>
      <c r="E10">
        <v>21.893065</v>
      </c>
      <c r="F10" s="1" t="s">
        <v>1432</v>
      </c>
      <c r="G10" s="1" t="s">
        <v>1445</v>
      </c>
    </row>
    <row r="11" spans="1:7" x14ac:dyDescent="0.35">
      <c r="A11" s="1" t="s">
        <v>1507</v>
      </c>
      <c r="B11" s="1" t="s">
        <v>1522</v>
      </c>
      <c r="C11" s="1" t="s">
        <v>33</v>
      </c>
      <c r="D11">
        <v>-3.419035</v>
      </c>
      <c r="E11">
        <v>29.018315999999999</v>
      </c>
      <c r="F11" s="1" t="s">
        <v>1432</v>
      </c>
      <c r="G11" s="1" t="s">
        <v>1433</v>
      </c>
    </row>
    <row r="12" spans="1:7" x14ac:dyDescent="0.35">
      <c r="A12" s="1" t="s">
        <v>1431</v>
      </c>
      <c r="B12" s="1" t="s">
        <v>770</v>
      </c>
      <c r="C12" s="1" t="s">
        <v>1651</v>
      </c>
      <c r="D12">
        <v>-10.059846</v>
      </c>
      <c r="E12">
        <v>14.375757999999999</v>
      </c>
      <c r="F12" s="1" t="s">
        <v>1435</v>
      </c>
      <c r="G12" s="1" t="s">
        <v>1436</v>
      </c>
    </row>
    <row r="13" spans="1:7" x14ac:dyDescent="0.35">
      <c r="A13" s="1" t="s">
        <v>1488</v>
      </c>
      <c r="B13" s="1" t="s">
        <v>1497</v>
      </c>
      <c r="C13" s="1" t="s">
        <v>17</v>
      </c>
      <c r="D13">
        <v>-9.7801860000000005</v>
      </c>
      <c r="E13">
        <v>16.649550000000001</v>
      </c>
      <c r="F13" s="1" t="s">
        <v>1432</v>
      </c>
      <c r="G13" s="1" t="s">
        <v>1433</v>
      </c>
    </row>
    <row r="14" spans="1:7" x14ac:dyDescent="0.35">
      <c r="A14" s="1" t="s">
        <v>1588</v>
      </c>
      <c r="B14" s="1" t="s">
        <v>1299</v>
      </c>
      <c r="C14" s="1" t="s">
        <v>61</v>
      </c>
      <c r="D14">
        <v>-10.227569000000001</v>
      </c>
      <c r="E14">
        <v>18.887930999999998</v>
      </c>
      <c r="F14" s="1" t="s">
        <v>1437</v>
      </c>
      <c r="G14" s="1" t="s">
        <v>1438</v>
      </c>
    </row>
    <row r="15" spans="1:7" x14ac:dyDescent="0.35">
      <c r="A15" s="1" t="s">
        <v>1431</v>
      </c>
      <c r="B15" s="1" t="s">
        <v>1083</v>
      </c>
      <c r="C15" s="1" t="s">
        <v>62</v>
      </c>
      <c r="D15">
        <v>-11.266565999999999</v>
      </c>
      <c r="E15">
        <v>26.245055000000001</v>
      </c>
      <c r="F15" s="1" t="s">
        <v>1437</v>
      </c>
      <c r="G15" s="1" t="s">
        <v>1433</v>
      </c>
    </row>
    <row r="16" spans="1:7" x14ac:dyDescent="0.35">
      <c r="A16" s="1" t="s">
        <v>1565</v>
      </c>
      <c r="B16" s="1" t="s">
        <v>955</v>
      </c>
      <c r="C16" s="1" t="s">
        <v>17</v>
      </c>
      <c r="D16">
        <v>-6.3324319999999998</v>
      </c>
      <c r="E16">
        <v>24.887858000000001</v>
      </c>
      <c r="F16" s="1" t="s">
        <v>1435</v>
      </c>
      <c r="G16" s="1" t="s">
        <v>1438</v>
      </c>
    </row>
    <row r="17" spans="1:7" x14ac:dyDescent="0.35">
      <c r="A17" s="1" t="s">
        <v>1565</v>
      </c>
      <c r="B17" s="1" t="s">
        <v>816</v>
      </c>
      <c r="C17" s="1" t="s">
        <v>9</v>
      </c>
      <c r="D17">
        <v>-7.0076900000000002</v>
      </c>
      <c r="E17">
        <v>27.367121999999998</v>
      </c>
      <c r="F17" s="1" t="s">
        <v>1437</v>
      </c>
      <c r="G17" s="1" t="s">
        <v>1445</v>
      </c>
    </row>
    <row r="18" spans="1:7" x14ac:dyDescent="0.35">
      <c r="A18" s="1" t="s">
        <v>1431</v>
      </c>
      <c r="B18" s="1" t="s">
        <v>1451</v>
      </c>
      <c r="C18" s="1" t="s">
        <v>9</v>
      </c>
      <c r="D18">
        <v>-0.767455</v>
      </c>
      <c r="E18">
        <v>30.924261000000001</v>
      </c>
      <c r="F18" s="1" t="s">
        <v>1437</v>
      </c>
      <c r="G18" s="1" t="s">
        <v>1436</v>
      </c>
    </row>
    <row r="19" spans="1:7" x14ac:dyDescent="0.35">
      <c r="A19" s="1" t="s">
        <v>1565</v>
      </c>
      <c r="B19" s="1" t="s">
        <v>1308</v>
      </c>
      <c r="C19" s="1" t="s">
        <v>15</v>
      </c>
      <c r="D19">
        <v>4.0988100000000003</v>
      </c>
      <c r="E19">
        <v>29.843810999999999</v>
      </c>
      <c r="F19" s="1" t="s">
        <v>1437</v>
      </c>
      <c r="G19" s="1" t="s">
        <v>1436</v>
      </c>
    </row>
    <row r="20" spans="1:7" x14ac:dyDescent="0.35">
      <c r="A20" s="1" t="s">
        <v>1507</v>
      </c>
      <c r="B20" s="1" t="s">
        <v>1525</v>
      </c>
      <c r="C20" s="1" t="s">
        <v>68</v>
      </c>
      <c r="D20">
        <v>1.472051</v>
      </c>
      <c r="E20">
        <v>17.36289</v>
      </c>
      <c r="F20" s="1" t="s">
        <v>1435</v>
      </c>
      <c r="G20" s="1" t="s">
        <v>1436</v>
      </c>
    </row>
    <row r="21" spans="1:7" x14ac:dyDescent="0.35">
      <c r="A21" s="1" t="s">
        <v>1473</v>
      </c>
      <c r="B21" s="1" t="s">
        <v>951</v>
      </c>
      <c r="C21" s="1" t="s">
        <v>23</v>
      </c>
      <c r="D21">
        <v>0.16841400000000001</v>
      </c>
      <c r="E21">
        <v>30.029876999999999</v>
      </c>
      <c r="F21" s="1" t="s">
        <v>1432</v>
      </c>
      <c r="G21" s="1" t="s">
        <v>1436</v>
      </c>
    </row>
    <row r="22" spans="1:7" x14ac:dyDescent="0.35">
      <c r="A22" s="1" t="s">
        <v>1458</v>
      </c>
      <c r="B22" s="1" t="s">
        <v>1393</v>
      </c>
      <c r="C22" s="1" t="s">
        <v>31</v>
      </c>
      <c r="D22">
        <v>-10.735106</v>
      </c>
      <c r="E22">
        <v>27.868673999999999</v>
      </c>
      <c r="F22" s="1" t="s">
        <v>1437</v>
      </c>
      <c r="G22" s="1" t="s">
        <v>1433</v>
      </c>
    </row>
    <row r="23" spans="1:7" x14ac:dyDescent="0.35">
      <c r="A23" s="1" t="s">
        <v>1458</v>
      </c>
      <c r="B23" s="1" t="s">
        <v>1066</v>
      </c>
      <c r="C23" s="1" t="s">
        <v>122</v>
      </c>
      <c r="D23">
        <v>-6.5529849999999996</v>
      </c>
      <c r="E23">
        <v>21.990606</v>
      </c>
      <c r="F23" s="1" t="s">
        <v>1437</v>
      </c>
      <c r="G23" s="1" t="s">
        <v>1436</v>
      </c>
    </row>
    <row r="24" spans="1:7" x14ac:dyDescent="0.35">
      <c r="A24" s="1" t="s">
        <v>1488</v>
      </c>
      <c r="B24" s="1" t="s">
        <v>1273</v>
      </c>
      <c r="C24" s="1" t="s">
        <v>122</v>
      </c>
      <c r="D24">
        <v>-0.17258100000000001</v>
      </c>
      <c r="E24">
        <v>23.775555000000001</v>
      </c>
      <c r="F24" s="1" t="s">
        <v>1432</v>
      </c>
      <c r="G24" s="1" t="s">
        <v>1445</v>
      </c>
    </row>
    <row r="25" spans="1:7" x14ac:dyDescent="0.35">
      <c r="A25" s="1" t="s">
        <v>1458</v>
      </c>
      <c r="B25" s="1" t="s">
        <v>1472</v>
      </c>
      <c r="C25" s="1" t="s">
        <v>57</v>
      </c>
      <c r="D25">
        <v>-6.7420359999999997</v>
      </c>
      <c r="E25">
        <v>28.905578999999999</v>
      </c>
      <c r="F25" s="1" t="s">
        <v>1437</v>
      </c>
      <c r="G25" s="1" t="s">
        <v>1436</v>
      </c>
    </row>
    <row r="26" spans="1:7" x14ac:dyDescent="0.35">
      <c r="A26" s="1" t="s">
        <v>1549</v>
      </c>
      <c r="B26" s="1" t="s">
        <v>1050</v>
      </c>
      <c r="C26" s="1" t="s">
        <v>15</v>
      </c>
      <c r="D26">
        <v>-1.231033</v>
      </c>
      <c r="E26">
        <v>28.851388</v>
      </c>
      <c r="F26" s="1" t="s">
        <v>1437</v>
      </c>
      <c r="G26" s="1" t="s">
        <v>1433</v>
      </c>
    </row>
    <row r="27" spans="1:7" x14ac:dyDescent="0.35">
      <c r="A27" s="1" t="s">
        <v>1604</v>
      </c>
      <c r="B27" s="1" t="s">
        <v>920</v>
      </c>
      <c r="C27" s="1" t="s">
        <v>41</v>
      </c>
      <c r="D27">
        <v>-9.3652280000000001</v>
      </c>
      <c r="E27">
        <v>18.674116000000001</v>
      </c>
      <c r="F27" s="1" t="s">
        <v>1435</v>
      </c>
      <c r="G27" s="1" t="s">
        <v>1436</v>
      </c>
    </row>
    <row r="28" spans="1:7" x14ac:dyDescent="0.35">
      <c r="A28" s="1" t="s">
        <v>1488</v>
      </c>
      <c r="B28" s="1" t="s">
        <v>1309</v>
      </c>
      <c r="C28" s="1" t="s">
        <v>68</v>
      </c>
      <c r="D28">
        <v>-6.4670189999999996</v>
      </c>
      <c r="E28">
        <v>29.487309</v>
      </c>
      <c r="F28" s="1" t="s">
        <v>1435</v>
      </c>
      <c r="G28" s="1" t="s">
        <v>1438</v>
      </c>
    </row>
    <row r="29" spans="1:7" x14ac:dyDescent="0.35">
      <c r="A29" s="1" t="s">
        <v>1565</v>
      </c>
      <c r="B29" s="1" t="s">
        <v>1073</v>
      </c>
      <c r="C29" s="1" t="s">
        <v>9</v>
      </c>
      <c r="D29">
        <v>-0.34051900000000002</v>
      </c>
      <c r="E29">
        <v>17.079799000000001</v>
      </c>
      <c r="F29" s="1" t="s">
        <v>1432</v>
      </c>
      <c r="G29" s="1" t="s">
        <v>1433</v>
      </c>
    </row>
    <row r="30" spans="1:7" x14ac:dyDescent="0.35">
      <c r="A30" s="1" t="s">
        <v>1458</v>
      </c>
      <c r="B30" s="1" t="s">
        <v>1469</v>
      </c>
      <c r="C30" s="1" t="s">
        <v>68</v>
      </c>
      <c r="D30">
        <v>1.499457</v>
      </c>
      <c r="E30">
        <v>13.876317999999999</v>
      </c>
      <c r="F30" s="1" t="s">
        <v>1432</v>
      </c>
      <c r="G30" s="1" t="s">
        <v>1445</v>
      </c>
    </row>
    <row r="31" spans="1:7" x14ac:dyDescent="0.35">
      <c r="A31" s="1" t="s">
        <v>1565</v>
      </c>
      <c r="B31" s="1" t="s">
        <v>1345</v>
      </c>
      <c r="C31" s="1" t="s">
        <v>54</v>
      </c>
      <c r="D31">
        <v>1.7832440000000001</v>
      </c>
      <c r="E31">
        <v>25.477405999999998</v>
      </c>
      <c r="F31" s="1" t="s">
        <v>1432</v>
      </c>
      <c r="G31" s="1" t="s">
        <v>1436</v>
      </c>
    </row>
    <row r="32" spans="1:7" x14ac:dyDescent="0.35">
      <c r="A32" s="1" t="s">
        <v>1588</v>
      </c>
      <c r="B32" s="1" t="s">
        <v>1413</v>
      </c>
      <c r="C32" s="1" t="s">
        <v>33</v>
      </c>
      <c r="D32">
        <v>-10.764815</v>
      </c>
      <c r="E32">
        <v>14.602039</v>
      </c>
      <c r="F32" s="1" t="s">
        <v>1435</v>
      </c>
      <c r="G32" s="1" t="s">
        <v>1445</v>
      </c>
    </row>
    <row r="33" spans="1:7" x14ac:dyDescent="0.35">
      <c r="A33" s="1" t="s">
        <v>1507</v>
      </c>
      <c r="B33" s="1" t="s">
        <v>1219</v>
      </c>
      <c r="C33" s="1" t="s">
        <v>9</v>
      </c>
      <c r="D33">
        <v>-12.595355</v>
      </c>
      <c r="E33">
        <v>17.897442000000002</v>
      </c>
      <c r="F33" s="1" t="s">
        <v>1435</v>
      </c>
      <c r="G33" s="1" t="s">
        <v>1436</v>
      </c>
    </row>
    <row r="34" spans="1:7" x14ac:dyDescent="0.35">
      <c r="A34" s="1" t="s">
        <v>1588</v>
      </c>
      <c r="B34" s="1" t="s">
        <v>1407</v>
      </c>
      <c r="C34" s="1" t="s">
        <v>31</v>
      </c>
      <c r="D34">
        <v>-8.0800809999999998</v>
      </c>
      <c r="E34">
        <v>30.147970999999998</v>
      </c>
      <c r="F34" s="1" t="s">
        <v>1432</v>
      </c>
      <c r="G34" s="1" t="s">
        <v>1436</v>
      </c>
    </row>
    <row r="35" spans="1:7" x14ac:dyDescent="0.35">
      <c r="A35" s="1" t="s">
        <v>1431</v>
      </c>
      <c r="B35" s="1" t="s">
        <v>809</v>
      </c>
      <c r="C35" s="1" t="s">
        <v>29</v>
      </c>
      <c r="D35">
        <v>-12.141233</v>
      </c>
      <c r="E35">
        <v>15.179043999999999</v>
      </c>
      <c r="F35" s="1" t="s">
        <v>1432</v>
      </c>
      <c r="G35" s="1" t="s">
        <v>1433</v>
      </c>
    </row>
    <row r="36" spans="1:7" x14ac:dyDescent="0.35">
      <c r="A36" s="1" t="s">
        <v>1431</v>
      </c>
      <c r="B36" s="1" t="s">
        <v>1026</v>
      </c>
      <c r="C36" s="1" t="s">
        <v>72</v>
      </c>
      <c r="D36">
        <v>-8.4824669999999998</v>
      </c>
      <c r="E36">
        <v>21.897777999999999</v>
      </c>
      <c r="F36" s="1" t="s">
        <v>1432</v>
      </c>
      <c r="G36" s="1" t="s">
        <v>1433</v>
      </c>
    </row>
    <row r="37" spans="1:7" x14ac:dyDescent="0.35">
      <c r="A37" s="1" t="s">
        <v>1473</v>
      </c>
      <c r="B37" s="1" t="s">
        <v>861</v>
      </c>
      <c r="C37" s="1" t="s">
        <v>9</v>
      </c>
      <c r="D37">
        <v>0.24202000000000001</v>
      </c>
      <c r="E37">
        <v>17.396256999999999</v>
      </c>
      <c r="F37" s="1" t="s">
        <v>1435</v>
      </c>
      <c r="G37" s="1" t="s">
        <v>1436</v>
      </c>
    </row>
    <row r="38" spans="1:7" x14ac:dyDescent="0.35">
      <c r="A38" s="1" t="s">
        <v>1604</v>
      </c>
      <c r="B38" s="1" t="s">
        <v>1020</v>
      </c>
      <c r="C38" s="1" t="s">
        <v>12</v>
      </c>
      <c r="D38">
        <v>-10.577049000000001</v>
      </c>
      <c r="E38">
        <v>23.721854</v>
      </c>
      <c r="F38" s="1" t="s">
        <v>1435</v>
      </c>
      <c r="G38" s="1" t="s">
        <v>1438</v>
      </c>
    </row>
    <row r="39" spans="1:7" x14ac:dyDescent="0.35">
      <c r="A39" s="1" t="s">
        <v>1565</v>
      </c>
      <c r="B39" s="1" t="s">
        <v>1569</v>
      </c>
      <c r="C39" s="1" t="s">
        <v>23</v>
      </c>
      <c r="D39">
        <v>-12.776386</v>
      </c>
      <c r="E39">
        <v>14.157596</v>
      </c>
      <c r="F39" s="1" t="s">
        <v>1437</v>
      </c>
      <c r="G39" s="1" t="s">
        <v>1445</v>
      </c>
    </row>
    <row r="40" spans="1:7" x14ac:dyDescent="0.35">
      <c r="A40" s="1" t="s">
        <v>1431</v>
      </c>
      <c r="B40" s="1" t="s">
        <v>1434</v>
      </c>
      <c r="C40" s="1" t="s">
        <v>48</v>
      </c>
      <c r="D40">
        <v>2.413557</v>
      </c>
      <c r="E40">
        <v>19.690681999999999</v>
      </c>
      <c r="F40" s="1" t="s">
        <v>1435</v>
      </c>
      <c r="G40" s="1" t="s">
        <v>1436</v>
      </c>
    </row>
    <row r="41" spans="1:7" x14ac:dyDescent="0.35">
      <c r="A41" s="1" t="s">
        <v>1529</v>
      </c>
      <c r="B41" s="1" t="s">
        <v>1062</v>
      </c>
      <c r="C41" s="1" t="s">
        <v>20</v>
      </c>
      <c r="D41">
        <v>4.2904629999999999</v>
      </c>
      <c r="E41">
        <v>26.354195000000001</v>
      </c>
      <c r="F41" s="1" t="s">
        <v>1437</v>
      </c>
      <c r="G41" s="1" t="s">
        <v>1433</v>
      </c>
    </row>
    <row r="42" spans="1:7" x14ac:dyDescent="0.35">
      <c r="A42" s="1" t="s">
        <v>1488</v>
      </c>
      <c r="B42" s="1" t="s">
        <v>875</v>
      </c>
      <c r="C42" s="1" t="s">
        <v>126</v>
      </c>
      <c r="D42">
        <v>-9.7803979999999999</v>
      </c>
      <c r="E42">
        <v>17.686595000000001</v>
      </c>
      <c r="F42" s="1" t="s">
        <v>1435</v>
      </c>
      <c r="G42" s="1" t="s">
        <v>1433</v>
      </c>
    </row>
    <row r="43" spans="1:7" x14ac:dyDescent="0.35">
      <c r="A43" s="1" t="s">
        <v>1565</v>
      </c>
      <c r="B43" s="1" t="s">
        <v>1580</v>
      </c>
      <c r="C43" s="1" t="s">
        <v>83</v>
      </c>
      <c r="D43">
        <v>-3.2361680000000002</v>
      </c>
      <c r="E43">
        <v>13.523237999999999</v>
      </c>
      <c r="F43" s="1" t="s">
        <v>1435</v>
      </c>
      <c r="G43" s="1" t="s">
        <v>1436</v>
      </c>
    </row>
    <row r="44" spans="1:7" x14ac:dyDescent="0.35">
      <c r="A44" s="1" t="s">
        <v>1604</v>
      </c>
      <c r="B44" s="1" t="s">
        <v>1245</v>
      </c>
      <c r="C44" s="1" t="s">
        <v>31</v>
      </c>
      <c r="D44">
        <v>-7.3379339999999997</v>
      </c>
      <c r="E44">
        <v>28.404001999999998</v>
      </c>
      <c r="F44" s="1" t="s">
        <v>1437</v>
      </c>
      <c r="G44" s="1" t="s">
        <v>1445</v>
      </c>
    </row>
    <row r="45" spans="1:7" x14ac:dyDescent="0.35">
      <c r="A45" s="1" t="s">
        <v>1549</v>
      </c>
      <c r="B45" s="1" t="s">
        <v>1013</v>
      </c>
      <c r="C45" s="1" t="s">
        <v>33</v>
      </c>
      <c r="D45">
        <v>-4.7886769999999999</v>
      </c>
      <c r="E45">
        <v>23.600221999999999</v>
      </c>
      <c r="F45" s="1" t="s">
        <v>1437</v>
      </c>
      <c r="G45" s="1" t="s">
        <v>1438</v>
      </c>
    </row>
    <row r="46" spans="1:7" x14ac:dyDescent="0.35">
      <c r="A46" s="1" t="s">
        <v>1458</v>
      </c>
      <c r="B46" s="1" t="s">
        <v>959</v>
      </c>
      <c r="C46" s="1" t="s">
        <v>59</v>
      </c>
      <c r="D46">
        <v>2.975352</v>
      </c>
      <c r="E46">
        <v>22.535886000000001</v>
      </c>
      <c r="F46" s="1" t="s">
        <v>1435</v>
      </c>
      <c r="G46" s="1" t="s">
        <v>1436</v>
      </c>
    </row>
    <row r="47" spans="1:7" x14ac:dyDescent="0.35">
      <c r="A47" s="1" t="s">
        <v>1549</v>
      </c>
      <c r="B47" s="1" t="s">
        <v>1372</v>
      </c>
      <c r="C47" s="1" t="s">
        <v>72</v>
      </c>
      <c r="D47">
        <v>-10.650321</v>
      </c>
      <c r="E47">
        <v>15.917044000000001</v>
      </c>
      <c r="F47" s="1" t="s">
        <v>1435</v>
      </c>
      <c r="G47" s="1" t="s">
        <v>1445</v>
      </c>
    </row>
    <row r="48" spans="1:7" x14ac:dyDescent="0.35">
      <c r="A48" s="1" t="s">
        <v>1507</v>
      </c>
      <c r="B48" s="1" t="s">
        <v>888</v>
      </c>
      <c r="C48" s="1" t="s">
        <v>68</v>
      </c>
      <c r="D48">
        <v>3.0603760000000002</v>
      </c>
      <c r="E48">
        <v>19.708034000000001</v>
      </c>
      <c r="F48" s="1" t="s">
        <v>1437</v>
      </c>
      <c r="G48" s="1" t="s">
        <v>1438</v>
      </c>
    </row>
    <row r="49" spans="1:7" x14ac:dyDescent="0.35">
      <c r="A49" s="1" t="s">
        <v>1507</v>
      </c>
      <c r="B49" s="1" t="s">
        <v>1184</v>
      </c>
      <c r="C49" s="1" t="s">
        <v>59</v>
      </c>
      <c r="D49">
        <v>-11.157245</v>
      </c>
      <c r="E49">
        <v>21.262627999999999</v>
      </c>
      <c r="F49" s="1" t="s">
        <v>1432</v>
      </c>
      <c r="G49" s="1" t="s">
        <v>1438</v>
      </c>
    </row>
    <row r="50" spans="1:7" x14ac:dyDescent="0.35">
      <c r="A50" s="1" t="s">
        <v>1529</v>
      </c>
      <c r="B50" s="1" t="s">
        <v>1417</v>
      </c>
      <c r="C50" s="1" t="s">
        <v>118</v>
      </c>
      <c r="D50">
        <v>1.0134879999999999</v>
      </c>
      <c r="E50">
        <v>20.363515</v>
      </c>
      <c r="F50" s="1" t="s">
        <v>1435</v>
      </c>
      <c r="G50" s="1" t="s">
        <v>1445</v>
      </c>
    </row>
    <row r="51" spans="1:7" x14ac:dyDescent="0.35">
      <c r="A51" s="1" t="s">
        <v>1549</v>
      </c>
      <c r="B51" s="1" t="s">
        <v>1126</v>
      </c>
      <c r="C51" s="1" t="s">
        <v>57</v>
      </c>
      <c r="D51">
        <v>-0.79459900000000006</v>
      </c>
      <c r="E51">
        <v>26.775570999999999</v>
      </c>
      <c r="F51" s="1" t="s">
        <v>1432</v>
      </c>
      <c r="G51" s="1" t="s">
        <v>1436</v>
      </c>
    </row>
    <row r="52" spans="1:7" x14ac:dyDescent="0.35">
      <c r="A52" s="1" t="s">
        <v>1473</v>
      </c>
      <c r="B52" s="1" t="s">
        <v>1057</v>
      </c>
      <c r="C52" s="1" t="s">
        <v>24</v>
      </c>
      <c r="D52">
        <v>-2.2876210000000001</v>
      </c>
      <c r="E52">
        <v>27.582545</v>
      </c>
      <c r="F52" s="1" t="s">
        <v>1435</v>
      </c>
      <c r="G52" s="1" t="s">
        <v>1436</v>
      </c>
    </row>
    <row r="53" spans="1:7" x14ac:dyDescent="0.35">
      <c r="A53" s="1" t="s">
        <v>1529</v>
      </c>
      <c r="B53" s="1" t="s">
        <v>1183</v>
      </c>
      <c r="C53" s="1" t="s">
        <v>35</v>
      </c>
      <c r="D53">
        <v>-7.9425049999999997</v>
      </c>
      <c r="E53">
        <v>24.111059000000001</v>
      </c>
      <c r="F53" s="1" t="s">
        <v>1437</v>
      </c>
      <c r="G53" s="1" t="s">
        <v>1438</v>
      </c>
    </row>
    <row r="54" spans="1:7" x14ac:dyDescent="0.35">
      <c r="A54" s="1" t="s">
        <v>1507</v>
      </c>
      <c r="B54" s="1" t="s">
        <v>1521</v>
      </c>
      <c r="C54" s="1" t="s">
        <v>118</v>
      </c>
      <c r="D54">
        <v>-7.8417870000000001</v>
      </c>
      <c r="E54">
        <v>14.730712</v>
      </c>
      <c r="F54" s="1" t="s">
        <v>1432</v>
      </c>
      <c r="G54" s="1" t="s">
        <v>1445</v>
      </c>
    </row>
    <row r="55" spans="1:7" x14ac:dyDescent="0.35">
      <c r="A55" s="1" t="s">
        <v>1488</v>
      </c>
      <c r="B55" s="1" t="s">
        <v>1204</v>
      </c>
      <c r="C55" s="1" t="s">
        <v>72</v>
      </c>
      <c r="D55">
        <v>1.938083</v>
      </c>
      <c r="E55">
        <v>28.25281</v>
      </c>
      <c r="F55" s="1" t="s">
        <v>1435</v>
      </c>
      <c r="G55" s="1" t="s">
        <v>1445</v>
      </c>
    </row>
    <row r="56" spans="1:7" x14ac:dyDescent="0.35">
      <c r="A56" s="1" t="s">
        <v>1588</v>
      </c>
      <c r="B56" s="1" t="s">
        <v>1598</v>
      </c>
      <c r="C56" s="1" t="s">
        <v>29</v>
      </c>
      <c r="D56">
        <v>3.4676979999999999</v>
      </c>
      <c r="E56">
        <v>13.459707</v>
      </c>
      <c r="F56" s="1" t="s">
        <v>1432</v>
      </c>
      <c r="G56" s="1" t="s">
        <v>1436</v>
      </c>
    </row>
    <row r="57" spans="1:7" x14ac:dyDescent="0.35">
      <c r="A57" s="1" t="s">
        <v>1507</v>
      </c>
      <c r="B57" s="1" t="s">
        <v>1367</v>
      </c>
      <c r="C57" s="1" t="s">
        <v>24</v>
      </c>
      <c r="D57">
        <v>-7.3952039999999997</v>
      </c>
      <c r="E57">
        <v>21.651043999999999</v>
      </c>
      <c r="F57" s="1" t="s">
        <v>1435</v>
      </c>
      <c r="G57" s="1" t="s">
        <v>1436</v>
      </c>
    </row>
    <row r="58" spans="1:7" x14ac:dyDescent="0.35">
      <c r="A58" s="1" t="s">
        <v>1488</v>
      </c>
      <c r="B58" s="1" t="s">
        <v>1148</v>
      </c>
      <c r="C58" s="1" t="s">
        <v>31</v>
      </c>
      <c r="D58">
        <v>1.897178</v>
      </c>
      <c r="E58">
        <v>23.902604</v>
      </c>
      <c r="F58" s="1" t="s">
        <v>1437</v>
      </c>
      <c r="G58" s="1" t="s">
        <v>1445</v>
      </c>
    </row>
    <row r="59" spans="1:7" x14ac:dyDescent="0.35">
      <c r="A59" s="1" t="s">
        <v>1604</v>
      </c>
      <c r="B59" s="1" t="s">
        <v>1391</v>
      </c>
      <c r="C59" s="1" t="s">
        <v>24</v>
      </c>
      <c r="D59">
        <v>-1.6893210000000001</v>
      </c>
      <c r="E59">
        <v>30.446543999999999</v>
      </c>
      <c r="F59" s="1" t="s">
        <v>1435</v>
      </c>
      <c r="G59" s="1" t="s">
        <v>1436</v>
      </c>
    </row>
    <row r="60" spans="1:7" x14ac:dyDescent="0.35">
      <c r="A60" s="1" t="s">
        <v>1488</v>
      </c>
      <c r="B60" s="1" t="s">
        <v>823</v>
      </c>
      <c r="C60" s="1" t="s">
        <v>29</v>
      </c>
      <c r="D60">
        <v>-9.3652239999999995</v>
      </c>
      <c r="E60">
        <v>22.593423999999999</v>
      </c>
      <c r="F60" s="1" t="s">
        <v>1432</v>
      </c>
      <c r="G60" s="1" t="s">
        <v>1445</v>
      </c>
    </row>
    <row r="61" spans="1:7" x14ac:dyDescent="0.35">
      <c r="A61" s="1" t="s">
        <v>1604</v>
      </c>
      <c r="B61" s="1" t="s">
        <v>1423</v>
      </c>
      <c r="C61" s="1" t="s">
        <v>48</v>
      </c>
      <c r="D61">
        <v>1.2691650000000001</v>
      </c>
      <c r="E61">
        <v>18.789956</v>
      </c>
      <c r="F61" s="1" t="s">
        <v>1437</v>
      </c>
      <c r="G61" s="1" t="s">
        <v>1445</v>
      </c>
    </row>
    <row r="62" spans="1:7" x14ac:dyDescent="0.35">
      <c r="A62" s="1" t="s">
        <v>1529</v>
      </c>
      <c r="B62" s="1" t="s">
        <v>799</v>
      </c>
      <c r="C62" s="1" t="s">
        <v>37</v>
      </c>
      <c r="D62">
        <v>-10.963041</v>
      </c>
      <c r="E62">
        <v>12.269857</v>
      </c>
      <c r="F62" s="1" t="s">
        <v>1435</v>
      </c>
      <c r="G62" s="1" t="s">
        <v>1436</v>
      </c>
    </row>
    <row r="63" spans="1:7" x14ac:dyDescent="0.35">
      <c r="A63" s="1" t="s">
        <v>1507</v>
      </c>
      <c r="B63" s="1" t="s">
        <v>967</v>
      </c>
      <c r="C63" s="1" t="s">
        <v>20</v>
      </c>
      <c r="D63">
        <v>-9.3900009999999998</v>
      </c>
      <c r="E63">
        <v>30.001517</v>
      </c>
      <c r="F63" s="1" t="s">
        <v>1437</v>
      </c>
      <c r="G63" s="1" t="s">
        <v>1445</v>
      </c>
    </row>
    <row r="64" spans="1:7" x14ac:dyDescent="0.35">
      <c r="A64" s="1" t="s">
        <v>1458</v>
      </c>
      <c r="B64" s="1" t="s">
        <v>1459</v>
      </c>
      <c r="C64" s="1" t="s">
        <v>20</v>
      </c>
      <c r="D64">
        <v>-3.6233270000000002</v>
      </c>
      <c r="E64">
        <v>25.915645999999999</v>
      </c>
      <c r="F64" s="1" t="s">
        <v>1437</v>
      </c>
      <c r="G64" s="1" t="s">
        <v>1436</v>
      </c>
    </row>
    <row r="65" spans="1:7" x14ac:dyDescent="0.35">
      <c r="A65" s="1" t="s">
        <v>1549</v>
      </c>
      <c r="B65" s="1" t="s">
        <v>1047</v>
      </c>
      <c r="C65" s="1" t="s">
        <v>35</v>
      </c>
      <c r="D65">
        <v>-12.229338</v>
      </c>
      <c r="E65">
        <v>29.587834999999998</v>
      </c>
      <c r="F65" s="1" t="s">
        <v>1435</v>
      </c>
      <c r="G65" s="1" t="s">
        <v>1445</v>
      </c>
    </row>
    <row r="66" spans="1:7" x14ac:dyDescent="0.35">
      <c r="A66" s="1" t="s">
        <v>1473</v>
      </c>
      <c r="B66" s="1" t="s">
        <v>1223</v>
      </c>
      <c r="C66" s="1" t="s">
        <v>72</v>
      </c>
      <c r="D66">
        <v>4.8228650000000002</v>
      </c>
      <c r="E66">
        <v>30.555627000000001</v>
      </c>
      <c r="F66" s="1" t="s">
        <v>1435</v>
      </c>
      <c r="G66" s="1" t="s">
        <v>1436</v>
      </c>
    </row>
    <row r="67" spans="1:7" x14ac:dyDescent="0.35">
      <c r="A67" s="1" t="s">
        <v>1431</v>
      </c>
      <c r="B67" s="1" t="s">
        <v>1441</v>
      </c>
      <c r="C67" s="1" t="s">
        <v>35</v>
      </c>
      <c r="D67">
        <v>-12.824638999999999</v>
      </c>
      <c r="E67">
        <v>24.407249</v>
      </c>
      <c r="F67" s="1" t="s">
        <v>1432</v>
      </c>
      <c r="G67" s="1" t="s">
        <v>1436</v>
      </c>
    </row>
    <row r="68" spans="1:7" x14ac:dyDescent="0.35">
      <c r="A68" s="1" t="s">
        <v>1507</v>
      </c>
      <c r="B68" s="1" t="s">
        <v>1084</v>
      </c>
      <c r="C68" s="1" t="s">
        <v>1651</v>
      </c>
      <c r="D68">
        <v>4.8689660000000003</v>
      </c>
      <c r="E68">
        <v>25.112373000000002</v>
      </c>
      <c r="F68" s="1" t="s">
        <v>1437</v>
      </c>
      <c r="G68" s="1" t="s">
        <v>1436</v>
      </c>
    </row>
    <row r="69" spans="1:7" x14ac:dyDescent="0.35">
      <c r="A69" s="1" t="s">
        <v>1549</v>
      </c>
      <c r="B69" s="1" t="s">
        <v>1563</v>
      </c>
      <c r="C69" s="1" t="s">
        <v>37</v>
      </c>
      <c r="D69">
        <v>-9.8995180000000005</v>
      </c>
      <c r="E69">
        <v>24.156687999999999</v>
      </c>
      <c r="F69" s="1" t="s">
        <v>1435</v>
      </c>
      <c r="G69" s="1" t="s">
        <v>1433</v>
      </c>
    </row>
    <row r="70" spans="1:7" x14ac:dyDescent="0.35">
      <c r="A70" s="1" t="s">
        <v>1458</v>
      </c>
      <c r="B70" s="1" t="s">
        <v>1465</v>
      </c>
      <c r="C70" s="1" t="s">
        <v>126</v>
      </c>
      <c r="D70">
        <v>-1.7476179999999999</v>
      </c>
      <c r="E70">
        <v>18.129401000000001</v>
      </c>
      <c r="F70" s="1" t="s">
        <v>1435</v>
      </c>
      <c r="G70" s="1" t="s">
        <v>1433</v>
      </c>
    </row>
    <row r="71" spans="1:7" x14ac:dyDescent="0.35">
      <c r="A71" s="1" t="s">
        <v>1488</v>
      </c>
      <c r="B71" s="1" t="s">
        <v>1500</v>
      </c>
      <c r="C71" s="1" t="s">
        <v>59</v>
      </c>
      <c r="D71">
        <v>-4.9108280000000004</v>
      </c>
      <c r="E71">
        <v>17.670389</v>
      </c>
      <c r="F71" s="1" t="s">
        <v>1432</v>
      </c>
      <c r="G71" s="1" t="s">
        <v>1438</v>
      </c>
    </row>
    <row r="72" spans="1:7" x14ac:dyDescent="0.35">
      <c r="A72" s="1" t="s">
        <v>1431</v>
      </c>
      <c r="B72" s="1" t="s">
        <v>814</v>
      </c>
      <c r="C72" s="1" t="s">
        <v>83</v>
      </c>
      <c r="D72">
        <v>0.94539899999999999</v>
      </c>
      <c r="E72">
        <v>14.401821999999999</v>
      </c>
      <c r="F72" s="1" t="s">
        <v>1432</v>
      </c>
      <c r="G72" s="1" t="s">
        <v>1445</v>
      </c>
    </row>
    <row r="73" spans="1:7" x14ac:dyDescent="0.35">
      <c r="A73" s="1" t="s">
        <v>1473</v>
      </c>
      <c r="B73" s="1" t="s">
        <v>1348</v>
      </c>
      <c r="C73" s="1" t="s">
        <v>59</v>
      </c>
      <c r="D73">
        <v>-10.977309</v>
      </c>
      <c r="E73">
        <v>12.408281000000001</v>
      </c>
      <c r="F73" s="1" t="s">
        <v>1432</v>
      </c>
      <c r="G73" s="1" t="s">
        <v>1438</v>
      </c>
    </row>
    <row r="74" spans="1:7" x14ac:dyDescent="0.35">
      <c r="A74" s="1" t="s">
        <v>1529</v>
      </c>
      <c r="B74" s="1" t="s">
        <v>1162</v>
      </c>
      <c r="C74" s="1" t="s">
        <v>20</v>
      </c>
      <c r="D74">
        <v>2.4414509999999998</v>
      </c>
      <c r="E74">
        <v>30.167489</v>
      </c>
      <c r="F74" s="1" t="s">
        <v>1432</v>
      </c>
      <c r="G74" s="1" t="s">
        <v>1445</v>
      </c>
    </row>
    <row r="75" spans="1:7" x14ac:dyDescent="0.35">
      <c r="A75" s="1" t="s">
        <v>1488</v>
      </c>
      <c r="B75" s="1" t="s">
        <v>1131</v>
      </c>
      <c r="C75" s="1" t="s">
        <v>54</v>
      </c>
      <c r="D75">
        <v>-1.648326</v>
      </c>
      <c r="E75">
        <v>25.528901999999999</v>
      </c>
      <c r="F75" s="1" t="s">
        <v>1435</v>
      </c>
      <c r="G75" s="1" t="s">
        <v>1436</v>
      </c>
    </row>
    <row r="76" spans="1:7" x14ac:dyDescent="0.35">
      <c r="A76" s="1" t="s">
        <v>1458</v>
      </c>
      <c r="B76" s="1" t="s">
        <v>1081</v>
      </c>
      <c r="C76" s="1" t="s">
        <v>61</v>
      </c>
      <c r="D76">
        <v>-11.389362</v>
      </c>
      <c r="E76">
        <v>22.240174</v>
      </c>
      <c r="F76" s="1" t="s">
        <v>1432</v>
      </c>
      <c r="G76" s="1" t="s">
        <v>1438</v>
      </c>
    </row>
    <row r="77" spans="1:7" x14ac:dyDescent="0.35">
      <c r="A77" s="1" t="s">
        <v>1488</v>
      </c>
      <c r="B77" s="1" t="s">
        <v>1397</v>
      </c>
      <c r="C77" s="1" t="s">
        <v>29</v>
      </c>
      <c r="D77">
        <v>-0.54908599999999996</v>
      </c>
      <c r="E77">
        <v>14.816867</v>
      </c>
      <c r="F77" s="1" t="s">
        <v>1432</v>
      </c>
      <c r="G77" s="1" t="s">
        <v>1438</v>
      </c>
    </row>
    <row r="78" spans="1:7" x14ac:dyDescent="0.35">
      <c r="A78" s="1" t="s">
        <v>1488</v>
      </c>
      <c r="B78" s="1" t="s">
        <v>760</v>
      </c>
      <c r="C78" s="1" t="s">
        <v>29</v>
      </c>
      <c r="D78">
        <v>-10.56448</v>
      </c>
      <c r="E78">
        <v>19.792876</v>
      </c>
      <c r="F78" s="1" t="s">
        <v>1432</v>
      </c>
      <c r="G78" s="1" t="s">
        <v>1433</v>
      </c>
    </row>
    <row r="79" spans="1:7" x14ac:dyDescent="0.35">
      <c r="A79" s="1" t="s">
        <v>1458</v>
      </c>
      <c r="B79" s="1" t="s">
        <v>1462</v>
      </c>
      <c r="C79" s="1" t="s">
        <v>24</v>
      </c>
      <c r="D79">
        <v>-12.244119</v>
      </c>
      <c r="E79">
        <v>28.279755999999999</v>
      </c>
      <c r="F79" s="1" t="s">
        <v>1432</v>
      </c>
      <c r="G79" s="1" t="s">
        <v>1438</v>
      </c>
    </row>
    <row r="80" spans="1:7" x14ac:dyDescent="0.35">
      <c r="A80" s="1" t="s">
        <v>1488</v>
      </c>
      <c r="B80" s="1" t="s">
        <v>1501</v>
      </c>
      <c r="C80" s="1" t="s">
        <v>48</v>
      </c>
      <c r="D80">
        <v>-3.571288</v>
      </c>
      <c r="E80">
        <v>12.931596000000001</v>
      </c>
      <c r="F80" s="1" t="s">
        <v>1435</v>
      </c>
      <c r="G80" s="1" t="s">
        <v>1445</v>
      </c>
    </row>
    <row r="81" spans="1:7" x14ac:dyDescent="0.35">
      <c r="A81" s="1" t="s">
        <v>1507</v>
      </c>
      <c r="B81" s="1" t="s">
        <v>1516</v>
      </c>
      <c r="C81" s="1" t="s">
        <v>126</v>
      </c>
      <c r="D81">
        <v>2.266232</v>
      </c>
      <c r="E81">
        <v>29.532896000000001</v>
      </c>
      <c r="F81" s="1" t="s">
        <v>1435</v>
      </c>
      <c r="G81" s="1" t="s">
        <v>1433</v>
      </c>
    </row>
    <row r="82" spans="1:7" x14ac:dyDescent="0.35">
      <c r="A82" s="1" t="s">
        <v>1565</v>
      </c>
      <c r="B82" s="1" t="s">
        <v>1576</v>
      </c>
      <c r="C82" s="1" t="s">
        <v>72</v>
      </c>
      <c r="D82">
        <v>3.08182</v>
      </c>
      <c r="E82">
        <v>29.961940999999999</v>
      </c>
      <c r="F82" s="1" t="s">
        <v>1435</v>
      </c>
      <c r="G82" s="1" t="s">
        <v>1436</v>
      </c>
    </row>
    <row r="83" spans="1:7" x14ac:dyDescent="0.35">
      <c r="A83" s="1" t="s">
        <v>1507</v>
      </c>
      <c r="B83" s="1" t="s">
        <v>1512</v>
      </c>
      <c r="C83" s="1" t="s">
        <v>72</v>
      </c>
      <c r="D83">
        <v>0.850665</v>
      </c>
      <c r="E83">
        <v>19.446418000000001</v>
      </c>
      <c r="F83" s="1" t="s">
        <v>1435</v>
      </c>
      <c r="G83" s="1" t="s">
        <v>1436</v>
      </c>
    </row>
    <row r="84" spans="1:7" x14ac:dyDescent="0.35">
      <c r="A84" s="1" t="s">
        <v>1604</v>
      </c>
      <c r="B84" s="1" t="s">
        <v>1621</v>
      </c>
      <c r="C84" s="1" t="s">
        <v>1651</v>
      </c>
      <c r="D84">
        <v>4.1464489999999996</v>
      </c>
      <c r="E84">
        <v>17.793337000000001</v>
      </c>
      <c r="F84" s="1" t="s">
        <v>1432</v>
      </c>
      <c r="G84" s="1" t="s">
        <v>1438</v>
      </c>
    </row>
    <row r="85" spans="1:7" x14ac:dyDescent="0.35">
      <c r="A85" s="1" t="s">
        <v>1473</v>
      </c>
      <c r="B85" s="1" t="s">
        <v>1477</v>
      </c>
      <c r="C85" s="1" t="s">
        <v>122</v>
      </c>
      <c r="D85">
        <v>0.92885200000000001</v>
      </c>
      <c r="E85">
        <v>25.868548000000001</v>
      </c>
      <c r="F85" s="1" t="s">
        <v>1432</v>
      </c>
      <c r="G85" s="1" t="s">
        <v>1445</v>
      </c>
    </row>
    <row r="86" spans="1:7" x14ac:dyDescent="0.35">
      <c r="A86" s="1" t="s">
        <v>1565</v>
      </c>
      <c r="B86" s="1" t="s">
        <v>965</v>
      </c>
      <c r="C86" s="1" t="s">
        <v>68</v>
      </c>
      <c r="D86">
        <v>2.4425979999999998</v>
      </c>
      <c r="E86">
        <v>24.924308</v>
      </c>
      <c r="F86" s="1" t="s">
        <v>1432</v>
      </c>
      <c r="G86" s="1" t="s">
        <v>1433</v>
      </c>
    </row>
    <row r="87" spans="1:7" x14ac:dyDescent="0.35">
      <c r="A87" s="1" t="s">
        <v>1507</v>
      </c>
      <c r="B87" s="1" t="s">
        <v>1524</v>
      </c>
      <c r="C87" s="1" t="s">
        <v>126</v>
      </c>
      <c r="D87">
        <v>-3.234483</v>
      </c>
      <c r="E87">
        <v>13.241939</v>
      </c>
      <c r="F87" s="1" t="s">
        <v>1435</v>
      </c>
      <c r="G87" s="1" t="s">
        <v>1438</v>
      </c>
    </row>
    <row r="88" spans="1:7" x14ac:dyDescent="0.35">
      <c r="A88" s="1" t="s">
        <v>1604</v>
      </c>
      <c r="B88" s="1" t="s">
        <v>747</v>
      </c>
      <c r="C88" s="1" t="s">
        <v>37</v>
      </c>
      <c r="D88">
        <v>4.8319039999999998</v>
      </c>
      <c r="E88">
        <v>20.733468999999999</v>
      </c>
      <c r="F88" s="1" t="s">
        <v>1432</v>
      </c>
      <c r="G88" s="1" t="s">
        <v>1433</v>
      </c>
    </row>
    <row r="89" spans="1:7" x14ac:dyDescent="0.35">
      <c r="A89" s="1" t="s">
        <v>1458</v>
      </c>
      <c r="B89" s="1" t="s">
        <v>1182</v>
      </c>
      <c r="C89" s="1" t="s">
        <v>48</v>
      </c>
      <c r="D89">
        <v>-10.161428000000001</v>
      </c>
      <c r="E89">
        <v>19.362325999999999</v>
      </c>
      <c r="F89" s="1" t="s">
        <v>1437</v>
      </c>
      <c r="G89" s="1" t="s">
        <v>1445</v>
      </c>
    </row>
    <row r="90" spans="1:7" x14ac:dyDescent="0.35">
      <c r="A90" s="1" t="s">
        <v>1488</v>
      </c>
      <c r="B90" s="1" t="s">
        <v>1208</v>
      </c>
      <c r="C90" s="1" t="s">
        <v>118</v>
      </c>
      <c r="D90">
        <v>1.2391989999999999</v>
      </c>
      <c r="E90">
        <v>15.386718999999999</v>
      </c>
      <c r="F90" s="1" t="s">
        <v>1432</v>
      </c>
      <c r="G90" s="1" t="s">
        <v>1438</v>
      </c>
    </row>
    <row r="91" spans="1:7" x14ac:dyDescent="0.35">
      <c r="A91" s="1" t="s">
        <v>1507</v>
      </c>
      <c r="B91" s="1" t="s">
        <v>1514</v>
      </c>
      <c r="C91" s="1" t="s">
        <v>122</v>
      </c>
      <c r="D91">
        <v>-6.0234120000000004</v>
      </c>
      <c r="E91">
        <v>18.314309999999999</v>
      </c>
      <c r="F91" s="1" t="s">
        <v>1432</v>
      </c>
      <c r="G91" s="1" t="s">
        <v>1438</v>
      </c>
    </row>
    <row r="92" spans="1:7" x14ac:dyDescent="0.35">
      <c r="A92" s="1" t="s">
        <v>1604</v>
      </c>
      <c r="B92" s="1" t="s">
        <v>1608</v>
      </c>
      <c r="C92" s="1" t="s">
        <v>118</v>
      </c>
      <c r="D92">
        <v>-2.5254650000000001</v>
      </c>
      <c r="E92">
        <v>21.338113</v>
      </c>
      <c r="F92" s="1" t="s">
        <v>1432</v>
      </c>
      <c r="G92" s="1" t="s">
        <v>1445</v>
      </c>
    </row>
    <row r="93" spans="1:7" x14ac:dyDescent="0.35">
      <c r="A93" s="1" t="s">
        <v>1473</v>
      </c>
      <c r="B93" s="1" t="s">
        <v>1487</v>
      </c>
      <c r="C93" s="1" t="s">
        <v>12</v>
      </c>
      <c r="D93">
        <v>-12.018316</v>
      </c>
      <c r="E93">
        <v>16.700451000000001</v>
      </c>
      <c r="F93" s="1" t="s">
        <v>1437</v>
      </c>
      <c r="G93" s="1" t="s">
        <v>1445</v>
      </c>
    </row>
    <row r="94" spans="1:7" x14ac:dyDescent="0.35">
      <c r="A94" s="1" t="s">
        <v>1529</v>
      </c>
      <c r="B94" s="1" t="s">
        <v>1163</v>
      </c>
      <c r="C94" s="1" t="s">
        <v>83</v>
      </c>
      <c r="D94">
        <v>8.5490999999999998E-2</v>
      </c>
      <c r="E94">
        <v>26.296129000000001</v>
      </c>
      <c r="F94" s="1" t="s">
        <v>1437</v>
      </c>
      <c r="G94" s="1" t="s">
        <v>1438</v>
      </c>
    </row>
    <row r="95" spans="1:7" x14ac:dyDescent="0.35">
      <c r="A95" s="1" t="s">
        <v>1604</v>
      </c>
      <c r="B95" s="1" t="s">
        <v>1108</v>
      </c>
      <c r="C95" s="1" t="s">
        <v>29</v>
      </c>
      <c r="D95">
        <v>-8.0864899999999995</v>
      </c>
      <c r="E95">
        <v>14.555277</v>
      </c>
      <c r="F95" s="1" t="s">
        <v>1437</v>
      </c>
      <c r="G95" s="1" t="s">
        <v>1433</v>
      </c>
    </row>
    <row r="96" spans="1:7" x14ac:dyDescent="0.35">
      <c r="A96" s="1" t="s">
        <v>1565</v>
      </c>
      <c r="B96" s="1" t="s">
        <v>1573</v>
      </c>
      <c r="C96" s="1" t="s">
        <v>61</v>
      </c>
      <c r="D96">
        <v>1.217457</v>
      </c>
      <c r="E96">
        <v>25.48668</v>
      </c>
      <c r="F96" s="1" t="s">
        <v>1432</v>
      </c>
      <c r="G96" s="1" t="s">
        <v>1445</v>
      </c>
    </row>
    <row r="97" spans="1:7" x14ac:dyDescent="0.35">
      <c r="A97" s="1" t="s">
        <v>1431</v>
      </c>
      <c r="B97" s="1" t="s">
        <v>1443</v>
      </c>
      <c r="C97" s="1" t="s">
        <v>12</v>
      </c>
      <c r="D97">
        <v>3.0788669999999998</v>
      </c>
      <c r="E97">
        <v>19.513650999999999</v>
      </c>
      <c r="F97" s="1" t="s">
        <v>1432</v>
      </c>
      <c r="G97" s="1" t="s">
        <v>1436</v>
      </c>
    </row>
    <row r="98" spans="1:7" x14ac:dyDescent="0.35">
      <c r="A98" s="1" t="s">
        <v>1604</v>
      </c>
      <c r="B98" s="1" t="s">
        <v>1046</v>
      </c>
      <c r="C98" s="1" t="s">
        <v>33</v>
      </c>
      <c r="D98">
        <v>-1.4110389999999999</v>
      </c>
      <c r="E98">
        <v>21.261644</v>
      </c>
      <c r="F98" s="1" t="s">
        <v>1435</v>
      </c>
      <c r="G98" s="1" t="s">
        <v>1438</v>
      </c>
    </row>
    <row r="99" spans="1:7" x14ac:dyDescent="0.35">
      <c r="A99" s="1" t="s">
        <v>1565</v>
      </c>
      <c r="B99" s="1" t="s">
        <v>966</v>
      </c>
      <c r="C99" s="1" t="s">
        <v>126</v>
      </c>
      <c r="D99">
        <v>4.0157999999999996</v>
      </c>
      <c r="E99">
        <v>21.430246</v>
      </c>
      <c r="F99" s="1" t="s">
        <v>1432</v>
      </c>
      <c r="G99" s="1" t="s">
        <v>1445</v>
      </c>
    </row>
    <row r="100" spans="1:7" x14ac:dyDescent="0.35">
      <c r="A100" s="1" t="s">
        <v>1565</v>
      </c>
      <c r="B100" s="1" t="s">
        <v>1571</v>
      </c>
      <c r="C100" s="1" t="s">
        <v>24</v>
      </c>
      <c r="D100">
        <v>0.89302999999999999</v>
      </c>
      <c r="E100">
        <v>21.238310999999999</v>
      </c>
      <c r="F100" s="1" t="s">
        <v>1432</v>
      </c>
      <c r="G100" s="1" t="s">
        <v>1436</v>
      </c>
    </row>
    <row r="101" spans="1:7" x14ac:dyDescent="0.35">
      <c r="A101" s="1" t="s">
        <v>1507</v>
      </c>
      <c r="B101" s="1" t="s">
        <v>1523</v>
      </c>
      <c r="C101" s="1" t="s">
        <v>31</v>
      </c>
      <c r="D101">
        <v>0.91016799999999998</v>
      </c>
      <c r="E101">
        <v>16.903002999999998</v>
      </c>
      <c r="F101" s="1" t="s">
        <v>1437</v>
      </c>
      <c r="G101" s="1" t="s">
        <v>1445</v>
      </c>
    </row>
    <row r="102" spans="1:7" x14ac:dyDescent="0.35">
      <c r="A102" s="1" t="s">
        <v>1549</v>
      </c>
      <c r="B102" s="1" t="s">
        <v>928</v>
      </c>
      <c r="C102" s="1" t="s">
        <v>35</v>
      </c>
      <c r="D102">
        <v>-10.481026999999999</v>
      </c>
      <c r="E102">
        <v>18.160464000000001</v>
      </c>
      <c r="F102" s="1" t="s">
        <v>1432</v>
      </c>
      <c r="G102" s="1" t="s">
        <v>1436</v>
      </c>
    </row>
    <row r="103" spans="1:7" x14ac:dyDescent="0.35">
      <c r="A103" s="1" t="s">
        <v>1529</v>
      </c>
      <c r="B103" s="1" t="s">
        <v>1252</v>
      </c>
      <c r="C103" s="1" t="s">
        <v>20</v>
      </c>
      <c r="D103">
        <v>-11.514817000000001</v>
      </c>
      <c r="E103">
        <v>24.891375</v>
      </c>
      <c r="F103" s="1" t="s">
        <v>1437</v>
      </c>
      <c r="G103" s="1" t="s">
        <v>1445</v>
      </c>
    </row>
    <row r="104" spans="1:7" x14ac:dyDescent="0.35">
      <c r="A104" s="1" t="s">
        <v>1458</v>
      </c>
      <c r="B104" s="1" t="s">
        <v>1380</v>
      </c>
      <c r="C104" s="1" t="s">
        <v>33</v>
      </c>
      <c r="D104">
        <v>3.175935</v>
      </c>
      <c r="E104">
        <v>16.862832000000001</v>
      </c>
      <c r="F104" s="1" t="s">
        <v>1432</v>
      </c>
      <c r="G104" s="1" t="s">
        <v>1433</v>
      </c>
    </row>
    <row r="105" spans="1:7" x14ac:dyDescent="0.35">
      <c r="A105" s="1" t="s">
        <v>1488</v>
      </c>
      <c r="B105" s="1" t="s">
        <v>1495</v>
      </c>
      <c r="C105" s="1" t="s">
        <v>126</v>
      </c>
      <c r="D105">
        <v>3.8811640000000001</v>
      </c>
      <c r="E105">
        <v>23.188383999999999</v>
      </c>
      <c r="F105" s="1" t="s">
        <v>1432</v>
      </c>
      <c r="G105" s="1" t="s">
        <v>1436</v>
      </c>
    </row>
    <row r="106" spans="1:7" x14ac:dyDescent="0.35">
      <c r="A106" s="1" t="s">
        <v>1473</v>
      </c>
      <c r="B106" s="1" t="s">
        <v>1486</v>
      </c>
      <c r="C106" s="1" t="s">
        <v>41</v>
      </c>
      <c r="D106">
        <v>2.349755</v>
      </c>
      <c r="E106">
        <v>29.600649000000001</v>
      </c>
      <c r="F106" s="1" t="s">
        <v>1435</v>
      </c>
      <c r="G106" s="1" t="s">
        <v>1445</v>
      </c>
    </row>
    <row r="107" spans="1:7" x14ac:dyDescent="0.35">
      <c r="A107" s="1" t="s">
        <v>1431</v>
      </c>
      <c r="B107" s="1" t="s">
        <v>1450</v>
      </c>
      <c r="C107" s="1" t="s">
        <v>9</v>
      </c>
      <c r="D107">
        <v>-5.5883039999999999</v>
      </c>
      <c r="E107">
        <v>26.647739999999999</v>
      </c>
      <c r="F107" s="1" t="s">
        <v>1437</v>
      </c>
      <c r="G107" s="1" t="s">
        <v>1433</v>
      </c>
    </row>
    <row r="108" spans="1:7" x14ac:dyDescent="0.35">
      <c r="A108" s="1" t="s">
        <v>1549</v>
      </c>
      <c r="B108" s="1" t="s">
        <v>1557</v>
      </c>
      <c r="C108" s="1" t="s">
        <v>20</v>
      </c>
      <c r="D108">
        <v>2.7365970000000002</v>
      </c>
      <c r="E108">
        <v>12.296976000000001</v>
      </c>
      <c r="F108" s="1" t="s">
        <v>1435</v>
      </c>
      <c r="G108" s="1" t="s">
        <v>1438</v>
      </c>
    </row>
    <row r="109" spans="1:7" x14ac:dyDescent="0.35">
      <c r="A109" s="1" t="s">
        <v>1507</v>
      </c>
      <c r="B109" s="1" t="s">
        <v>1508</v>
      </c>
      <c r="C109" s="1" t="s">
        <v>20</v>
      </c>
      <c r="D109">
        <v>-6.8779139999999996</v>
      </c>
      <c r="E109">
        <v>12.550860999999999</v>
      </c>
      <c r="F109" s="1" t="s">
        <v>1432</v>
      </c>
      <c r="G109" s="1" t="s">
        <v>1438</v>
      </c>
    </row>
    <row r="110" spans="1:7" x14ac:dyDescent="0.35">
      <c r="A110" s="1" t="s">
        <v>1604</v>
      </c>
      <c r="B110" s="1" t="s">
        <v>1240</v>
      </c>
      <c r="C110" s="1" t="s">
        <v>122</v>
      </c>
      <c r="D110">
        <v>-7.9866700000000002</v>
      </c>
      <c r="E110">
        <v>17.757847000000002</v>
      </c>
      <c r="F110" s="1" t="s">
        <v>1432</v>
      </c>
      <c r="G110" s="1" t="s">
        <v>1436</v>
      </c>
    </row>
    <row r="111" spans="1:7" x14ac:dyDescent="0.35">
      <c r="A111" s="1" t="s">
        <v>1458</v>
      </c>
      <c r="B111" s="1" t="s">
        <v>1311</v>
      </c>
      <c r="C111" s="1" t="s">
        <v>118</v>
      </c>
      <c r="D111">
        <v>-8.8118569999999998</v>
      </c>
      <c r="E111">
        <v>14.465711000000001</v>
      </c>
      <c r="F111" s="1" t="s">
        <v>1432</v>
      </c>
      <c r="G111" s="1" t="s">
        <v>1445</v>
      </c>
    </row>
    <row r="112" spans="1:7" x14ac:dyDescent="0.35">
      <c r="A112" s="1" t="s">
        <v>1588</v>
      </c>
      <c r="B112" s="1" t="s">
        <v>1410</v>
      </c>
      <c r="C112" s="1" t="s">
        <v>57</v>
      </c>
      <c r="D112">
        <v>-7.8215969999999997</v>
      </c>
      <c r="E112">
        <v>26.797349000000001</v>
      </c>
      <c r="F112" s="1" t="s">
        <v>1437</v>
      </c>
      <c r="G112" s="1" t="s">
        <v>1433</v>
      </c>
    </row>
    <row r="113" spans="1:7" x14ac:dyDescent="0.35">
      <c r="A113" s="1" t="s">
        <v>1565</v>
      </c>
      <c r="B113" s="1" t="s">
        <v>1567</v>
      </c>
      <c r="C113" s="1" t="s">
        <v>29</v>
      </c>
      <c r="D113">
        <v>-8.6707929999999998</v>
      </c>
      <c r="E113">
        <v>30.643781000000001</v>
      </c>
      <c r="F113" s="1" t="s">
        <v>1435</v>
      </c>
      <c r="G113" s="1" t="s">
        <v>1436</v>
      </c>
    </row>
    <row r="114" spans="1:7" x14ac:dyDescent="0.35">
      <c r="A114" s="1" t="s">
        <v>1431</v>
      </c>
      <c r="B114" s="1" t="s">
        <v>1152</v>
      </c>
      <c r="C114" s="1" t="s">
        <v>12</v>
      </c>
      <c r="D114">
        <v>-1.9540519999999999</v>
      </c>
      <c r="E114">
        <v>12.667945</v>
      </c>
      <c r="F114" s="1" t="s">
        <v>1435</v>
      </c>
      <c r="G114" s="1" t="s">
        <v>1436</v>
      </c>
    </row>
    <row r="115" spans="1:7" x14ac:dyDescent="0.35">
      <c r="A115" s="1" t="s">
        <v>1588</v>
      </c>
      <c r="B115" s="1" t="s">
        <v>1123</v>
      </c>
      <c r="C115" s="1" t="s">
        <v>126</v>
      </c>
      <c r="D115">
        <v>2.0392079999999999</v>
      </c>
      <c r="E115">
        <v>19.090841999999999</v>
      </c>
      <c r="F115" s="1" t="s">
        <v>1435</v>
      </c>
      <c r="G115" s="1" t="s">
        <v>1445</v>
      </c>
    </row>
    <row r="116" spans="1:7" x14ac:dyDescent="0.35">
      <c r="A116" s="1" t="s">
        <v>1529</v>
      </c>
      <c r="B116" s="1" t="s">
        <v>1537</v>
      </c>
      <c r="C116" s="1" t="s">
        <v>118</v>
      </c>
      <c r="D116">
        <v>4.2873989999999997</v>
      </c>
      <c r="E116">
        <v>14.756335</v>
      </c>
      <c r="F116" s="1" t="s">
        <v>1432</v>
      </c>
      <c r="G116" s="1" t="s">
        <v>1433</v>
      </c>
    </row>
    <row r="117" spans="1:7" x14ac:dyDescent="0.35">
      <c r="A117" s="1" t="s">
        <v>1473</v>
      </c>
      <c r="B117" s="1" t="s">
        <v>1160</v>
      </c>
      <c r="C117" s="1" t="s">
        <v>41</v>
      </c>
      <c r="D117">
        <v>-12.192204</v>
      </c>
      <c r="E117">
        <v>28.468682000000001</v>
      </c>
      <c r="F117" s="1" t="s">
        <v>1437</v>
      </c>
      <c r="G117" s="1" t="s">
        <v>1438</v>
      </c>
    </row>
    <row r="118" spans="1:7" x14ac:dyDescent="0.35">
      <c r="A118" s="1" t="s">
        <v>1458</v>
      </c>
      <c r="B118" s="1" t="s">
        <v>1141</v>
      </c>
      <c r="C118" s="1" t="s">
        <v>48</v>
      </c>
      <c r="D118">
        <v>0.62055499999999997</v>
      </c>
      <c r="E118">
        <v>21.222035000000002</v>
      </c>
      <c r="F118" s="1" t="s">
        <v>1432</v>
      </c>
      <c r="G118" s="1" t="s">
        <v>1445</v>
      </c>
    </row>
    <row r="119" spans="1:7" x14ac:dyDescent="0.35">
      <c r="A119" s="1" t="s">
        <v>1529</v>
      </c>
      <c r="B119" s="1" t="s">
        <v>1125</v>
      </c>
      <c r="C119" s="1" t="s">
        <v>122</v>
      </c>
      <c r="D119">
        <v>-5.42171</v>
      </c>
      <c r="E119">
        <v>24.202960999999998</v>
      </c>
      <c r="F119" s="1" t="s">
        <v>1432</v>
      </c>
      <c r="G119" s="1" t="s">
        <v>1433</v>
      </c>
    </row>
    <row r="120" spans="1:7" x14ac:dyDescent="0.35">
      <c r="A120" s="1" t="s">
        <v>1458</v>
      </c>
      <c r="B120" s="1" t="s">
        <v>1470</v>
      </c>
      <c r="C120" s="1" t="s">
        <v>24</v>
      </c>
      <c r="D120">
        <v>-0.59350000000000003</v>
      </c>
      <c r="E120">
        <v>24.500503999999999</v>
      </c>
      <c r="F120" s="1" t="s">
        <v>1432</v>
      </c>
      <c r="G120" s="1" t="s">
        <v>1436</v>
      </c>
    </row>
    <row r="121" spans="1:7" x14ac:dyDescent="0.35">
      <c r="A121" s="1" t="s">
        <v>1604</v>
      </c>
      <c r="B121" s="1" t="s">
        <v>1424</v>
      </c>
      <c r="C121" s="1" t="s">
        <v>12</v>
      </c>
      <c r="D121">
        <v>-5.7957599999999996</v>
      </c>
      <c r="E121">
        <v>14.078258</v>
      </c>
      <c r="F121" s="1" t="s">
        <v>1432</v>
      </c>
      <c r="G121" s="1" t="s">
        <v>1433</v>
      </c>
    </row>
    <row r="122" spans="1:7" x14ac:dyDescent="0.35">
      <c r="A122" s="1" t="s">
        <v>1458</v>
      </c>
      <c r="B122" s="1" t="s">
        <v>858</v>
      </c>
      <c r="C122" s="1" t="s">
        <v>62</v>
      </c>
      <c r="D122">
        <v>-9.9875139999999991</v>
      </c>
      <c r="E122">
        <v>12.013676999999999</v>
      </c>
      <c r="F122" s="1" t="s">
        <v>1437</v>
      </c>
      <c r="G122" s="1" t="s">
        <v>1438</v>
      </c>
    </row>
    <row r="123" spans="1:7" x14ac:dyDescent="0.35">
      <c r="A123" s="1" t="s">
        <v>1604</v>
      </c>
      <c r="B123" s="1" t="s">
        <v>876</v>
      </c>
      <c r="C123" s="1" t="s">
        <v>118</v>
      </c>
      <c r="D123">
        <v>-4.4351269999999996</v>
      </c>
      <c r="E123">
        <v>24.825467</v>
      </c>
      <c r="F123" s="1" t="s">
        <v>1435</v>
      </c>
      <c r="G123" s="1" t="s">
        <v>1436</v>
      </c>
    </row>
    <row r="124" spans="1:7" x14ac:dyDescent="0.35">
      <c r="A124" s="1" t="s">
        <v>1488</v>
      </c>
      <c r="B124" s="1" t="s">
        <v>893</v>
      </c>
      <c r="C124" s="1" t="s">
        <v>72</v>
      </c>
      <c r="D124">
        <v>-2.3743210000000001</v>
      </c>
      <c r="E124">
        <v>22.399491000000001</v>
      </c>
      <c r="F124" s="1" t="s">
        <v>1432</v>
      </c>
      <c r="G124" s="1" t="s">
        <v>1433</v>
      </c>
    </row>
    <row r="125" spans="1:7" x14ac:dyDescent="0.35">
      <c r="A125" s="1" t="s">
        <v>1588</v>
      </c>
      <c r="B125" s="1" t="s">
        <v>1100</v>
      </c>
      <c r="C125" s="1" t="s">
        <v>33</v>
      </c>
      <c r="D125">
        <v>-6.4883290000000002</v>
      </c>
      <c r="E125">
        <v>25.103404000000001</v>
      </c>
      <c r="F125" s="1" t="s">
        <v>1432</v>
      </c>
      <c r="G125" s="1" t="s">
        <v>1438</v>
      </c>
    </row>
    <row r="126" spans="1:7" x14ac:dyDescent="0.35">
      <c r="A126" s="1" t="s">
        <v>1604</v>
      </c>
      <c r="B126" s="1" t="s">
        <v>1612</v>
      </c>
      <c r="C126" s="1" t="s">
        <v>9</v>
      </c>
      <c r="D126">
        <v>0.82399199999999995</v>
      </c>
      <c r="E126">
        <v>28.232678</v>
      </c>
      <c r="F126" s="1" t="s">
        <v>1437</v>
      </c>
      <c r="G126" s="1" t="s">
        <v>1436</v>
      </c>
    </row>
    <row r="127" spans="1:7" x14ac:dyDescent="0.35">
      <c r="A127" s="1" t="s">
        <v>1588</v>
      </c>
      <c r="B127" s="1" t="s">
        <v>1049</v>
      </c>
      <c r="C127" s="1" t="s">
        <v>20</v>
      </c>
      <c r="D127">
        <v>-4.1694589999999998</v>
      </c>
      <c r="E127">
        <v>23.376487000000001</v>
      </c>
      <c r="F127" s="1" t="s">
        <v>1437</v>
      </c>
      <c r="G127" s="1" t="s">
        <v>1445</v>
      </c>
    </row>
    <row r="128" spans="1:7" x14ac:dyDescent="0.35">
      <c r="A128" s="1" t="s">
        <v>1473</v>
      </c>
      <c r="B128" s="1" t="s">
        <v>787</v>
      </c>
      <c r="C128" s="1" t="s">
        <v>126</v>
      </c>
      <c r="D128">
        <v>-11.710407999999999</v>
      </c>
      <c r="E128">
        <v>23.741330999999999</v>
      </c>
      <c r="F128" s="1" t="s">
        <v>1437</v>
      </c>
      <c r="G128" s="1" t="s">
        <v>1436</v>
      </c>
    </row>
    <row r="129" spans="1:7" x14ac:dyDescent="0.35">
      <c r="A129" s="1" t="s">
        <v>1549</v>
      </c>
      <c r="B129" s="1" t="s">
        <v>1550</v>
      </c>
      <c r="C129" s="1" t="s">
        <v>122</v>
      </c>
      <c r="D129">
        <v>-6.0850540000000004</v>
      </c>
      <c r="E129">
        <v>14.020293000000001</v>
      </c>
      <c r="F129" s="1" t="s">
        <v>1432</v>
      </c>
      <c r="G129" s="1" t="s">
        <v>1436</v>
      </c>
    </row>
    <row r="130" spans="1:7" x14ac:dyDescent="0.35">
      <c r="A130" s="1" t="s">
        <v>1529</v>
      </c>
      <c r="B130" s="1" t="s">
        <v>1541</v>
      </c>
      <c r="C130" s="1" t="s">
        <v>57</v>
      </c>
      <c r="D130">
        <v>-4.5538169999999996</v>
      </c>
      <c r="E130">
        <v>25.952860999999999</v>
      </c>
      <c r="F130" s="1" t="s">
        <v>1437</v>
      </c>
      <c r="G130" s="1" t="s">
        <v>1433</v>
      </c>
    </row>
    <row r="131" spans="1:7" x14ac:dyDescent="0.35">
      <c r="A131" s="1" t="s">
        <v>1529</v>
      </c>
      <c r="B131" s="1" t="s">
        <v>976</v>
      </c>
      <c r="C131" s="1" t="s">
        <v>61</v>
      </c>
      <c r="D131">
        <v>0.48965500000000001</v>
      </c>
      <c r="E131">
        <v>26.176860000000001</v>
      </c>
      <c r="F131" s="1" t="s">
        <v>1435</v>
      </c>
      <c r="G131" s="1" t="s">
        <v>1436</v>
      </c>
    </row>
    <row r="132" spans="1:7" x14ac:dyDescent="0.35">
      <c r="A132" s="1" t="s">
        <v>1488</v>
      </c>
      <c r="B132" s="1" t="s">
        <v>1502</v>
      </c>
      <c r="C132" s="1" t="s">
        <v>118</v>
      </c>
      <c r="D132">
        <v>-6.0864269999999996</v>
      </c>
      <c r="E132">
        <v>19.922181999999999</v>
      </c>
      <c r="F132" s="1" t="s">
        <v>1432</v>
      </c>
      <c r="G132" s="1" t="s">
        <v>1436</v>
      </c>
    </row>
    <row r="133" spans="1:7" x14ac:dyDescent="0.35">
      <c r="A133" s="1" t="s">
        <v>1431</v>
      </c>
      <c r="B133" s="1" t="s">
        <v>1452</v>
      </c>
      <c r="C133" s="1" t="s">
        <v>126</v>
      </c>
      <c r="D133">
        <v>-2.6166320000000001</v>
      </c>
      <c r="E133">
        <v>23.743941</v>
      </c>
      <c r="F133" s="1" t="s">
        <v>1432</v>
      </c>
      <c r="G133" s="1" t="s">
        <v>1445</v>
      </c>
    </row>
    <row r="134" spans="1:7" x14ac:dyDescent="0.35">
      <c r="A134" s="1" t="s">
        <v>1549</v>
      </c>
      <c r="B134" s="1" t="s">
        <v>1293</v>
      </c>
      <c r="C134" s="1" t="s">
        <v>62</v>
      </c>
      <c r="D134">
        <v>-9.5619429999999994</v>
      </c>
      <c r="E134">
        <v>21.445726000000001</v>
      </c>
      <c r="F134" s="1" t="s">
        <v>1435</v>
      </c>
      <c r="G134" s="1" t="s">
        <v>1445</v>
      </c>
    </row>
    <row r="135" spans="1:7" x14ac:dyDescent="0.35">
      <c r="A135" s="1" t="s">
        <v>1431</v>
      </c>
      <c r="B135" s="1" t="s">
        <v>743</v>
      </c>
      <c r="C135" s="1" t="s">
        <v>31</v>
      </c>
      <c r="D135">
        <v>-1.648264</v>
      </c>
      <c r="E135">
        <v>28.866143999999998</v>
      </c>
      <c r="F135" s="1" t="s">
        <v>1432</v>
      </c>
      <c r="G135" s="1" t="s">
        <v>1433</v>
      </c>
    </row>
    <row r="136" spans="1:7" x14ac:dyDescent="0.35">
      <c r="A136" s="1" t="s">
        <v>1458</v>
      </c>
      <c r="B136" s="1" t="s">
        <v>785</v>
      </c>
      <c r="C136" s="1" t="s">
        <v>12</v>
      </c>
      <c r="D136">
        <v>-5.1030600000000002</v>
      </c>
      <c r="E136">
        <v>22.849231</v>
      </c>
      <c r="F136" s="1" t="s">
        <v>1432</v>
      </c>
      <c r="G136" s="1" t="s">
        <v>1438</v>
      </c>
    </row>
    <row r="137" spans="1:7" x14ac:dyDescent="0.35">
      <c r="A137" s="1" t="s">
        <v>1604</v>
      </c>
      <c r="B137" s="1" t="s">
        <v>1609</v>
      </c>
      <c r="C137" s="1" t="s">
        <v>54</v>
      </c>
      <c r="D137">
        <v>-2.1430220000000002</v>
      </c>
      <c r="E137">
        <v>24.541492999999999</v>
      </c>
      <c r="F137" s="1" t="s">
        <v>1435</v>
      </c>
      <c r="G137" s="1" t="s">
        <v>1438</v>
      </c>
    </row>
    <row r="138" spans="1:7" x14ac:dyDescent="0.35">
      <c r="A138" s="1" t="s">
        <v>1604</v>
      </c>
      <c r="B138" s="1" t="s">
        <v>1315</v>
      </c>
      <c r="C138" s="1" t="s">
        <v>33</v>
      </c>
      <c r="D138">
        <v>-0.157111</v>
      </c>
      <c r="E138">
        <v>25.415125</v>
      </c>
      <c r="F138" s="1" t="s">
        <v>1435</v>
      </c>
      <c r="G138" s="1" t="s">
        <v>1433</v>
      </c>
    </row>
    <row r="139" spans="1:7" x14ac:dyDescent="0.35">
      <c r="A139" s="1" t="s">
        <v>1604</v>
      </c>
      <c r="B139" s="1" t="s">
        <v>1364</v>
      </c>
      <c r="C139" s="1" t="s">
        <v>83</v>
      </c>
      <c r="D139">
        <v>-6.8149179999999996</v>
      </c>
      <c r="E139">
        <v>23.258102000000001</v>
      </c>
      <c r="F139" s="1" t="s">
        <v>1432</v>
      </c>
      <c r="G139" s="1" t="s">
        <v>1436</v>
      </c>
    </row>
    <row r="140" spans="1:7" x14ac:dyDescent="0.35">
      <c r="A140" s="1" t="s">
        <v>1473</v>
      </c>
      <c r="B140" s="1" t="s">
        <v>1475</v>
      </c>
      <c r="C140" s="1" t="s">
        <v>29</v>
      </c>
      <c r="D140">
        <v>-10.620597</v>
      </c>
      <c r="E140">
        <v>12.432214</v>
      </c>
      <c r="F140" s="1" t="s">
        <v>1435</v>
      </c>
      <c r="G140" s="1" t="s">
        <v>1436</v>
      </c>
    </row>
    <row r="141" spans="1:7" x14ac:dyDescent="0.35">
      <c r="A141" s="1" t="s">
        <v>1604</v>
      </c>
      <c r="B141" s="1" t="s">
        <v>859</v>
      </c>
      <c r="C141" s="1" t="s">
        <v>122</v>
      </c>
      <c r="D141">
        <v>-10.25074</v>
      </c>
      <c r="E141">
        <v>26.099086</v>
      </c>
      <c r="F141" s="1" t="s">
        <v>1435</v>
      </c>
      <c r="G141" s="1" t="s">
        <v>1436</v>
      </c>
    </row>
    <row r="142" spans="1:7" x14ac:dyDescent="0.35">
      <c r="A142" s="1" t="s">
        <v>1549</v>
      </c>
      <c r="B142" s="1" t="s">
        <v>869</v>
      </c>
      <c r="C142" s="1" t="s">
        <v>61</v>
      </c>
      <c r="D142">
        <v>-1.6097570000000001</v>
      </c>
      <c r="E142">
        <v>30.661662</v>
      </c>
      <c r="F142" s="1" t="s">
        <v>1435</v>
      </c>
      <c r="G142" s="1" t="s">
        <v>1433</v>
      </c>
    </row>
    <row r="143" spans="1:7" x14ac:dyDescent="0.35">
      <c r="A143" s="1" t="s">
        <v>1588</v>
      </c>
      <c r="B143" s="1" t="s">
        <v>795</v>
      </c>
      <c r="C143" s="1" t="s">
        <v>23</v>
      </c>
      <c r="D143">
        <v>-5.5445120000000001</v>
      </c>
      <c r="E143">
        <v>27.547335</v>
      </c>
      <c r="F143" s="1" t="s">
        <v>1435</v>
      </c>
      <c r="G143" s="1" t="s">
        <v>1433</v>
      </c>
    </row>
    <row r="144" spans="1:7" x14ac:dyDescent="0.35">
      <c r="A144" s="1" t="s">
        <v>1604</v>
      </c>
      <c r="B144" s="1" t="s">
        <v>865</v>
      </c>
      <c r="C144" s="1" t="s">
        <v>12</v>
      </c>
      <c r="D144">
        <v>-11.622688999999999</v>
      </c>
      <c r="E144">
        <v>18.483874</v>
      </c>
      <c r="F144" s="1" t="s">
        <v>1432</v>
      </c>
      <c r="G144" s="1" t="s">
        <v>1438</v>
      </c>
    </row>
    <row r="145" spans="1:7" x14ac:dyDescent="0.35">
      <c r="A145" s="1" t="s">
        <v>1431</v>
      </c>
      <c r="B145" s="1" t="s">
        <v>1202</v>
      </c>
      <c r="C145" s="1" t="s">
        <v>68</v>
      </c>
      <c r="D145">
        <v>1.400674</v>
      </c>
      <c r="E145">
        <v>13.503126999999999</v>
      </c>
      <c r="F145" s="1" t="s">
        <v>1432</v>
      </c>
      <c r="G145" s="1" t="s">
        <v>1438</v>
      </c>
    </row>
    <row r="146" spans="1:7" x14ac:dyDescent="0.35">
      <c r="A146" s="1" t="s">
        <v>1488</v>
      </c>
      <c r="B146" s="1" t="s">
        <v>1506</v>
      </c>
      <c r="C146" s="1" t="s">
        <v>68</v>
      </c>
      <c r="D146">
        <v>2.6387339999999999</v>
      </c>
      <c r="E146">
        <v>13.769399</v>
      </c>
      <c r="F146" s="1" t="s">
        <v>1435</v>
      </c>
      <c r="G146" s="1" t="s">
        <v>1436</v>
      </c>
    </row>
    <row r="147" spans="1:7" x14ac:dyDescent="0.35">
      <c r="A147" s="1" t="s">
        <v>1565</v>
      </c>
      <c r="B147" s="1" t="s">
        <v>1061</v>
      </c>
      <c r="C147" s="1" t="s">
        <v>24</v>
      </c>
      <c r="D147">
        <v>-6.4197189999999997</v>
      </c>
      <c r="E147">
        <v>22.287264</v>
      </c>
      <c r="F147" s="1" t="s">
        <v>1437</v>
      </c>
      <c r="G147" s="1" t="s">
        <v>1433</v>
      </c>
    </row>
    <row r="148" spans="1:7" x14ac:dyDescent="0.35">
      <c r="A148" s="1" t="s">
        <v>1565</v>
      </c>
      <c r="B148" s="1" t="s">
        <v>863</v>
      </c>
      <c r="C148" s="1" t="s">
        <v>62</v>
      </c>
      <c r="D148">
        <v>-5.7035130000000001</v>
      </c>
      <c r="E148">
        <v>14.331479</v>
      </c>
      <c r="F148" s="1" t="s">
        <v>1432</v>
      </c>
      <c r="G148" s="1" t="s">
        <v>1445</v>
      </c>
    </row>
    <row r="149" spans="1:7" x14ac:dyDescent="0.35">
      <c r="A149" s="1" t="s">
        <v>1565</v>
      </c>
      <c r="B149" s="1" t="s">
        <v>1177</v>
      </c>
      <c r="C149" s="1" t="s">
        <v>54</v>
      </c>
      <c r="D149">
        <v>-4.3639070000000002</v>
      </c>
      <c r="E149">
        <v>16.283307000000001</v>
      </c>
      <c r="F149" s="1" t="s">
        <v>1432</v>
      </c>
      <c r="G149" s="1" t="s">
        <v>1436</v>
      </c>
    </row>
    <row r="150" spans="1:7" x14ac:dyDescent="0.35">
      <c r="A150" s="1" t="s">
        <v>1588</v>
      </c>
      <c r="B150" s="1" t="s">
        <v>933</v>
      </c>
      <c r="C150" s="1" t="s">
        <v>1651</v>
      </c>
      <c r="D150">
        <v>-4.351254</v>
      </c>
      <c r="E150">
        <v>30.097408999999999</v>
      </c>
      <c r="F150" s="1" t="s">
        <v>1432</v>
      </c>
      <c r="G150" s="1" t="s">
        <v>1445</v>
      </c>
    </row>
    <row r="151" spans="1:7" x14ac:dyDescent="0.35">
      <c r="A151" s="1" t="s">
        <v>1431</v>
      </c>
      <c r="B151" s="1" t="s">
        <v>1095</v>
      </c>
      <c r="C151" s="1" t="s">
        <v>54</v>
      </c>
      <c r="D151">
        <v>-5.4073029999999997</v>
      </c>
      <c r="E151">
        <v>29.762294000000001</v>
      </c>
      <c r="F151" s="1" t="s">
        <v>1437</v>
      </c>
      <c r="G151" s="1" t="s">
        <v>1433</v>
      </c>
    </row>
    <row r="152" spans="1:7" x14ac:dyDescent="0.35">
      <c r="A152" s="1" t="s">
        <v>1588</v>
      </c>
      <c r="B152" s="1" t="s">
        <v>889</v>
      </c>
      <c r="C152" s="1" t="s">
        <v>72</v>
      </c>
      <c r="D152">
        <v>-4.6818410000000004</v>
      </c>
      <c r="E152">
        <v>17.541618</v>
      </c>
      <c r="F152" s="1" t="s">
        <v>1435</v>
      </c>
      <c r="G152" s="1" t="s">
        <v>1433</v>
      </c>
    </row>
    <row r="153" spans="1:7" x14ac:dyDescent="0.35">
      <c r="A153" s="1" t="s">
        <v>1549</v>
      </c>
      <c r="B153" s="1" t="s">
        <v>776</v>
      </c>
      <c r="C153" s="1" t="s">
        <v>57</v>
      </c>
      <c r="D153">
        <v>4.9250049999999996</v>
      </c>
      <c r="E153">
        <v>19.887931999999999</v>
      </c>
      <c r="F153" s="1" t="s">
        <v>1435</v>
      </c>
      <c r="G153" s="1" t="s">
        <v>1436</v>
      </c>
    </row>
    <row r="154" spans="1:7" x14ac:dyDescent="0.35">
      <c r="A154" s="1" t="s">
        <v>1604</v>
      </c>
      <c r="B154" s="1" t="s">
        <v>1607</v>
      </c>
      <c r="C154" s="1" t="s">
        <v>24</v>
      </c>
      <c r="D154">
        <v>2.0859640000000002</v>
      </c>
      <c r="E154">
        <v>22.576664000000001</v>
      </c>
      <c r="F154" s="1" t="s">
        <v>1435</v>
      </c>
      <c r="G154" s="1" t="s">
        <v>1438</v>
      </c>
    </row>
    <row r="155" spans="1:7" x14ac:dyDescent="0.35">
      <c r="A155" s="1" t="s">
        <v>1604</v>
      </c>
      <c r="B155" s="1" t="s">
        <v>1617</v>
      </c>
      <c r="C155" s="1" t="s">
        <v>12</v>
      </c>
      <c r="D155">
        <v>-6.1126060000000004</v>
      </c>
      <c r="E155">
        <v>27.901748999999999</v>
      </c>
      <c r="F155" s="1" t="s">
        <v>1435</v>
      </c>
      <c r="G155" s="1" t="s">
        <v>1438</v>
      </c>
    </row>
    <row r="156" spans="1:7" x14ac:dyDescent="0.35">
      <c r="A156" s="1" t="s">
        <v>1529</v>
      </c>
      <c r="B156" s="1" t="s">
        <v>1547</v>
      </c>
      <c r="C156" s="1" t="s">
        <v>59</v>
      </c>
      <c r="D156">
        <v>2.3260149999999999</v>
      </c>
      <c r="E156">
        <v>24.97465</v>
      </c>
      <c r="F156" s="1" t="s">
        <v>1437</v>
      </c>
      <c r="G156" s="1" t="s">
        <v>1445</v>
      </c>
    </row>
    <row r="157" spans="1:7" x14ac:dyDescent="0.35">
      <c r="A157" s="1" t="s">
        <v>1473</v>
      </c>
      <c r="B157" s="1" t="s">
        <v>768</v>
      </c>
      <c r="C157" s="1" t="s">
        <v>1651</v>
      </c>
      <c r="D157">
        <v>-4.9789079999999997</v>
      </c>
      <c r="E157">
        <v>28.506295000000001</v>
      </c>
      <c r="F157" s="1" t="s">
        <v>1435</v>
      </c>
      <c r="G157" s="1" t="s">
        <v>1436</v>
      </c>
    </row>
    <row r="158" spans="1:7" x14ac:dyDescent="0.35">
      <c r="A158" s="1" t="s">
        <v>1488</v>
      </c>
      <c r="B158" s="1" t="s">
        <v>904</v>
      </c>
      <c r="C158" s="1" t="s">
        <v>24</v>
      </c>
      <c r="D158">
        <v>-3.6945459999999999</v>
      </c>
      <c r="E158">
        <v>16.809108999999999</v>
      </c>
      <c r="F158" s="1" t="s">
        <v>1432</v>
      </c>
      <c r="G158" s="1" t="s">
        <v>1438</v>
      </c>
    </row>
    <row r="159" spans="1:7" x14ac:dyDescent="0.35">
      <c r="A159" s="1" t="s">
        <v>1549</v>
      </c>
      <c r="B159" s="1" t="s">
        <v>1558</v>
      </c>
      <c r="C159" s="1" t="s">
        <v>33</v>
      </c>
      <c r="D159">
        <v>3.6466850000000002</v>
      </c>
      <c r="E159">
        <v>15.408844</v>
      </c>
      <c r="F159" s="1" t="s">
        <v>1437</v>
      </c>
      <c r="G159" s="1" t="s">
        <v>1438</v>
      </c>
    </row>
    <row r="160" spans="1:7" x14ac:dyDescent="0.35">
      <c r="A160" s="1" t="s">
        <v>1588</v>
      </c>
      <c r="B160" s="1" t="s">
        <v>1024</v>
      </c>
      <c r="C160" s="1" t="s">
        <v>20</v>
      </c>
      <c r="D160">
        <v>0.31740800000000002</v>
      </c>
      <c r="E160">
        <v>27.197666999999999</v>
      </c>
      <c r="F160" s="1" t="s">
        <v>1432</v>
      </c>
      <c r="G160" s="1" t="s">
        <v>1445</v>
      </c>
    </row>
    <row r="161" spans="1:7" x14ac:dyDescent="0.35">
      <c r="A161" s="1" t="s">
        <v>1588</v>
      </c>
      <c r="B161" s="1" t="s">
        <v>1597</v>
      </c>
      <c r="C161" s="1" t="s">
        <v>29</v>
      </c>
      <c r="D161">
        <v>-2.7775059999999998</v>
      </c>
      <c r="E161">
        <v>24.139983999999998</v>
      </c>
      <c r="F161" s="1" t="s">
        <v>1437</v>
      </c>
      <c r="G161" s="1" t="s">
        <v>1433</v>
      </c>
    </row>
    <row r="162" spans="1:7" x14ac:dyDescent="0.35">
      <c r="A162" s="1" t="s">
        <v>1507</v>
      </c>
      <c r="B162" s="1" t="s">
        <v>1518</v>
      </c>
      <c r="C162" s="1" t="s">
        <v>72</v>
      </c>
      <c r="D162">
        <v>3.0053459999999999</v>
      </c>
      <c r="E162">
        <v>13.765407</v>
      </c>
      <c r="F162" s="1" t="s">
        <v>1432</v>
      </c>
      <c r="G162" s="1" t="s">
        <v>1433</v>
      </c>
    </row>
    <row r="163" spans="1:7" x14ac:dyDescent="0.35">
      <c r="A163" s="1" t="s">
        <v>1604</v>
      </c>
      <c r="B163" s="1" t="s">
        <v>1622</v>
      </c>
      <c r="C163" s="1" t="s">
        <v>31</v>
      </c>
      <c r="D163">
        <v>3.4689049999999999</v>
      </c>
      <c r="E163">
        <v>18.19622</v>
      </c>
      <c r="F163" s="1" t="s">
        <v>1432</v>
      </c>
      <c r="G163" s="1" t="s">
        <v>1436</v>
      </c>
    </row>
    <row r="164" spans="1:7" x14ac:dyDescent="0.35">
      <c r="A164" s="1" t="s">
        <v>1549</v>
      </c>
      <c r="B164" s="1" t="s">
        <v>900</v>
      </c>
      <c r="C164" s="1" t="s">
        <v>61</v>
      </c>
      <c r="D164">
        <v>-11.991020000000001</v>
      </c>
      <c r="E164">
        <v>22.514747</v>
      </c>
      <c r="F164" s="1" t="s">
        <v>1432</v>
      </c>
      <c r="G164" s="1" t="s">
        <v>1438</v>
      </c>
    </row>
    <row r="165" spans="1:7" x14ac:dyDescent="0.35">
      <c r="A165" s="1" t="s">
        <v>1473</v>
      </c>
      <c r="B165" s="1" t="s">
        <v>1482</v>
      </c>
      <c r="C165" s="1" t="s">
        <v>126</v>
      </c>
      <c r="D165">
        <v>-6.7304589999999997</v>
      </c>
      <c r="E165">
        <v>24.541906999999998</v>
      </c>
      <c r="F165" s="1" t="s">
        <v>1435</v>
      </c>
      <c r="G165" s="1" t="s">
        <v>1445</v>
      </c>
    </row>
    <row r="166" spans="1:7" x14ac:dyDescent="0.35">
      <c r="A166" s="1" t="s">
        <v>1588</v>
      </c>
      <c r="B166" s="1" t="s">
        <v>1589</v>
      </c>
      <c r="C166" s="1" t="s">
        <v>54</v>
      </c>
      <c r="D166">
        <v>0.114899</v>
      </c>
      <c r="E166">
        <v>30.510916000000002</v>
      </c>
      <c r="F166" s="1" t="s">
        <v>1437</v>
      </c>
      <c r="G166" s="1" t="s">
        <v>1445</v>
      </c>
    </row>
    <row r="167" spans="1:7" x14ac:dyDescent="0.35">
      <c r="A167" s="1" t="s">
        <v>1565</v>
      </c>
      <c r="B167" s="1" t="s">
        <v>1147</v>
      </c>
      <c r="C167" s="1" t="s">
        <v>35</v>
      </c>
      <c r="D167">
        <v>-11.793894</v>
      </c>
      <c r="E167">
        <v>20.433340999999999</v>
      </c>
      <c r="F167" s="1" t="s">
        <v>1432</v>
      </c>
      <c r="G167" s="1" t="s">
        <v>1445</v>
      </c>
    </row>
    <row r="168" spans="1:7" x14ac:dyDescent="0.35">
      <c r="A168" s="1" t="s">
        <v>1529</v>
      </c>
      <c r="B168" s="1" t="s">
        <v>1538</v>
      </c>
      <c r="C168" s="1" t="s">
        <v>29</v>
      </c>
      <c r="D168">
        <v>1.3657680000000001</v>
      </c>
      <c r="E168">
        <v>21.423017000000002</v>
      </c>
      <c r="F168" s="1" t="s">
        <v>1432</v>
      </c>
      <c r="G168" s="1" t="s">
        <v>1433</v>
      </c>
    </row>
    <row r="169" spans="1:7" x14ac:dyDescent="0.35">
      <c r="A169" s="1" t="s">
        <v>1473</v>
      </c>
      <c r="B169" s="1" t="s">
        <v>1069</v>
      </c>
      <c r="C169" s="1" t="s">
        <v>61</v>
      </c>
      <c r="D169">
        <v>-0.90854400000000002</v>
      </c>
      <c r="E169">
        <v>17.154896999999998</v>
      </c>
      <c r="F169" s="1" t="s">
        <v>1437</v>
      </c>
      <c r="G169" s="1" t="s">
        <v>1436</v>
      </c>
    </row>
    <row r="170" spans="1:7" x14ac:dyDescent="0.35">
      <c r="A170" s="1" t="s">
        <v>1604</v>
      </c>
      <c r="B170" s="1" t="s">
        <v>1188</v>
      </c>
      <c r="C170" s="1" t="s">
        <v>48</v>
      </c>
      <c r="D170">
        <v>5.3608999999999997E-2</v>
      </c>
      <c r="E170">
        <v>28.346852999999999</v>
      </c>
      <c r="F170" s="1" t="s">
        <v>1437</v>
      </c>
      <c r="G170" s="1" t="s">
        <v>1438</v>
      </c>
    </row>
    <row r="171" spans="1:7" x14ac:dyDescent="0.35">
      <c r="A171" s="1" t="s">
        <v>1604</v>
      </c>
      <c r="B171" s="1" t="s">
        <v>1613</v>
      </c>
      <c r="C171" s="1" t="s">
        <v>31</v>
      </c>
      <c r="D171">
        <v>-11.055339999999999</v>
      </c>
      <c r="E171">
        <v>21.627016000000001</v>
      </c>
      <c r="F171" s="1" t="s">
        <v>1432</v>
      </c>
      <c r="G171" s="1" t="s">
        <v>1445</v>
      </c>
    </row>
    <row r="172" spans="1:7" x14ac:dyDescent="0.35">
      <c r="A172" s="1" t="s">
        <v>1458</v>
      </c>
      <c r="B172" s="1" t="s">
        <v>1297</v>
      </c>
      <c r="C172" s="1" t="s">
        <v>59</v>
      </c>
      <c r="D172">
        <v>1.2463919999999999</v>
      </c>
      <c r="E172">
        <v>13.266916999999999</v>
      </c>
      <c r="F172" s="1" t="s">
        <v>1432</v>
      </c>
      <c r="G172" s="1" t="s">
        <v>1436</v>
      </c>
    </row>
    <row r="173" spans="1:7" x14ac:dyDescent="0.35">
      <c r="A173" s="1" t="s">
        <v>1565</v>
      </c>
      <c r="B173" s="1" t="s">
        <v>1577</v>
      </c>
      <c r="C173" s="1" t="s">
        <v>83</v>
      </c>
      <c r="D173">
        <v>-12.411144999999999</v>
      </c>
      <c r="E173">
        <v>29.876642</v>
      </c>
      <c r="F173" s="1" t="s">
        <v>1435</v>
      </c>
      <c r="G173" s="1" t="s">
        <v>1433</v>
      </c>
    </row>
    <row r="174" spans="1:7" x14ac:dyDescent="0.35">
      <c r="A174" s="1" t="s">
        <v>1458</v>
      </c>
      <c r="B174" s="1" t="s">
        <v>1264</v>
      </c>
      <c r="C174" s="1" t="s">
        <v>15</v>
      </c>
      <c r="D174">
        <v>-7.6951369999999999</v>
      </c>
      <c r="E174">
        <v>13.346605</v>
      </c>
      <c r="F174" s="1" t="s">
        <v>1435</v>
      </c>
      <c r="G174" s="1" t="s">
        <v>1433</v>
      </c>
    </row>
    <row r="175" spans="1:7" x14ac:dyDescent="0.35">
      <c r="A175" s="1" t="s">
        <v>1488</v>
      </c>
      <c r="B175" s="1" t="s">
        <v>923</v>
      </c>
      <c r="C175" s="1" t="s">
        <v>17</v>
      </c>
      <c r="D175">
        <v>-12.112682</v>
      </c>
      <c r="E175">
        <v>19.972052000000001</v>
      </c>
      <c r="F175" s="1" t="s">
        <v>1435</v>
      </c>
      <c r="G175" s="1" t="s">
        <v>1436</v>
      </c>
    </row>
    <row r="176" spans="1:7" x14ac:dyDescent="0.35">
      <c r="A176" s="1" t="s">
        <v>1458</v>
      </c>
      <c r="B176" s="1" t="s">
        <v>1077</v>
      </c>
      <c r="C176" s="1" t="s">
        <v>37</v>
      </c>
      <c r="D176">
        <v>-9.0798120000000004</v>
      </c>
      <c r="E176">
        <v>14.945484</v>
      </c>
      <c r="F176" s="1" t="s">
        <v>1432</v>
      </c>
      <c r="G176" s="1" t="s">
        <v>1433</v>
      </c>
    </row>
    <row r="177" spans="1:7" x14ac:dyDescent="0.35">
      <c r="A177" s="1" t="s">
        <v>1431</v>
      </c>
      <c r="B177" s="1" t="s">
        <v>971</v>
      </c>
      <c r="C177" s="1" t="s">
        <v>41</v>
      </c>
      <c r="D177">
        <v>-4.9552579999999997</v>
      </c>
      <c r="E177">
        <v>22.008103999999999</v>
      </c>
      <c r="F177" s="1" t="s">
        <v>1435</v>
      </c>
      <c r="G177" s="1" t="s">
        <v>1436</v>
      </c>
    </row>
    <row r="178" spans="1:7" x14ac:dyDescent="0.35">
      <c r="A178" s="1" t="s">
        <v>1458</v>
      </c>
      <c r="B178" s="1" t="s">
        <v>818</v>
      </c>
      <c r="C178" s="1" t="s">
        <v>31</v>
      </c>
      <c r="D178">
        <v>-9.5266249999999992</v>
      </c>
      <c r="E178">
        <v>27.889690999999999</v>
      </c>
      <c r="F178" s="1" t="s">
        <v>1435</v>
      </c>
      <c r="G178" s="1" t="s">
        <v>1433</v>
      </c>
    </row>
    <row r="179" spans="1:7" x14ac:dyDescent="0.35">
      <c r="A179" s="1" t="s">
        <v>1529</v>
      </c>
      <c r="B179" s="1" t="s">
        <v>1534</v>
      </c>
      <c r="C179" s="1" t="s">
        <v>37</v>
      </c>
      <c r="D179">
        <v>-11.591777</v>
      </c>
      <c r="E179">
        <v>21.213452</v>
      </c>
      <c r="F179" s="1" t="s">
        <v>1432</v>
      </c>
      <c r="G179" s="1" t="s">
        <v>1433</v>
      </c>
    </row>
    <row r="180" spans="1:7" x14ac:dyDescent="0.35">
      <c r="A180" s="1" t="s">
        <v>1604</v>
      </c>
      <c r="B180" s="1" t="s">
        <v>1054</v>
      </c>
      <c r="C180" s="1" t="s">
        <v>24</v>
      </c>
      <c r="D180">
        <v>4.497306</v>
      </c>
      <c r="E180">
        <v>12.857251</v>
      </c>
      <c r="F180" s="1" t="s">
        <v>1432</v>
      </c>
      <c r="G180" s="1" t="s">
        <v>1433</v>
      </c>
    </row>
    <row r="181" spans="1:7" x14ac:dyDescent="0.35">
      <c r="A181" s="1" t="s">
        <v>1529</v>
      </c>
      <c r="B181" s="1" t="s">
        <v>1545</v>
      </c>
      <c r="C181" s="1" t="s">
        <v>57</v>
      </c>
      <c r="D181">
        <v>-1.762294</v>
      </c>
      <c r="E181">
        <v>29.617228000000001</v>
      </c>
      <c r="F181" s="1" t="s">
        <v>1435</v>
      </c>
      <c r="G181" s="1" t="s">
        <v>1438</v>
      </c>
    </row>
    <row r="182" spans="1:7" x14ac:dyDescent="0.35">
      <c r="A182" s="1" t="s">
        <v>1473</v>
      </c>
      <c r="B182" s="1" t="s">
        <v>1201</v>
      </c>
      <c r="C182" s="1" t="s">
        <v>37</v>
      </c>
      <c r="D182">
        <v>-10.653247</v>
      </c>
      <c r="E182">
        <v>14.685601</v>
      </c>
      <c r="F182" s="1" t="s">
        <v>1435</v>
      </c>
      <c r="G182" s="1" t="s">
        <v>1433</v>
      </c>
    </row>
    <row r="183" spans="1:7" x14ac:dyDescent="0.35">
      <c r="A183" s="1" t="s">
        <v>1588</v>
      </c>
      <c r="B183" s="1" t="s">
        <v>1392</v>
      </c>
      <c r="C183" s="1" t="s">
        <v>41</v>
      </c>
      <c r="D183">
        <v>-7.5641280000000002</v>
      </c>
      <c r="E183">
        <v>18.129529999999999</v>
      </c>
      <c r="F183" s="1" t="s">
        <v>1437</v>
      </c>
      <c r="G183" s="1" t="s">
        <v>1436</v>
      </c>
    </row>
    <row r="184" spans="1:7" x14ac:dyDescent="0.35">
      <c r="A184" s="1" t="s">
        <v>1473</v>
      </c>
      <c r="B184" s="1" t="s">
        <v>1479</v>
      </c>
      <c r="C184" s="1" t="s">
        <v>59</v>
      </c>
      <c r="D184">
        <v>-2.9326690000000002</v>
      </c>
      <c r="E184">
        <v>12.349382</v>
      </c>
      <c r="F184" s="1" t="s">
        <v>1432</v>
      </c>
      <c r="G184" s="1" t="s">
        <v>1438</v>
      </c>
    </row>
    <row r="185" spans="1:7" x14ac:dyDescent="0.35">
      <c r="A185" s="1" t="s">
        <v>1529</v>
      </c>
      <c r="B185" s="1" t="s">
        <v>996</v>
      </c>
      <c r="C185" s="1" t="s">
        <v>35</v>
      </c>
      <c r="D185">
        <v>-1.5936220000000001</v>
      </c>
      <c r="E185">
        <v>14.928856</v>
      </c>
      <c r="F185" s="1" t="s">
        <v>1432</v>
      </c>
      <c r="G185" s="1" t="s">
        <v>1433</v>
      </c>
    </row>
    <row r="186" spans="1:7" x14ac:dyDescent="0.35">
      <c r="A186" s="1" t="s">
        <v>1588</v>
      </c>
      <c r="B186" s="1" t="s">
        <v>1041</v>
      </c>
      <c r="C186" s="1" t="s">
        <v>118</v>
      </c>
      <c r="D186">
        <v>-1.013558</v>
      </c>
      <c r="E186">
        <v>17.346937</v>
      </c>
      <c r="F186" s="1" t="s">
        <v>1432</v>
      </c>
      <c r="G186" s="1" t="s">
        <v>1436</v>
      </c>
    </row>
    <row r="187" spans="1:7" x14ac:dyDescent="0.35">
      <c r="A187" s="1" t="s">
        <v>1565</v>
      </c>
      <c r="B187" s="1" t="s">
        <v>1097</v>
      </c>
      <c r="C187" s="1" t="s">
        <v>29</v>
      </c>
      <c r="D187">
        <v>-10.611184</v>
      </c>
      <c r="E187">
        <v>23.022268</v>
      </c>
      <c r="F187" s="1" t="s">
        <v>1432</v>
      </c>
      <c r="G187" s="1" t="s">
        <v>1438</v>
      </c>
    </row>
    <row r="188" spans="1:7" x14ac:dyDescent="0.35">
      <c r="A188" s="1" t="s">
        <v>1507</v>
      </c>
      <c r="B188" s="1" t="s">
        <v>1520</v>
      </c>
      <c r="C188" s="1" t="s">
        <v>54</v>
      </c>
      <c r="D188">
        <v>-9.2227779999999999</v>
      </c>
      <c r="E188">
        <v>20.940372</v>
      </c>
      <c r="F188" s="1" t="s">
        <v>1437</v>
      </c>
      <c r="G188" s="1" t="s">
        <v>1433</v>
      </c>
    </row>
    <row r="189" spans="1:7" x14ac:dyDescent="0.35">
      <c r="A189" s="1" t="s">
        <v>1458</v>
      </c>
      <c r="B189" s="1" t="s">
        <v>1471</v>
      </c>
      <c r="C189" s="1" t="s">
        <v>17</v>
      </c>
      <c r="D189">
        <v>-0.45332</v>
      </c>
      <c r="E189">
        <v>29.674009999999999</v>
      </c>
      <c r="F189" s="1" t="s">
        <v>1432</v>
      </c>
      <c r="G189" s="1" t="s">
        <v>1433</v>
      </c>
    </row>
    <row r="190" spans="1:7" x14ac:dyDescent="0.35">
      <c r="A190" s="1" t="s">
        <v>1549</v>
      </c>
      <c r="B190" s="1" t="s">
        <v>1561</v>
      </c>
      <c r="C190" s="1" t="s">
        <v>37</v>
      </c>
      <c r="D190">
        <v>3.524343</v>
      </c>
      <c r="E190">
        <v>27.340824000000001</v>
      </c>
      <c r="F190" s="1" t="s">
        <v>1435</v>
      </c>
      <c r="G190" s="1" t="s">
        <v>1433</v>
      </c>
    </row>
    <row r="191" spans="1:7" x14ac:dyDescent="0.35">
      <c r="A191" s="1" t="s">
        <v>1431</v>
      </c>
      <c r="B191" s="1" t="s">
        <v>1255</v>
      </c>
      <c r="C191" s="1" t="s">
        <v>83</v>
      </c>
      <c r="D191">
        <v>-11.588665000000001</v>
      </c>
      <c r="E191">
        <v>15.241552</v>
      </c>
      <c r="F191" s="1" t="s">
        <v>1435</v>
      </c>
      <c r="G191" s="1" t="s">
        <v>1445</v>
      </c>
    </row>
    <row r="192" spans="1:7" x14ac:dyDescent="0.35">
      <c r="A192" s="1" t="s">
        <v>1565</v>
      </c>
      <c r="B192" s="1" t="s">
        <v>1329</v>
      </c>
      <c r="C192" s="1" t="s">
        <v>59</v>
      </c>
      <c r="D192">
        <v>2.8552499999999998</v>
      </c>
      <c r="E192">
        <v>14.077933</v>
      </c>
      <c r="F192" s="1" t="s">
        <v>1435</v>
      </c>
      <c r="G192" s="1" t="s">
        <v>1438</v>
      </c>
    </row>
    <row r="193" spans="1:7" x14ac:dyDescent="0.35">
      <c r="A193" s="1" t="s">
        <v>1458</v>
      </c>
      <c r="B193" s="1" t="s">
        <v>1190</v>
      </c>
      <c r="C193" s="1" t="s">
        <v>72</v>
      </c>
      <c r="D193">
        <v>2.5458379999999998</v>
      </c>
      <c r="E193">
        <v>13.308655</v>
      </c>
      <c r="F193" s="1" t="s">
        <v>1432</v>
      </c>
      <c r="G193" s="1" t="s">
        <v>1438</v>
      </c>
    </row>
    <row r="194" spans="1:7" x14ac:dyDescent="0.35">
      <c r="A194" s="1" t="s">
        <v>1549</v>
      </c>
      <c r="B194" s="1" t="s">
        <v>1555</v>
      </c>
      <c r="C194" s="1" t="s">
        <v>122</v>
      </c>
      <c r="D194">
        <v>1.1800139999999999</v>
      </c>
      <c r="E194">
        <v>20.334562999999999</v>
      </c>
      <c r="F194" s="1" t="s">
        <v>1437</v>
      </c>
      <c r="G194" s="1" t="s">
        <v>1438</v>
      </c>
    </row>
    <row r="195" spans="1:7" x14ac:dyDescent="0.35">
      <c r="A195" s="1" t="s">
        <v>1588</v>
      </c>
      <c r="B195" s="1" t="s">
        <v>1602</v>
      </c>
      <c r="C195" s="1" t="s">
        <v>17</v>
      </c>
      <c r="D195">
        <v>-8.3575920000000004</v>
      </c>
      <c r="E195">
        <v>25.538395000000001</v>
      </c>
      <c r="F195" s="1" t="s">
        <v>1437</v>
      </c>
      <c r="G195" s="1" t="s">
        <v>1438</v>
      </c>
    </row>
    <row r="196" spans="1:7" x14ac:dyDescent="0.35">
      <c r="A196" s="1" t="s">
        <v>1565</v>
      </c>
      <c r="B196" s="1" t="s">
        <v>1581</v>
      </c>
      <c r="C196" s="1" t="s">
        <v>9</v>
      </c>
      <c r="D196">
        <v>1.178453</v>
      </c>
      <c r="E196">
        <v>17.479081000000001</v>
      </c>
      <c r="F196" s="1" t="s">
        <v>1437</v>
      </c>
      <c r="G196" s="1" t="s">
        <v>1433</v>
      </c>
    </row>
    <row r="197" spans="1:7" x14ac:dyDescent="0.35">
      <c r="A197" s="1" t="s">
        <v>1549</v>
      </c>
      <c r="B197" s="1" t="s">
        <v>1018</v>
      </c>
      <c r="C197" s="1" t="s">
        <v>12</v>
      </c>
      <c r="D197">
        <v>-2.571777</v>
      </c>
      <c r="E197">
        <v>12.120642</v>
      </c>
      <c r="F197" s="1" t="s">
        <v>1437</v>
      </c>
      <c r="G197" s="1" t="s">
        <v>1436</v>
      </c>
    </row>
    <row r="198" spans="1:7" x14ac:dyDescent="0.35">
      <c r="A198" s="1" t="s">
        <v>1588</v>
      </c>
      <c r="B198" s="1" t="s">
        <v>910</v>
      </c>
      <c r="C198" s="1" t="s">
        <v>61</v>
      </c>
      <c r="D198">
        <v>-7.5418399999999997</v>
      </c>
      <c r="E198">
        <v>16.931206</v>
      </c>
      <c r="F198" s="1" t="s">
        <v>1437</v>
      </c>
      <c r="G198" s="1" t="s">
        <v>1445</v>
      </c>
    </row>
    <row r="199" spans="1:7" x14ac:dyDescent="0.35">
      <c r="A199" s="1" t="s">
        <v>1431</v>
      </c>
      <c r="B199" s="1" t="s">
        <v>891</v>
      </c>
      <c r="C199" s="1" t="s">
        <v>20</v>
      </c>
      <c r="D199">
        <v>-2.9651529999999999</v>
      </c>
      <c r="E199">
        <v>29.79908</v>
      </c>
      <c r="F199" s="1" t="s">
        <v>1435</v>
      </c>
      <c r="G199" s="1" t="s">
        <v>1433</v>
      </c>
    </row>
    <row r="200" spans="1:7" x14ac:dyDescent="0.35">
      <c r="A200" s="1" t="s">
        <v>1473</v>
      </c>
      <c r="B200" s="1" t="s">
        <v>1076</v>
      </c>
      <c r="C200" s="1" t="s">
        <v>29</v>
      </c>
      <c r="D200">
        <v>-11.387295999999999</v>
      </c>
      <c r="E200">
        <v>19.384257999999999</v>
      </c>
      <c r="F200" s="1" t="s">
        <v>1437</v>
      </c>
      <c r="G200" s="1" t="s">
        <v>1436</v>
      </c>
    </row>
    <row r="201" spans="1:7" x14ac:dyDescent="0.35">
      <c r="A201" s="1" t="s">
        <v>1588</v>
      </c>
      <c r="B201" s="1" t="s">
        <v>878</v>
      </c>
      <c r="C201" s="1" t="s">
        <v>12</v>
      </c>
      <c r="D201">
        <v>-2.3677800000000002</v>
      </c>
      <c r="E201">
        <v>18.790323999999998</v>
      </c>
      <c r="F201" s="1" t="s">
        <v>1432</v>
      </c>
      <c r="G201" s="1" t="s">
        <v>1436</v>
      </c>
    </row>
    <row r="202" spans="1:7" x14ac:dyDescent="0.35">
      <c r="A202" s="1" t="s">
        <v>1529</v>
      </c>
      <c r="B202" s="1" t="s">
        <v>1221</v>
      </c>
      <c r="C202" s="1" t="s">
        <v>29</v>
      </c>
      <c r="D202">
        <v>3.611561</v>
      </c>
      <c r="E202">
        <v>17.725974999999998</v>
      </c>
      <c r="F202" s="1" t="s">
        <v>1437</v>
      </c>
      <c r="G202" s="1" t="s">
        <v>1438</v>
      </c>
    </row>
    <row r="203" spans="1:7" x14ac:dyDescent="0.35">
      <c r="A203" s="1" t="s">
        <v>1488</v>
      </c>
      <c r="B203" s="1" t="s">
        <v>1496</v>
      </c>
      <c r="C203" s="1" t="s">
        <v>122</v>
      </c>
      <c r="D203">
        <v>-4.884055</v>
      </c>
      <c r="E203">
        <v>23.40194</v>
      </c>
      <c r="F203" s="1" t="s">
        <v>1437</v>
      </c>
      <c r="G203" s="1" t="s">
        <v>1433</v>
      </c>
    </row>
    <row r="204" spans="1:7" x14ac:dyDescent="0.35">
      <c r="A204" s="1" t="s">
        <v>1588</v>
      </c>
      <c r="B204" s="1" t="s">
        <v>1277</v>
      </c>
      <c r="C204" s="1" t="s">
        <v>17</v>
      </c>
      <c r="D204">
        <v>-1.3938550000000001</v>
      </c>
      <c r="E204">
        <v>15.097554000000001</v>
      </c>
      <c r="F204" s="1" t="s">
        <v>1435</v>
      </c>
      <c r="G204" s="1" t="s">
        <v>1436</v>
      </c>
    </row>
    <row r="205" spans="1:7" x14ac:dyDescent="0.35">
      <c r="A205" s="1" t="s">
        <v>1549</v>
      </c>
      <c r="B205" s="1" t="s">
        <v>919</v>
      </c>
      <c r="C205" s="1" t="s">
        <v>126</v>
      </c>
      <c r="D205">
        <v>-9.5243310000000001</v>
      </c>
      <c r="E205">
        <v>30.541212000000002</v>
      </c>
      <c r="F205" s="1" t="s">
        <v>1437</v>
      </c>
      <c r="G205" s="1" t="s">
        <v>1433</v>
      </c>
    </row>
    <row r="206" spans="1:7" x14ac:dyDescent="0.35">
      <c r="A206" s="1" t="s">
        <v>1488</v>
      </c>
      <c r="B206" s="1" t="s">
        <v>1491</v>
      </c>
      <c r="C206" s="1" t="s">
        <v>118</v>
      </c>
      <c r="D206">
        <v>-1.9635830000000001</v>
      </c>
      <c r="E206">
        <v>15.854182</v>
      </c>
      <c r="F206" s="1" t="s">
        <v>1437</v>
      </c>
      <c r="G206" s="1" t="s">
        <v>1445</v>
      </c>
    </row>
    <row r="207" spans="1:7" x14ac:dyDescent="0.35">
      <c r="A207" s="1" t="s">
        <v>1507</v>
      </c>
      <c r="B207" s="1" t="s">
        <v>1170</v>
      </c>
      <c r="C207" s="1" t="s">
        <v>48</v>
      </c>
      <c r="D207">
        <v>-10.939712999999999</v>
      </c>
      <c r="E207">
        <v>18.276230999999999</v>
      </c>
      <c r="F207" s="1" t="s">
        <v>1435</v>
      </c>
      <c r="G207" s="1" t="s">
        <v>1438</v>
      </c>
    </row>
    <row r="208" spans="1:7" x14ac:dyDescent="0.35">
      <c r="A208" s="1" t="s">
        <v>1529</v>
      </c>
      <c r="B208" s="1" t="s">
        <v>1361</v>
      </c>
      <c r="C208" s="1" t="s">
        <v>41</v>
      </c>
      <c r="D208">
        <v>-4.6311460000000002</v>
      </c>
      <c r="E208">
        <v>25.314723000000001</v>
      </c>
      <c r="F208" s="1" t="s">
        <v>1435</v>
      </c>
      <c r="G208" s="1" t="s">
        <v>1436</v>
      </c>
    </row>
    <row r="209" spans="1:7" x14ac:dyDescent="0.35">
      <c r="A209" s="1" t="s">
        <v>1549</v>
      </c>
      <c r="B209" s="1" t="s">
        <v>793</v>
      </c>
      <c r="C209" s="1" t="s">
        <v>35</v>
      </c>
      <c r="D209">
        <v>3.1362930000000002</v>
      </c>
      <c r="E209">
        <v>16.190878000000001</v>
      </c>
      <c r="F209" s="1" t="s">
        <v>1437</v>
      </c>
      <c r="G209" s="1" t="s">
        <v>1445</v>
      </c>
    </row>
    <row r="210" spans="1:7" x14ac:dyDescent="0.35">
      <c r="A210" s="1" t="s">
        <v>1529</v>
      </c>
      <c r="B210" s="1" t="s">
        <v>901</v>
      </c>
      <c r="C210" s="1" t="s">
        <v>68</v>
      </c>
      <c r="D210">
        <v>-4.5603610000000003</v>
      </c>
      <c r="E210">
        <v>24.113918999999999</v>
      </c>
      <c r="F210" s="1" t="s">
        <v>1432</v>
      </c>
      <c r="G210" s="1" t="s">
        <v>1438</v>
      </c>
    </row>
    <row r="211" spans="1:7" x14ac:dyDescent="0.35">
      <c r="A211" s="1" t="s">
        <v>1549</v>
      </c>
      <c r="B211" s="1" t="s">
        <v>838</v>
      </c>
      <c r="C211" s="1" t="s">
        <v>61</v>
      </c>
      <c r="D211">
        <v>-1.339734</v>
      </c>
      <c r="E211">
        <v>15.243098</v>
      </c>
      <c r="F211" s="1" t="s">
        <v>1437</v>
      </c>
      <c r="G211" s="1" t="s">
        <v>1445</v>
      </c>
    </row>
    <row r="212" spans="1:7" x14ac:dyDescent="0.35">
      <c r="A212" s="1" t="s">
        <v>1529</v>
      </c>
      <c r="B212" s="1" t="s">
        <v>1536</v>
      </c>
      <c r="C212" s="1" t="s">
        <v>9</v>
      </c>
      <c r="D212">
        <v>0.35034999999999999</v>
      </c>
      <c r="E212">
        <v>13.603628</v>
      </c>
      <c r="F212" s="1" t="s">
        <v>1432</v>
      </c>
      <c r="G212" s="1" t="s">
        <v>1438</v>
      </c>
    </row>
    <row r="213" spans="1:7" x14ac:dyDescent="0.35">
      <c r="A213" s="1" t="s">
        <v>1604</v>
      </c>
      <c r="B213" s="1" t="s">
        <v>822</v>
      </c>
      <c r="C213" s="1" t="s">
        <v>20</v>
      </c>
      <c r="D213">
        <v>-5.2526849999999996</v>
      </c>
      <c r="E213">
        <v>12.374528</v>
      </c>
      <c r="F213" s="1" t="s">
        <v>1437</v>
      </c>
      <c r="G213" s="1" t="s">
        <v>1445</v>
      </c>
    </row>
    <row r="214" spans="1:7" x14ac:dyDescent="0.35">
      <c r="A214" s="1" t="s">
        <v>1529</v>
      </c>
      <c r="B214" s="1" t="s">
        <v>1532</v>
      </c>
      <c r="C214" s="1" t="s">
        <v>12</v>
      </c>
      <c r="D214">
        <v>4.7060310000000003</v>
      </c>
      <c r="E214">
        <v>27.348973000000001</v>
      </c>
      <c r="F214" s="1" t="s">
        <v>1435</v>
      </c>
      <c r="G214" s="1" t="s">
        <v>1436</v>
      </c>
    </row>
    <row r="215" spans="1:7" x14ac:dyDescent="0.35">
      <c r="A215" s="1" t="s">
        <v>1549</v>
      </c>
      <c r="B215" s="1" t="s">
        <v>1071</v>
      </c>
      <c r="C215" s="1" t="s">
        <v>126</v>
      </c>
      <c r="D215">
        <v>1.286548</v>
      </c>
      <c r="E215">
        <v>29.823702999999998</v>
      </c>
      <c r="F215" s="1" t="s">
        <v>1435</v>
      </c>
      <c r="G215" s="1" t="s">
        <v>1438</v>
      </c>
    </row>
    <row r="216" spans="1:7" x14ac:dyDescent="0.35">
      <c r="A216" s="1" t="s">
        <v>1565</v>
      </c>
      <c r="B216" s="1" t="s">
        <v>1246</v>
      </c>
      <c r="C216" s="1" t="s">
        <v>31</v>
      </c>
      <c r="D216">
        <v>-12.560556999999999</v>
      </c>
      <c r="E216">
        <v>13.204014000000001</v>
      </c>
      <c r="F216" s="1" t="s">
        <v>1435</v>
      </c>
      <c r="G216" s="1" t="s">
        <v>1433</v>
      </c>
    </row>
    <row r="217" spans="1:7" x14ac:dyDescent="0.35">
      <c r="A217" s="1" t="s">
        <v>1473</v>
      </c>
      <c r="B217" s="1" t="s">
        <v>860</v>
      </c>
      <c r="C217" s="1" t="s">
        <v>57</v>
      </c>
      <c r="D217">
        <v>-5.0402180000000003</v>
      </c>
      <c r="E217">
        <v>13.892471</v>
      </c>
      <c r="F217" s="1" t="s">
        <v>1437</v>
      </c>
      <c r="G217" s="1" t="s">
        <v>1438</v>
      </c>
    </row>
    <row r="218" spans="1:7" x14ac:dyDescent="0.35">
      <c r="A218" s="1" t="s">
        <v>1588</v>
      </c>
      <c r="B218" s="1" t="s">
        <v>833</v>
      </c>
      <c r="C218" s="1" t="s">
        <v>122</v>
      </c>
      <c r="D218">
        <v>1.8103860000000001</v>
      </c>
      <c r="E218">
        <v>15.175582</v>
      </c>
      <c r="F218" s="1" t="s">
        <v>1437</v>
      </c>
      <c r="G218" s="1" t="s">
        <v>1436</v>
      </c>
    </row>
    <row r="219" spans="1:7" x14ac:dyDescent="0.35">
      <c r="A219" s="1" t="s">
        <v>1458</v>
      </c>
      <c r="B219" s="1" t="s">
        <v>842</v>
      </c>
      <c r="C219" s="1" t="s">
        <v>122</v>
      </c>
      <c r="D219">
        <v>-6.3148239999999998</v>
      </c>
      <c r="E219">
        <v>24.507498999999999</v>
      </c>
      <c r="F219" s="1" t="s">
        <v>1437</v>
      </c>
      <c r="G219" s="1" t="s">
        <v>1438</v>
      </c>
    </row>
    <row r="220" spans="1:7" x14ac:dyDescent="0.35">
      <c r="A220" s="1" t="s">
        <v>1549</v>
      </c>
      <c r="B220" s="1" t="s">
        <v>1065</v>
      </c>
      <c r="C220" s="1" t="s">
        <v>48</v>
      </c>
      <c r="D220">
        <v>-0.98830399999999996</v>
      </c>
      <c r="E220">
        <v>28.099966999999999</v>
      </c>
      <c r="F220" s="1" t="s">
        <v>1437</v>
      </c>
      <c r="G220" s="1" t="s">
        <v>1436</v>
      </c>
    </row>
    <row r="221" spans="1:7" x14ac:dyDescent="0.35">
      <c r="A221" s="1" t="s">
        <v>1507</v>
      </c>
      <c r="B221" s="1" t="s">
        <v>1509</v>
      </c>
      <c r="C221" s="1" t="s">
        <v>37</v>
      </c>
      <c r="D221">
        <v>-4.2975050000000001</v>
      </c>
      <c r="E221">
        <v>29.162555999999999</v>
      </c>
      <c r="F221" s="1" t="s">
        <v>1432</v>
      </c>
      <c r="G221" s="1" t="s">
        <v>1433</v>
      </c>
    </row>
    <row r="222" spans="1:7" x14ac:dyDescent="0.35">
      <c r="A222" s="1" t="s">
        <v>1507</v>
      </c>
      <c r="B222" s="1" t="s">
        <v>734</v>
      </c>
      <c r="C222" s="1" t="s">
        <v>35</v>
      </c>
      <c r="D222">
        <v>-11.144149000000001</v>
      </c>
      <c r="E222">
        <v>27.244658999999999</v>
      </c>
      <c r="F222" s="1" t="s">
        <v>1435</v>
      </c>
      <c r="G222" s="1" t="s">
        <v>1445</v>
      </c>
    </row>
    <row r="223" spans="1:7" x14ac:dyDescent="0.35">
      <c r="A223" s="1" t="s">
        <v>1458</v>
      </c>
      <c r="B223" s="1" t="s">
        <v>1385</v>
      </c>
      <c r="C223" s="1" t="s">
        <v>17</v>
      </c>
      <c r="D223">
        <v>-9.6407190000000007</v>
      </c>
      <c r="E223">
        <v>21.336704999999998</v>
      </c>
      <c r="F223" s="1" t="s">
        <v>1435</v>
      </c>
      <c r="G223" s="1" t="s">
        <v>1438</v>
      </c>
    </row>
    <row r="224" spans="1:7" x14ac:dyDescent="0.35">
      <c r="A224" s="1" t="s">
        <v>1588</v>
      </c>
      <c r="B224" s="1" t="s">
        <v>1281</v>
      </c>
      <c r="C224" s="1" t="s">
        <v>122</v>
      </c>
      <c r="D224">
        <v>-8.9586360000000003</v>
      </c>
      <c r="E224">
        <v>17.157720000000001</v>
      </c>
      <c r="F224" s="1" t="s">
        <v>1437</v>
      </c>
      <c r="G224" s="1" t="s">
        <v>1445</v>
      </c>
    </row>
    <row r="225" spans="1:7" x14ac:dyDescent="0.35">
      <c r="A225" s="1" t="s">
        <v>1588</v>
      </c>
      <c r="B225" s="1" t="s">
        <v>1010</v>
      </c>
      <c r="C225" s="1" t="s">
        <v>20</v>
      </c>
      <c r="D225">
        <v>1.2419519999999999</v>
      </c>
      <c r="E225">
        <v>25.261382999999999</v>
      </c>
      <c r="F225" s="1" t="s">
        <v>1435</v>
      </c>
      <c r="G225" s="1" t="s">
        <v>1436</v>
      </c>
    </row>
    <row r="226" spans="1:7" x14ac:dyDescent="0.35">
      <c r="A226" s="1" t="s">
        <v>1458</v>
      </c>
      <c r="B226" s="1" t="s">
        <v>1460</v>
      </c>
      <c r="C226" s="1" t="s">
        <v>118</v>
      </c>
      <c r="D226">
        <v>-8.4403710000000007</v>
      </c>
      <c r="E226">
        <v>17.231165000000001</v>
      </c>
      <c r="F226" s="1" t="s">
        <v>1435</v>
      </c>
      <c r="G226" s="1" t="s">
        <v>1436</v>
      </c>
    </row>
    <row r="227" spans="1:7" x14ac:dyDescent="0.35">
      <c r="A227" s="1" t="s">
        <v>1458</v>
      </c>
      <c r="B227" s="1" t="s">
        <v>1032</v>
      </c>
      <c r="C227" s="1" t="s">
        <v>59</v>
      </c>
      <c r="D227">
        <v>-9.5840350000000001</v>
      </c>
      <c r="E227">
        <v>15.966024000000001</v>
      </c>
      <c r="F227" s="1" t="s">
        <v>1432</v>
      </c>
      <c r="G227" s="1" t="s">
        <v>1445</v>
      </c>
    </row>
    <row r="228" spans="1:7" x14ac:dyDescent="0.35">
      <c r="A228" s="1" t="s">
        <v>1604</v>
      </c>
      <c r="B228" s="1" t="s">
        <v>1620</v>
      </c>
      <c r="C228" s="1" t="s">
        <v>35</v>
      </c>
      <c r="D228">
        <v>-8.290025</v>
      </c>
      <c r="E228">
        <v>24.313573999999999</v>
      </c>
      <c r="F228" s="1" t="s">
        <v>1435</v>
      </c>
      <c r="G228" s="1" t="s">
        <v>1433</v>
      </c>
    </row>
    <row r="229" spans="1:7" x14ac:dyDescent="0.35">
      <c r="A229" s="1" t="s">
        <v>1507</v>
      </c>
      <c r="B229" s="1" t="s">
        <v>1511</v>
      </c>
      <c r="C229" s="1" t="s">
        <v>62</v>
      </c>
      <c r="D229">
        <v>-7.4135429999999998</v>
      </c>
      <c r="E229">
        <v>19.288392999999999</v>
      </c>
      <c r="F229" s="1" t="s">
        <v>1435</v>
      </c>
      <c r="G229" s="1" t="s">
        <v>1445</v>
      </c>
    </row>
    <row r="230" spans="1:7" x14ac:dyDescent="0.35">
      <c r="A230" s="1" t="s">
        <v>1431</v>
      </c>
      <c r="B230" s="1" t="s">
        <v>1128</v>
      </c>
      <c r="C230" s="1" t="s">
        <v>62</v>
      </c>
      <c r="D230">
        <v>-7.8770429999999996</v>
      </c>
      <c r="E230">
        <v>16.357762999999998</v>
      </c>
      <c r="F230" s="1" t="s">
        <v>1435</v>
      </c>
      <c r="G230" s="1" t="s">
        <v>1433</v>
      </c>
    </row>
    <row r="231" spans="1:7" x14ac:dyDescent="0.35">
      <c r="A231" s="1" t="s">
        <v>1507</v>
      </c>
      <c r="B231" s="1" t="s">
        <v>881</v>
      </c>
      <c r="C231" s="1" t="s">
        <v>31</v>
      </c>
      <c r="D231">
        <v>-3.111418</v>
      </c>
      <c r="E231">
        <v>14.144854</v>
      </c>
      <c r="F231" s="1" t="s">
        <v>1435</v>
      </c>
      <c r="G231" s="1" t="s">
        <v>1438</v>
      </c>
    </row>
    <row r="232" spans="1:7" x14ac:dyDescent="0.35">
      <c r="A232" s="1" t="s">
        <v>1529</v>
      </c>
      <c r="B232" s="1" t="s">
        <v>1134</v>
      </c>
      <c r="C232" s="1" t="s">
        <v>118</v>
      </c>
      <c r="D232">
        <v>0.20866199999999999</v>
      </c>
      <c r="E232">
        <v>18.556439000000001</v>
      </c>
      <c r="F232" s="1" t="s">
        <v>1435</v>
      </c>
      <c r="G232" s="1" t="s">
        <v>1445</v>
      </c>
    </row>
    <row r="233" spans="1:7" x14ac:dyDescent="0.35">
      <c r="A233" s="1" t="s">
        <v>1488</v>
      </c>
      <c r="B233" s="1" t="s">
        <v>1494</v>
      </c>
      <c r="C233" s="1" t="s">
        <v>9</v>
      </c>
      <c r="D233">
        <v>-10.962911</v>
      </c>
      <c r="E233">
        <v>28.771355</v>
      </c>
      <c r="F233" s="1" t="s">
        <v>1432</v>
      </c>
      <c r="G233" s="1" t="s">
        <v>1436</v>
      </c>
    </row>
    <row r="234" spans="1:7" x14ac:dyDescent="0.35">
      <c r="A234" s="1" t="s">
        <v>1473</v>
      </c>
      <c r="B234" s="1" t="s">
        <v>978</v>
      </c>
      <c r="C234" s="1" t="s">
        <v>59</v>
      </c>
      <c r="D234">
        <v>-12.564277000000001</v>
      </c>
      <c r="E234">
        <v>28.480798</v>
      </c>
      <c r="F234" s="1" t="s">
        <v>1432</v>
      </c>
      <c r="G234" s="1" t="s">
        <v>1438</v>
      </c>
    </row>
    <row r="235" spans="1:7" x14ac:dyDescent="0.35">
      <c r="A235" s="1" t="s">
        <v>1549</v>
      </c>
      <c r="B235" s="1" t="s">
        <v>1552</v>
      </c>
      <c r="C235" s="1" t="s">
        <v>9</v>
      </c>
      <c r="D235">
        <v>-4.1938139999999997</v>
      </c>
      <c r="E235">
        <v>27.892115</v>
      </c>
      <c r="F235" s="1" t="s">
        <v>1432</v>
      </c>
      <c r="G235" s="1" t="s">
        <v>1433</v>
      </c>
    </row>
    <row r="236" spans="1:7" x14ac:dyDescent="0.35">
      <c r="A236" s="1" t="s">
        <v>1458</v>
      </c>
      <c r="B236" s="1" t="s">
        <v>1466</v>
      </c>
      <c r="C236" s="1" t="s">
        <v>17</v>
      </c>
      <c r="D236">
        <v>-0.37609300000000001</v>
      </c>
      <c r="E236">
        <v>21.940809999999999</v>
      </c>
      <c r="F236" s="1" t="s">
        <v>1432</v>
      </c>
      <c r="G236" s="1" t="s">
        <v>1436</v>
      </c>
    </row>
    <row r="237" spans="1:7" x14ac:dyDescent="0.35">
      <c r="A237" s="1" t="s">
        <v>1473</v>
      </c>
      <c r="B237" s="1" t="s">
        <v>1420</v>
      </c>
      <c r="C237" s="1" t="s">
        <v>15</v>
      </c>
      <c r="D237">
        <v>-7.2267089999999996</v>
      </c>
      <c r="E237">
        <v>28.421362999999999</v>
      </c>
      <c r="F237" s="1" t="s">
        <v>1432</v>
      </c>
      <c r="G237" s="1" t="s">
        <v>1433</v>
      </c>
    </row>
    <row r="238" spans="1:7" x14ac:dyDescent="0.35">
      <c r="A238" s="1" t="s">
        <v>1458</v>
      </c>
      <c r="B238" s="1" t="s">
        <v>1468</v>
      </c>
      <c r="C238" s="1" t="s">
        <v>126</v>
      </c>
      <c r="D238">
        <v>1.194113</v>
      </c>
      <c r="E238">
        <v>15.839502</v>
      </c>
      <c r="F238" s="1" t="s">
        <v>1437</v>
      </c>
      <c r="G238" s="1" t="s">
        <v>1436</v>
      </c>
    </row>
    <row r="239" spans="1:7" x14ac:dyDescent="0.35">
      <c r="A239" s="1" t="s">
        <v>1604</v>
      </c>
      <c r="B239" s="1" t="s">
        <v>884</v>
      </c>
      <c r="C239" s="1" t="s">
        <v>118</v>
      </c>
      <c r="D239">
        <v>-1.8045979999999999</v>
      </c>
      <c r="E239">
        <v>12.511096999999999</v>
      </c>
      <c r="F239" s="1" t="s">
        <v>1437</v>
      </c>
      <c r="G239" s="1" t="s">
        <v>1436</v>
      </c>
    </row>
    <row r="240" spans="1:7" x14ac:dyDescent="0.35">
      <c r="A240" s="1" t="s">
        <v>1604</v>
      </c>
      <c r="B240" s="1" t="s">
        <v>1307</v>
      </c>
      <c r="C240" s="1" t="s">
        <v>20</v>
      </c>
      <c r="D240">
        <v>-11.207139</v>
      </c>
      <c r="E240">
        <v>18.702511999999999</v>
      </c>
      <c r="F240" s="1" t="s">
        <v>1432</v>
      </c>
      <c r="G240" s="1" t="s">
        <v>1433</v>
      </c>
    </row>
    <row r="241" spans="1:7" x14ac:dyDescent="0.35">
      <c r="A241" s="1" t="s">
        <v>1565</v>
      </c>
      <c r="B241" s="1" t="s">
        <v>1259</v>
      </c>
      <c r="C241" s="1" t="s">
        <v>24</v>
      </c>
      <c r="D241">
        <v>0.45116099999999998</v>
      </c>
      <c r="E241">
        <v>17.265761000000001</v>
      </c>
      <c r="F241" s="1" t="s">
        <v>1435</v>
      </c>
      <c r="G241" s="1" t="s">
        <v>1436</v>
      </c>
    </row>
    <row r="242" spans="1:7" x14ac:dyDescent="0.35">
      <c r="A242" s="1" t="s">
        <v>1604</v>
      </c>
      <c r="B242" s="1" t="s">
        <v>926</v>
      </c>
      <c r="C242" s="1" t="s">
        <v>17</v>
      </c>
      <c r="D242">
        <v>1.210869</v>
      </c>
      <c r="E242">
        <v>25.598741</v>
      </c>
      <c r="F242" s="1" t="s">
        <v>1435</v>
      </c>
      <c r="G242" s="1" t="s">
        <v>1433</v>
      </c>
    </row>
    <row r="243" spans="1:7" x14ac:dyDescent="0.35">
      <c r="A243" s="1" t="s">
        <v>1458</v>
      </c>
      <c r="B243" s="1" t="s">
        <v>972</v>
      </c>
      <c r="C243" s="1" t="s">
        <v>35</v>
      </c>
      <c r="D243">
        <v>-1.50664</v>
      </c>
      <c r="E243">
        <v>27.795642000000001</v>
      </c>
      <c r="F243" s="1" t="s">
        <v>1432</v>
      </c>
      <c r="G243" s="1" t="s">
        <v>1438</v>
      </c>
    </row>
    <row r="244" spans="1:7" x14ac:dyDescent="0.35">
      <c r="A244" s="1" t="s">
        <v>1458</v>
      </c>
      <c r="B244" s="1" t="s">
        <v>1042</v>
      </c>
      <c r="C244" s="1" t="s">
        <v>126</v>
      </c>
      <c r="D244">
        <v>-10.967288</v>
      </c>
      <c r="E244">
        <v>17.617781000000001</v>
      </c>
      <c r="F244" s="1" t="s">
        <v>1435</v>
      </c>
      <c r="G244" s="1" t="s">
        <v>1433</v>
      </c>
    </row>
    <row r="245" spans="1:7" x14ac:dyDescent="0.35">
      <c r="A245" s="1" t="s">
        <v>1507</v>
      </c>
      <c r="B245" s="1" t="s">
        <v>1526</v>
      </c>
      <c r="C245" s="1" t="s">
        <v>23</v>
      </c>
      <c r="D245">
        <v>-9.9170499999999997</v>
      </c>
      <c r="E245">
        <v>22.918887000000002</v>
      </c>
      <c r="F245" s="1" t="s">
        <v>1435</v>
      </c>
      <c r="G245" s="1" t="s">
        <v>1436</v>
      </c>
    </row>
    <row r="246" spans="1:7" x14ac:dyDescent="0.35">
      <c r="A246" s="1" t="s">
        <v>1507</v>
      </c>
      <c r="B246" s="1" t="s">
        <v>837</v>
      </c>
      <c r="C246" s="1" t="s">
        <v>33</v>
      </c>
      <c r="D246">
        <v>-8.0922239999999999</v>
      </c>
      <c r="E246">
        <v>15.483708</v>
      </c>
      <c r="F246" s="1" t="s">
        <v>1432</v>
      </c>
      <c r="G246" s="1" t="s">
        <v>1445</v>
      </c>
    </row>
    <row r="247" spans="1:7" x14ac:dyDescent="0.35">
      <c r="A247" s="1" t="s">
        <v>1588</v>
      </c>
      <c r="B247" s="1" t="s">
        <v>1593</v>
      </c>
      <c r="C247" s="1" t="s">
        <v>37</v>
      </c>
      <c r="D247">
        <v>-6.236097</v>
      </c>
      <c r="E247">
        <v>13.004878</v>
      </c>
      <c r="F247" s="1" t="s">
        <v>1435</v>
      </c>
      <c r="G247" s="1" t="s">
        <v>1433</v>
      </c>
    </row>
    <row r="248" spans="1:7" x14ac:dyDescent="0.35">
      <c r="A248" s="1" t="s">
        <v>1431</v>
      </c>
      <c r="B248" s="1" t="s">
        <v>748</v>
      </c>
      <c r="C248" s="1" t="s">
        <v>62</v>
      </c>
      <c r="D248">
        <v>-8.4227860000000003</v>
      </c>
      <c r="E248">
        <v>16.781293000000002</v>
      </c>
      <c r="F248" s="1" t="s">
        <v>1435</v>
      </c>
      <c r="G248" s="1" t="s">
        <v>1436</v>
      </c>
    </row>
    <row r="249" spans="1:7" x14ac:dyDescent="0.35">
      <c r="A249" s="1" t="s">
        <v>1549</v>
      </c>
      <c r="B249" s="1" t="s">
        <v>1378</v>
      </c>
      <c r="C249" s="1" t="s">
        <v>72</v>
      </c>
      <c r="D249">
        <v>-10.318835</v>
      </c>
      <c r="E249">
        <v>21.252382000000001</v>
      </c>
      <c r="F249" s="1" t="s">
        <v>1435</v>
      </c>
      <c r="G249" s="1" t="s">
        <v>1433</v>
      </c>
    </row>
    <row r="250" spans="1:7" x14ac:dyDescent="0.35">
      <c r="A250" s="1" t="s">
        <v>1458</v>
      </c>
      <c r="B250" s="1" t="s">
        <v>1027</v>
      </c>
      <c r="C250" s="1" t="s">
        <v>23</v>
      </c>
      <c r="D250">
        <v>-9.4229749999999992</v>
      </c>
      <c r="E250">
        <v>29.375005999999999</v>
      </c>
      <c r="F250" s="1" t="s">
        <v>1437</v>
      </c>
      <c r="G250" s="1" t="s">
        <v>1433</v>
      </c>
    </row>
    <row r="251" spans="1:7" x14ac:dyDescent="0.35">
      <c r="A251" s="1" t="s">
        <v>1507</v>
      </c>
      <c r="B251" s="1" t="s">
        <v>1232</v>
      </c>
      <c r="C251" s="1" t="s">
        <v>48</v>
      </c>
      <c r="D251">
        <v>-7.402336</v>
      </c>
      <c r="E251">
        <v>27.376697</v>
      </c>
      <c r="F251" s="1" t="s">
        <v>1435</v>
      </c>
      <c r="G251" s="1" t="s">
        <v>1436</v>
      </c>
    </row>
    <row r="252" spans="1:7" x14ac:dyDescent="0.35">
      <c r="A252" s="1" t="s">
        <v>1488</v>
      </c>
      <c r="B252" s="1" t="s">
        <v>1499</v>
      </c>
      <c r="C252" s="1" t="s">
        <v>15</v>
      </c>
      <c r="D252">
        <v>-6.9254999999999997E-2</v>
      </c>
      <c r="E252">
        <v>28.222756</v>
      </c>
      <c r="F252" s="1" t="s">
        <v>1432</v>
      </c>
      <c r="G252" s="1" t="s">
        <v>1436</v>
      </c>
    </row>
    <row r="253" spans="1:7" x14ac:dyDescent="0.35">
      <c r="A253" s="1" t="s">
        <v>1588</v>
      </c>
      <c r="B253" s="1" t="s">
        <v>1078</v>
      </c>
      <c r="C253" s="1" t="s">
        <v>68</v>
      </c>
      <c r="D253">
        <v>-9.4133639999999996</v>
      </c>
      <c r="E253">
        <v>15.682482</v>
      </c>
      <c r="F253" s="1" t="s">
        <v>1435</v>
      </c>
      <c r="G253" s="1" t="s">
        <v>1436</v>
      </c>
    </row>
    <row r="254" spans="1:7" x14ac:dyDescent="0.35">
      <c r="A254" s="1" t="s">
        <v>1458</v>
      </c>
      <c r="B254" s="1" t="s">
        <v>912</v>
      </c>
      <c r="C254" s="1" t="s">
        <v>31</v>
      </c>
      <c r="D254">
        <v>-4.4451280000000004</v>
      </c>
      <c r="E254">
        <v>16.536944999999999</v>
      </c>
      <c r="F254" s="1" t="s">
        <v>1435</v>
      </c>
      <c r="G254" s="1" t="s">
        <v>1433</v>
      </c>
    </row>
    <row r="255" spans="1:7" x14ac:dyDescent="0.35">
      <c r="A255" s="1" t="s">
        <v>1473</v>
      </c>
      <c r="B255" s="1" t="s">
        <v>1058</v>
      </c>
      <c r="C255" s="1" t="s">
        <v>15</v>
      </c>
      <c r="D255">
        <v>3.6344850000000002</v>
      </c>
      <c r="E255">
        <v>12.158348999999999</v>
      </c>
      <c r="F255" s="1" t="s">
        <v>1432</v>
      </c>
      <c r="G255" s="1" t="s">
        <v>1433</v>
      </c>
    </row>
    <row r="256" spans="1:7" x14ac:dyDescent="0.35">
      <c r="A256" s="1" t="s">
        <v>1473</v>
      </c>
      <c r="B256" s="1" t="s">
        <v>872</v>
      </c>
      <c r="C256" s="1" t="s">
        <v>48</v>
      </c>
      <c r="D256">
        <v>-8.5675749999999997</v>
      </c>
      <c r="E256">
        <v>26.994581</v>
      </c>
      <c r="F256" s="1" t="s">
        <v>1437</v>
      </c>
      <c r="G256" s="1" t="s">
        <v>1445</v>
      </c>
    </row>
    <row r="257" spans="1:7" x14ac:dyDescent="0.35">
      <c r="A257" s="1" t="s">
        <v>1458</v>
      </c>
      <c r="B257" s="1" t="s">
        <v>922</v>
      </c>
      <c r="C257" s="1" t="s">
        <v>72</v>
      </c>
      <c r="D257">
        <v>-4.2645619999999997</v>
      </c>
      <c r="E257">
        <v>18.960726000000001</v>
      </c>
      <c r="F257" s="1" t="s">
        <v>1435</v>
      </c>
      <c r="G257" s="1" t="s">
        <v>1436</v>
      </c>
    </row>
    <row r="258" spans="1:7" x14ac:dyDescent="0.35">
      <c r="A258" s="1" t="s">
        <v>1529</v>
      </c>
      <c r="B258" s="1" t="s">
        <v>1276</v>
      </c>
      <c r="C258" s="1" t="s">
        <v>62</v>
      </c>
      <c r="D258">
        <v>4.8265669999999998</v>
      </c>
      <c r="E258">
        <v>28.535277000000001</v>
      </c>
      <c r="F258" s="1" t="s">
        <v>1437</v>
      </c>
      <c r="G258" s="1" t="s">
        <v>1436</v>
      </c>
    </row>
    <row r="259" spans="1:7" x14ac:dyDescent="0.35">
      <c r="A259" s="1" t="s">
        <v>1473</v>
      </c>
      <c r="B259" s="1" t="s">
        <v>855</v>
      </c>
      <c r="C259" s="1" t="s">
        <v>35</v>
      </c>
      <c r="D259">
        <v>-9.002459</v>
      </c>
      <c r="E259">
        <v>25.182109000000001</v>
      </c>
      <c r="F259" s="1" t="s">
        <v>1432</v>
      </c>
      <c r="G259" s="1" t="s">
        <v>1436</v>
      </c>
    </row>
    <row r="260" spans="1:7" x14ac:dyDescent="0.35">
      <c r="A260" s="1" t="s">
        <v>1529</v>
      </c>
      <c r="B260" s="1" t="s">
        <v>1533</v>
      </c>
      <c r="C260" s="1" t="s">
        <v>9</v>
      </c>
      <c r="D260">
        <v>1.019657</v>
      </c>
      <c r="E260">
        <v>16.963799000000002</v>
      </c>
      <c r="F260" s="1" t="s">
        <v>1437</v>
      </c>
      <c r="G260" s="1" t="s">
        <v>1445</v>
      </c>
    </row>
    <row r="261" spans="1:7" x14ac:dyDescent="0.35">
      <c r="A261" s="1" t="s">
        <v>1507</v>
      </c>
      <c r="B261" s="1" t="s">
        <v>1324</v>
      </c>
      <c r="C261" s="1" t="s">
        <v>68</v>
      </c>
      <c r="D261">
        <v>-0.919767</v>
      </c>
      <c r="E261">
        <v>18.905538</v>
      </c>
      <c r="F261" s="1" t="s">
        <v>1432</v>
      </c>
      <c r="G261" s="1" t="s">
        <v>1433</v>
      </c>
    </row>
    <row r="262" spans="1:7" x14ac:dyDescent="0.35">
      <c r="A262" s="1" t="s">
        <v>1529</v>
      </c>
      <c r="B262" s="1" t="s">
        <v>1175</v>
      </c>
      <c r="C262" s="1" t="s">
        <v>23</v>
      </c>
      <c r="D262">
        <v>-4.4958720000000003</v>
      </c>
      <c r="E262">
        <v>18.514112000000001</v>
      </c>
      <c r="F262" s="1" t="s">
        <v>1435</v>
      </c>
      <c r="G262" s="1" t="s">
        <v>1445</v>
      </c>
    </row>
    <row r="263" spans="1:7" x14ac:dyDescent="0.35">
      <c r="A263" s="1" t="s">
        <v>1507</v>
      </c>
      <c r="B263" s="1" t="s">
        <v>1157</v>
      </c>
      <c r="C263" s="1" t="s">
        <v>61</v>
      </c>
      <c r="D263">
        <v>-2.6665070000000002</v>
      </c>
      <c r="E263">
        <v>18.623692999999999</v>
      </c>
      <c r="F263" s="1" t="s">
        <v>1437</v>
      </c>
      <c r="G263" s="1" t="s">
        <v>1438</v>
      </c>
    </row>
    <row r="264" spans="1:7" x14ac:dyDescent="0.35">
      <c r="A264" s="1" t="s">
        <v>1549</v>
      </c>
      <c r="B264" s="1" t="s">
        <v>1176</v>
      </c>
      <c r="C264" s="1" t="s">
        <v>41</v>
      </c>
      <c r="D264">
        <v>-0.47411900000000001</v>
      </c>
      <c r="E264">
        <v>27.184329000000002</v>
      </c>
      <c r="F264" s="1" t="s">
        <v>1432</v>
      </c>
      <c r="G264" s="1" t="s">
        <v>1438</v>
      </c>
    </row>
    <row r="265" spans="1:7" x14ac:dyDescent="0.35">
      <c r="A265" s="1" t="s">
        <v>1588</v>
      </c>
      <c r="B265" s="1" t="s">
        <v>1149</v>
      </c>
      <c r="C265" s="1" t="s">
        <v>12</v>
      </c>
      <c r="D265">
        <v>-7.789663</v>
      </c>
      <c r="E265">
        <v>26.529098000000001</v>
      </c>
      <c r="F265" s="1" t="s">
        <v>1432</v>
      </c>
      <c r="G265" s="1" t="s">
        <v>1445</v>
      </c>
    </row>
    <row r="266" spans="1:7" x14ac:dyDescent="0.35">
      <c r="A266" s="1" t="s">
        <v>1431</v>
      </c>
      <c r="B266" s="1" t="s">
        <v>1442</v>
      </c>
      <c r="C266" s="1" t="s">
        <v>61</v>
      </c>
      <c r="D266">
        <v>-10.579510000000001</v>
      </c>
      <c r="E266">
        <v>23.502313999999998</v>
      </c>
      <c r="F266" s="1" t="s">
        <v>1435</v>
      </c>
      <c r="G266" s="1" t="s">
        <v>1438</v>
      </c>
    </row>
    <row r="267" spans="1:7" x14ac:dyDescent="0.35">
      <c r="A267" s="1" t="s">
        <v>1431</v>
      </c>
      <c r="B267" s="1" t="s">
        <v>761</v>
      </c>
      <c r="C267" s="1" t="s">
        <v>122</v>
      </c>
      <c r="D267">
        <v>4.6287159999999998</v>
      </c>
      <c r="E267">
        <v>19.407077999999998</v>
      </c>
      <c r="F267" s="1" t="s">
        <v>1435</v>
      </c>
      <c r="G267" s="1" t="s">
        <v>1433</v>
      </c>
    </row>
    <row r="268" spans="1:7" x14ac:dyDescent="0.35">
      <c r="A268" s="1" t="s">
        <v>1431</v>
      </c>
      <c r="B268" s="1" t="s">
        <v>1236</v>
      </c>
      <c r="C268" s="1" t="s">
        <v>20</v>
      </c>
      <c r="D268">
        <v>-1.3024210000000001</v>
      </c>
      <c r="E268">
        <v>13.601914000000001</v>
      </c>
      <c r="F268" s="1" t="s">
        <v>1437</v>
      </c>
      <c r="G268" s="1" t="s">
        <v>1436</v>
      </c>
    </row>
    <row r="269" spans="1:7" x14ac:dyDescent="0.35">
      <c r="A269" s="1" t="s">
        <v>1473</v>
      </c>
      <c r="B269" s="1" t="s">
        <v>1155</v>
      </c>
      <c r="C269" s="1" t="s">
        <v>23</v>
      </c>
      <c r="D269">
        <v>-11.468578000000001</v>
      </c>
      <c r="E269">
        <v>16.914501999999999</v>
      </c>
      <c r="F269" s="1" t="s">
        <v>1435</v>
      </c>
      <c r="G269" s="1" t="s">
        <v>1433</v>
      </c>
    </row>
    <row r="270" spans="1:7" x14ac:dyDescent="0.35">
      <c r="A270" s="1" t="s">
        <v>1565</v>
      </c>
      <c r="B270" s="1" t="s">
        <v>930</v>
      </c>
      <c r="C270" s="1" t="s">
        <v>122</v>
      </c>
      <c r="D270">
        <v>-1.8555980000000001</v>
      </c>
      <c r="E270">
        <v>30.421918000000002</v>
      </c>
      <c r="F270" s="1" t="s">
        <v>1437</v>
      </c>
      <c r="G270" s="1" t="s">
        <v>1438</v>
      </c>
    </row>
    <row r="271" spans="1:7" x14ac:dyDescent="0.35">
      <c r="A271" s="1" t="s">
        <v>1549</v>
      </c>
      <c r="B271" s="1" t="s">
        <v>903</v>
      </c>
      <c r="C271" s="1" t="s">
        <v>122</v>
      </c>
      <c r="D271">
        <v>-12.336202</v>
      </c>
      <c r="E271">
        <v>13.693683999999999</v>
      </c>
      <c r="F271" s="1" t="s">
        <v>1432</v>
      </c>
      <c r="G271" s="1" t="s">
        <v>1436</v>
      </c>
    </row>
    <row r="272" spans="1:7" x14ac:dyDescent="0.35">
      <c r="A272" s="1" t="s">
        <v>1431</v>
      </c>
      <c r="B272" s="1" t="s">
        <v>804</v>
      </c>
      <c r="C272" s="1" t="s">
        <v>35</v>
      </c>
      <c r="D272">
        <v>-2.099631</v>
      </c>
      <c r="E272">
        <v>13.974640000000001</v>
      </c>
      <c r="F272" s="1" t="s">
        <v>1437</v>
      </c>
      <c r="G272" s="1" t="s">
        <v>1445</v>
      </c>
    </row>
    <row r="273" spans="1:7" x14ac:dyDescent="0.35">
      <c r="A273" s="1" t="s">
        <v>1549</v>
      </c>
      <c r="B273" s="1" t="s">
        <v>820</v>
      </c>
      <c r="C273" s="1" t="s">
        <v>24</v>
      </c>
      <c r="D273">
        <v>-4.4697000000000001E-2</v>
      </c>
      <c r="E273">
        <v>22.943373000000001</v>
      </c>
      <c r="F273" s="1" t="s">
        <v>1437</v>
      </c>
      <c r="G273" s="1" t="s">
        <v>1436</v>
      </c>
    </row>
    <row r="274" spans="1:7" x14ac:dyDescent="0.35">
      <c r="A274" s="1" t="s">
        <v>1549</v>
      </c>
      <c r="B274" s="1" t="s">
        <v>879</v>
      </c>
      <c r="C274" s="1" t="s">
        <v>23</v>
      </c>
      <c r="D274">
        <v>-3.3890790000000002</v>
      </c>
      <c r="E274">
        <v>18.374571</v>
      </c>
      <c r="F274" s="1" t="s">
        <v>1432</v>
      </c>
      <c r="G274" s="1" t="s">
        <v>1438</v>
      </c>
    </row>
    <row r="275" spans="1:7" x14ac:dyDescent="0.35">
      <c r="A275" s="1" t="s">
        <v>1549</v>
      </c>
      <c r="B275" s="1" t="s">
        <v>1370</v>
      </c>
      <c r="C275" s="1" t="s">
        <v>24</v>
      </c>
      <c r="D275">
        <v>-2.3269820000000001</v>
      </c>
      <c r="E275">
        <v>14.609259</v>
      </c>
      <c r="F275" s="1" t="s">
        <v>1437</v>
      </c>
      <c r="G275" s="1" t="s">
        <v>1445</v>
      </c>
    </row>
    <row r="276" spans="1:7" x14ac:dyDescent="0.35">
      <c r="A276" s="1" t="s">
        <v>1549</v>
      </c>
      <c r="B276" s="1" t="s">
        <v>827</v>
      </c>
      <c r="C276" s="1" t="s">
        <v>126</v>
      </c>
      <c r="D276">
        <v>-7.4608439999999998</v>
      </c>
      <c r="E276">
        <v>23.268619999999999</v>
      </c>
      <c r="F276" s="1" t="s">
        <v>1435</v>
      </c>
      <c r="G276" s="1" t="s">
        <v>1436</v>
      </c>
    </row>
    <row r="277" spans="1:7" x14ac:dyDescent="0.35">
      <c r="A277" s="1" t="s">
        <v>1488</v>
      </c>
      <c r="B277" s="1" t="s">
        <v>1206</v>
      </c>
      <c r="C277" s="1" t="s">
        <v>57</v>
      </c>
      <c r="D277">
        <v>-6.1490739999999997</v>
      </c>
      <c r="E277">
        <v>23.304411000000002</v>
      </c>
      <c r="F277" s="1" t="s">
        <v>1432</v>
      </c>
      <c r="G277" s="1" t="s">
        <v>1438</v>
      </c>
    </row>
    <row r="278" spans="1:7" x14ac:dyDescent="0.35">
      <c r="A278" s="1" t="s">
        <v>1549</v>
      </c>
      <c r="B278" s="1" t="s">
        <v>1193</v>
      </c>
      <c r="C278" s="1" t="s">
        <v>72</v>
      </c>
      <c r="D278">
        <v>-1.6488929999999999</v>
      </c>
      <c r="E278">
        <v>27.284617000000001</v>
      </c>
      <c r="F278" s="1" t="s">
        <v>1432</v>
      </c>
      <c r="G278" s="1" t="s">
        <v>1445</v>
      </c>
    </row>
    <row r="279" spans="1:7" x14ac:dyDescent="0.35">
      <c r="A279" s="1" t="s">
        <v>1458</v>
      </c>
      <c r="B279" s="1" t="s">
        <v>1229</v>
      </c>
      <c r="C279" s="1" t="s">
        <v>126</v>
      </c>
      <c r="D279">
        <v>-11.354772000000001</v>
      </c>
      <c r="E279">
        <v>21.957325999999998</v>
      </c>
      <c r="F279" s="1" t="s">
        <v>1437</v>
      </c>
      <c r="G279" s="1" t="s">
        <v>1445</v>
      </c>
    </row>
    <row r="280" spans="1:7" x14ac:dyDescent="0.35">
      <c r="A280" s="1" t="s">
        <v>1588</v>
      </c>
      <c r="B280" s="1" t="s">
        <v>1289</v>
      </c>
      <c r="C280" s="1" t="s">
        <v>20</v>
      </c>
      <c r="D280">
        <v>-1.4700059999999999</v>
      </c>
      <c r="E280">
        <v>18.680958</v>
      </c>
      <c r="F280" s="1" t="s">
        <v>1437</v>
      </c>
      <c r="G280" s="1" t="s">
        <v>1436</v>
      </c>
    </row>
    <row r="281" spans="1:7" x14ac:dyDescent="0.35">
      <c r="A281" s="1" t="s">
        <v>1473</v>
      </c>
      <c r="B281" s="1" t="s">
        <v>1476</v>
      </c>
      <c r="C281" s="1" t="s">
        <v>83</v>
      </c>
      <c r="D281">
        <v>-3.967184</v>
      </c>
      <c r="E281">
        <v>21.177499999999998</v>
      </c>
      <c r="F281" s="1" t="s">
        <v>1437</v>
      </c>
      <c r="G281" s="1" t="s">
        <v>1436</v>
      </c>
    </row>
    <row r="282" spans="1:7" x14ac:dyDescent="0.35">
      <c r="A282" s="1" t="s">
        <v>1488</v>
      </c>
      <c r="B282" s="1" t="s">
        <v>1233</v>
      </c>
      <c r="C282" s="1" t="s">
        <v>23</v>
      </c>
      <c r="D282">
        <v>-10.945031</v>
      </c>
      <c r="E282">
        <v>27.922274000000002</v>
      </c>
      <c r="F282" s="1" t="s">
        <v>1435</v>
      </c>
      <c r="G282" s="1" t="s">
        <v>1433</v>
      </c>
    </row>
    <row r="283" spans="1:7" x14ac:dyDescent="0.35">
      <c r="A283" s="1" t="s">
        <v>1488</v>
      </c>
      <c r="B283" s="1" t="s">
        <v>1140</v>
      </c>
      <c r="C283" s="1" t="s">
        <v>17</v>
      </c>
      <c r="D283">
        <v>-4.8157019999999999</v>
      </c>
      <c r="E283">
        <v>27.679798000000002</v>
      </c>
      <c r="F283" s="1" t="s">
        <v>1437</v>
      </c>
      <c r="G283" s="1" t="s">
        <v>1433</v>
      </c>
    </row>
    <row r="284" spans="1:7" x14ac:dyDescent="0.35">
      <c r="A284" s="1" t="s">
        <v>1588</v>
      </c>
      <c r="B284" s="1" t="s">
        <v>1590</v>
      </c>
      <c r="C284" s="1" t="s">
        <v>37</v>
      </c>
      <c r="D284">
        <v>4.7908840000000001</v>
      </c>
      <c r="E284">
        <v>23.051435000000001</v>
      </c>
      <c r="F284" s="1" t="s">
        <v>1437</v>
      </c>
      <c r="G284" s="1" t="s">
        <v>1445</v>
      </c>
    </row>
    <row r="285" spans="1:7" x14ac:dyDescent="0.35">
      <c r="A285" s="1" t="s">
        <v>1529</v>
      </c>
      <c r="B285" s="1" t="s">
        <v>1540</v>
      </c>
      <c r="C285" s="1" t="s">
        <v>1651</v>
      </c>
      <c r="D285">
        <v>-6.8161690000000004</v>
      </c>
      <c r="E285">
        <v>16.521000999999998</v>
      </c>
      <c r="F285" s="1" t="s">
        <v>1432</v>
      </c>
      <c r="G285" s="1" t="s">
        <v>1433</v>
      </c>
    </row>
    <row r="286" spans="1:7" x14ac:dyDescent="0.35">
      <c r="A286" s="1" t="s">
        <v>1529</v>
      </c>
      <c r="B286" s="1" t="s">
        <v>1106</v>
      </c>
      <c r="C286" s="1" t="s">
        <v>54</v>
      </c>
      <c r="D286">
        <v>-4.4831099999999999</v>
      </c>
      <c r="E286">
        <v>25.406548000000001</v>
      </c>
      <c r="F286" s="1" t="s">
        <v>1432</v>
      </c>
      <c r="G286" s="1" t="s">
        <v>1445</v>
      </c>
    </row>
    <row r="287" spans="1:7" x14ac:dyDescent="0.35">
      <c r="A287" s="1" t="s">
        <v>1431</v>
      </c>
      <c r="B287" s="1" t="s">
        <v>1448</v>
      </c>
      <c r="C287" s="1" t="s">
        <v>72</v>
      </c>
      <c r="D287">
        <v>-6.5144820000000001</v>
      </c>
      <c r="E287">
        <v>13.815521</v>
      </c>
      <c r="F287" s="1" t="s">
        <v>1435</v>
      </c>
      <c r="G287" s="1" t="s">
        <v>1438</v>
      </c>
    </row>
    <row r="288" spans="1:7" x14ac:dyDescent="0.35">
      <c r="A288" s="1" t="s">
        <v>1431</v>
      </c>
      <c r="B288" s="1" t="s">
        <v>896</v>
      </c>
      <c r="C288" s="1" t="s">
        <v>29</v>
      </c>
      <c r="D288">
        <v>-8.3241560000000003</v>
      </c>
      <c r="E288">
        <v>19.543866000000001</v>
      </c>
      <c r="F288" s="1" t="s">
        <v>1435</v>
      </c>
      <c r="G288" s="1" t="s">
        <v>1438</v>
      </c>
    </row>
    <row r="289" spans="1:7" x14ac:dyDescent="0.35">
      <c r="A289" s="1" t="s">
        <v>1507</v>
      </c>
      <c r="B289" s="1" t="s">
        <v>819</v>
      </c>
      <c r="C289" s="1" t="s">
        <v>83</v>
      </c>
      <c r="D289">
        <v>-9.3066320000000005</v>
      </c>
      <c r="E289">
        <v>20.470889</v>
      </c>
      <c r="F289" s="1" t="s">
        <v>1432</v>
      </c>
      <c r="G289" s="1" t="s">
        <v>1438</v>
      </c>
    </row>
    <row r="290" spans="1:7" x14ac:dyDescent="0.35">
      <c r="A290" s="1" t="s">
        <v>1549</v>
      </c>
      <c r="B290" s="1" t="s">
        <v>994</v>
      </c>
      <c r="C290" s="1" t="s">
        <v>12</v>
      </c>
      <c r="D290">
        <v>-12.292039000000001</v>
      </c>
      <c r="E290">
        <v>27.538202999999999</v>
      </c>
      <c r="F290" s="1" t="s">
        <v>1437</v>
      </c>
      <c r="G290" s="1" t="s">
        <v>1436</v>
      </c>
    </row>
    <row r="291" spans="1:7" x14ac:dyDescent="0.35">
      <c r="A291" s="1" t="s">
        <v>1565</v>
      </c>
      <c r="B291" s="1" t="s">
        <v>1584</v>
      </c>
      <c r="C291" s="1" t="s">
        <v>17</v>
      </c>
      <c r="D291">
        <v>-12.013389999999999</v>
      </c>
      <c r="E291">
        <v>25.24456</v>
      </c>
      <c r="F291" s="1" t="s">
        <v>1437</v>
      </c>
      <c r="G291" s="1" t="s">
        <v>1436</v>
      </c>
    </row>
    <row r="292" spans="1:7" x14ac:dyDescent="0.35">
      <c r="A292" s="1" t="s">
        <v>1473</v>
      </c>
      <c r="B292" s="1" t="s">
        <v>1480</v>
      </c>
      <c r="C292" s="1" t="s">
        <v>72</v>
      </c>
      <c r="D292">
        <v>-1.259528</v>
      </c>
      <c r="E292">
        <v>24.607037999999999</v>
      </c>
      <c r="F292" s="1" t="s">
        <v>1435</v>
      </c>
      <c r="G292" s="1" t="s">
        <v>1438</v>
      </c>
    </row>
    <row r="293" spans="1:7" x14ac:dyDescent="0.35">
      <c r="A293" s="1" t="s">
        <v>1588</v>
      </c>
      <c r="B293" s="1" t="s">
        <v>1595</v>
      </c>
      <c r="C293" s="1" t="s">
        <v>122</v>
      </c>
      <c r="D293">
        <v>-1.501492</v>
      </c>
      <c r="E293">
        <v>24.088695999999999</v>
      </c>
      <c r="F293" s="1" t="s">
        <v>1435</v>
      </c>
      <c r="G293" s="1" t="s">
        <v>1445</v>
      </c>
    </row>
    <row r="294" spans="1:7" x14ac:dyDescent="0.35">
      <c r="A294" s="1" t="s">
        <v>1431</v>
      </c>
      <c r="B294" s="1" t="s">
        <v>1017</v>
      </c>
      <c r="C294" s="1" t="s">
        <v>17</v>
      </c>
      <c r="D294">
        <v>2.628638</v>
      </c>
      <c r="E294">
        <v>28.420582</v>
      </c>
      <c r="F294" s="1" t="s">
        <v>1435</v>
      </c>
      <c r="G294" s="1" t="s">
        <v>1436</v>
      </c>
    </row>
    <row r="295" spans="1:7" x14ac:dyDescent="0.35">
      <c r="A295" s="1" t="s">
        <v>1431</v>
      </c>
      <c r="B295" s="1" t="s">
        <v>1449</v>
      </c>
      <c r="C295" s="1" t="s">
        <v>24</v>
      </c>
      <c r="D295">
        <v>-6.8054750000000004</v>
      </c>
      <c r="E295">
        <v>13.022683000000001</v>
      </c>
      <c r="F295" s="1" t="s">
        <v>1435</v>
      </c>
      <c r="G295" s="1" t="s">
        <v>1436</v>
      </c>
    </row>
    <row r="296" spans="1:7" x14ac:dyDescent="0.35">
      <c r="A296" s="1" t="s">
        <v>1488</v>
      </c>
      <c r="B296" s="1" t="s">
        <v>1207</v>
      </c>
      <c r="C296" s="1" t="s">
        <v>83</v>
      </c>
      <c r="D296">
        <v>-8.4985189999999999</v>
      </c>
      <c r="E296">
        <v>12.929456999999999</v>
      </c>
      <c r="F296" s="1" t="s">
        <v>1435</v>
      </c>
      <c r="G296" s="1" t="s">
        <v>1433</v>
      </c>
    </row>
    <row r="297" spans="1:7" x14ac:dyDescent="0.35">
      <c r="A297" s="1" t="s">
        <v>1507</v>
      </c>
      <c r="B297" s="1" t="s">
        <v>867</v>
      </c>
      <c r="C297" s="1" t="s">
        <v>59</v>
      </c>
      <c r="D297">
        <v>0.79124300000000003</v>
      </c>
      <c r="E297">
        <v>25.273389000000002</v>
      </c>
      <c r="F297" s="1" t="s">
        <v>1435</v>
      </c>
      <c r="G297" s="1" t="s">
        <v>1445</v>
      </c>
    </row>
    <row r="298" spans="1:7" x14ac:dyDescent="0.35">
      <c r="A298" s="1" t="s">
        <v>1565</v>
      </c>
      <c r="B298" s="1" t="s">
        <v>997</v>
      </c>
      <c r="C298" s="1" t="s">
        <v>37</v>
      </c>
      <c r="D298">
        <v>-7.5129409999999996</v>
      </c>
      <c r="E298">
        <v>18.701522000000001</v>
      </c>
      <c r="F298" s="1" t="s">
        <v>1435</v>
      </c>
      <c r="G298" s="1" t="s">
        <v>1445</v>
      </c>
    </row>
    <row r="299" spans="1:7" x14ac:dyDescent="0.35">
      <c r="A299" s="1" t="s">
        <v>1529</v>
      </c>
      <c r="B299" s="1" t="s">
        <v>1543</v>
      </c>
      <c r="C299" s="1" t="s">
        <v>1651</v>
      </c>
      <c r="D299">
        <v>-7.7942479999999996</v>
      </c>
      <c r="E299">
        <v>15.184407999999999</v>
      </c>
      <c r="F299" s="1" t="s">
        <v>1437</v>
      </c>
      <c r="G299" s="1" t="s">
        <v>1438</v>
      </c>
    </row>
    <row r="300" spans="1:7" x14ac:dyDescent="0.35">
      <c r="A300" s="1" t="s">
        <v>1488</v>
      </c>
      <c r="B300" s="1" t="s">
        <v>767</v>
      </c>
      <c r="C300" s="1" t="s">
        <v>68</v>
      </c>
      <c r="D300">
        <v>-6.1837850000000003</v>
      </c>
      <c r="E300">
        <v>25.138759</v>
      </c>
      <c r="F300" s="1" t="s">
        <v>1437</v>
      </c>
      <c r="G300" s="1" t="s">
        <v>1433</v>
      </c>
    </row>
    <row r="301" spans="1:7" x14ac:dyDescent="0.35">
      <c r="A301" s="1" t="s">
        <v>1507</v>
      </c>
      <c r="B301" s="1" t="s">
        <v>1513</v>
      </c>
      <c r="C301" s="1" t="s">
        <v>57</v>
      </c>
      <c r="D301">
        <v>-3.7093609999999999</v>
      </c>
      <c r="E301">
        <v>23.959942999999999</v>
      </c>
      <c r="F301" s="1" t="s">
        <v>1435</v>
      </c>
      <c r="G301" s="1" t="s">
        <v>1436</v>
      </c>
    </row>
    <row r="302" spans="1:7" x14ac:dyDescent="0.35">
      <c r="A302" s="1" t="s">
        <v>1488</v>
      </c>
      <c r="B302" s="1" t="s">
        <v>1310</v>
      </c>
      <c r="C302" s="1" t="s">
        <v>12</v>
      </c>
      <c r="D302">
        <v>-7.7587710000000003</v>
      </c>
      <c r="E302">
        <v>17.880848</v>
      </c>
      <c r="F302" s="1" t="s">
        <v>1437</v>
      </c>
      <c r="G302" s="1" t="s">
        <v>1433</v>
      </c>
    </row>
    <row r="303" spans="1:7" x14ac:dyDescent="0.35">
      <c r="A303" s="1" t="s">
        <v>1529</v>
      </c>
      <c r="B303" s="1" t="s">
        <v>1530</v>
      </c>
      <c r="C303" s="1" t="s">
        <v>15</v>
      </c>
      <c r="D303">
        <v>-4.332408</v>
      </c>
      <c r="E303">
        <v>14.119439</v>
      </c>
      <c r="F303" s="1" t="s">
        <v>1432</v>
      </c>
      <c r="G303" s="1" t="s">
        <v>1445</v>
      </c>
    </row>
    <row r="304" spans="1:7" x14ac:dyDescent="0.35">
      <c r="A304" s="1" t="s">
        <v>1473</v>
      </c>
      <c r="B304" s="1" t="s">
        <v>1373</v>
      </c>
      <c r="C304" s="1" t="s">
        <v>33</v>
      </c>
      <c r="D304">
        <v>-7.513261</v>
      </c>
      <c r="E304">
        <v>24.338812000000001</v>
      </c>
      <c r="F304" s="1" t="s">
        <v>1432</v>
      </c>
      <c r="G304" s="1" t="s">
        <v>1436</v>
      </c>
    </row>
    <row r="305" spans="1:7" x14ac:dyDescent="0.35">
      <c r="A305" s="1" t="s">
        <v>1604</v>
      </c>
      <c r="B305" s="1" t="s">
        <v>998</v>
      </c>
      <c r="C305" s="1" t="s">
        <v>122</v>
      </c>
      <c r="D305">
        <v>-4.1754939999999996</v>
      </c>
      <c r="E305">
        <v>16.704664999999999</v>
      </c>
      <c r="F305" s="1" t="s">
        <v>1437</v>
      </c>
      <c r="G305" s="1" t="s">
        <v>1433</v>
      </c>
    </row>
    <row r="306" spans="1:7" x14ac:dyDescent="0.35">
      <c r="A306" s="1" t="s">
        <v>1507</v>
      </c>
      <c r="B306" s="1" t="s">
        <v>1365</v>
      </c>
      <c r="C306" s="1" t="s">
        <v>23</v>
      </c>
      <c r="D306">
        <v>-2.926736</v>
      </c>
      <c r="E306">
        <v>18.170461</v>
      </c>
      <c r="F306" s="1" t="s">
        <v>1432</v>
      </c>
      <c r="G306" s="1" t="s">
        <v>1433</v>
      </c>
    </row>
    <row r="307" spans="1:7" x14ac:dyDescent="0.35">
      <c r="A307" s="1" t="s">
        <v>1431</v>
      </c>
      <c r="B307" s="1" t="s">
        <v>1253</v>
      </c>
      <c r="C307" s="1" t="s">
        <v>118</v>
      </c>
      <c r="D307">
        <v>-3.003879</v>
      </c>
      <c r="E307">
        <v>23.633893</v>
      </c>
      <c r="F307" s="1" t="s">
        <v>1432</v>
      </c>
      <c r="G307" s="1" t="s">
        <v>1433</v>
      </c>
    </row>
    <row r="308" spans="1:7" x14ac:dyDescent="0.35">
      <c r="A308" s="1" t="s">
        <v>1565</v>
      </c>
      <c r="B308" s="1" t="s">
        <v>756</v>
      </c>
      <c r="C308" s="1" t="s">
        <v>23</v>
      </c>
      <c r="D308">
        <v>0.172153</v>
      </c>
      <c r="E308">
        <v>21.091376</v>
      </c>
      <c r="F308" s="1" t="s">
        <v>1437</v>
      </c>
      <c r="G308" s="1" t="s">
        <v>1433</v>
      </c>
    </row>
    <row r="309" spans="1:7" x14ac:dyDescent="0.35">
      <c r="A309" s="1" t="s">
        <v>1588</v>
      </c>
      <c r="B309" s="1" t="s">
        <v>1601</v>
      </c>
      <c r="C309" s="1" t="s">
        <v>17</v>
      </c>
      <c r="D309">
        <v>0.76493</v>
      </c>
      <c r="E309">
        <v>21.564274999999999</v>
      </c>
      <c r="F309" s="1" t="s">
        <v>1437</v>
      </c>
      <c r="G309" s="1" t="s">
        <v>1438</v>
      </c>
    </row>
    <row r="310" spans="1:7" x14ac:dyDescent="0.35">
      <c r="A310" s="1" t="s">
        <v>1549</v>
      </c>
      <c r="B310" s="1" t="s">
        <v>1551</v>
      </c>
      <c r="C310" s="1" t="s">
        <v>83</v>
      </c>
      <c r="D310">
        <v>-11.472474999999999</v>
      </c>
      <c r="E310">
        <v>27.418900000000001</v>
      </c>
      <c r="F310" s="1" t="s">
        <v>1435</v>
      </c>
      <c r="G310" s="1" t="s">
        <v>1438</v>
      </c>
    </row>
    <row r="311" spans="1:7" x14ac:dyDescent="0.35">
      <c r="A311" s="1" t="s">
        <v>1458</v>
      </c>
      <c r="B311" s="1" t="s">
        <v>1461</v>
      </c>
      <c r="C311" s="1" t="s">
        <v>37</v>
      </c>
      <c r="D311">
        <v>1.204588</v>
      </c>
      <c r="E311">
        <v>15.525152</v>
      </c>
      <c r="F311" s="1" t="s">
        <v>1432</v>
      </c>
      <c r="G311" s="1" t="s">
        <v>1436</v>
      </c>
    </row>
    <row r="312" spans="1:7" x14ac:dyDescent="0.35">
      <c r="A312" s="1" t="s">
        <v>1507</v>
      </c>
      <c r="B312" s="1" t="s">
        <v>1070</v>
      </c>
      <c r="C312" s="1" t="s">
        <v>37</v>
      </c>
      <c r="D312">
        <v>-8.1210620000000002</v>
      </c>
      <c r="E312">
        <v>21.094390000000001</v>
      </c>
      <c r="F312" s="1" t="s">
        <v>1432</v>
      </c>
      <c r="G312" s="1" t="s">
        <v>1438</v>
      </c>
    </row>
    <row r="313" spans="1:7" x14ac:dyDescent="0.35">
      <c r="A313" s="1" t="s">
        <v>1565</v>
      </c>
      <c r="B313" s="1" t="s">
        <v>1099</v>
      </c>
      <c r="C313" s="1" t="s">
        <v>68</v>
      </c>
      <c r="D313">
        <v>-0.85624699999999998</v>
      </c>
      <c r="E313">
        <v>28.624870000000001</v>
      </c>
      <c r="F313" s="1" t="s">
        <v>1437</v>
      </c>
      <c r="G313" s="1" t="s">
        <v>1433</v>
      </c>
    </row>
    <row r="314" spans="1:7" x14ac:dyDescent="0.35">
      <c r="A314" s="1" t="s">
        <v>1588</v>
      </c>
      <c r="B314" s="1" t="s">
        <v>1592</v>
      </c>
      <c r="C314" s="1" t="s">
        <v>12</v>
      </c>
      <c r="D314">
        <v>3.796754</v>
      </c>
      <c r="E314">
        <v>25.172377999999998</v>
      </c>
      <c r="F314" s="1" t="s">
        <v>1435</v>
      </c>
      <c r="G314" s="1" t="s">
        <v>1436</v>
      </c>
    </row>
    <row r="315" spans="1:7" x14ac:dyDescent="0.35">
      <c r="A315" s="1" t="s">
        <v>1507</v>
      </c>
      <c r="B315" s="1" t="s">
        <v>1337</v>
      </c>
      <c r="C315" s="1" t="s">
        <v>1651</v>
      </c>
      <c r="D315">
        <v>2.5665840000000002</v>
      </c>
      <c r="E315">
        <v>15.764796</v>
      </c>
      <c r="F315" s="1" t="s">
        <v>1437</v>
      </c>
      <c r="G315" s="1" t="s">
        <v>1438</v>
      </c>
    </row>
    <row r="316" spans="1:7" x14ac:dyDescent="0.35">
      <c r="A316" s="1" t="s">
        <v>1588</v>
      </c>
      <c r="B316" s="1" t="s">
        <v>752</v>
      </c>
      <c r="C316" s="1" t="s">
        <v>62</v>
      </c>
      <c r="D316">
        <v>-2.2371569999999998</v>
      </c>
      <c r="E316">
        <v>25.926188</v>
      </c>
      <c r="F316" s="1" t="s">
        <v>1437</v>
      </c>
      <c r="G316" s="1" t="s">
        <v>1445</v>
      </c>
    </row>
    <row r="317" spans="1:7" x14ac:dyDescent="0.35">
      <c r="A317" s="1" t="s">
        <v>1431</v>
      </c>
      <c r="B317" s="1" t="s">
        <v>857</v>
      </c>
      <c r="C317" s="1" t="s">
        <v>48</v>
      </c>
      <c r="D317">
        <v>-4.2408359999999998</v>
      </c>
      <c r="E317">
        <v>26.210014000000001</v>
      </c>
      <c r="F317" s="1" t="s">
        <v>1435</v>
      </c>
      <c r="G317" s="1" t="s">
        <v>1436</v>
      </c>
    </row>
    <row r="318" spans="1:7" x14ac:dyDescent="0.35">
      <c r="A318" s="1" t="s">
        <v>1488</v>
      </c>
      <c r="B318" s="1" t="s">
        <v>1498</v>
      </c>
      <c r="C318" s="1" t="s">
        <v>68</v>
      </c>
      <c r="D318">
        <v>1.3367519999999999</v>
      </c>
      <c r="E318">
        <v>12.697699999999999</v>
      </c>
      <c r="F318" s="1" t="s">
        <v>1432</v>
      </c>
      <c r="G318" s="1" t="s">
        <v>1436</v>
      </c>
    </row>
    <row r="319" spans="1:7" x14ac:dyDescent="0.35">
      <c r="A319" s="1" t="s">
        <v>1431</v>
      </c>
      <c r="B319" s="1" t="s">
        <v>1447</v>
      </c>
      <c r="C319" s="1" t="s">
        <v>54</v>
      </c>
      <c r="D319">
        <v>2.1014910000000002</v>
      </c>
      <c r="E319">
        <v>26.133631999999999</v>
      </c>
      <c r="F319" s="1" t="s">
        <v>1432</v>
      </c>
      <c r="G319" s="1" t="s">
        <v>1436</v>
      </c>
    </row>
    <row r="320" spans="1:7" x14ac:dyDescent="0.35">
      <c r="A320" s="1" t="s">
        <v>1604</v>
      </c>
      <c r="B320" s="1" t="s">
        <v>1618</v>
      </c>
      <c r="C320" s="1" t="s">
        <v>37</v>
      </c>
      <c r="D320">
        <v>0.81629799999999997</v>
      </c>
      <c r="E320">
        <v>18.557718000000001</v>
      </c>
      <c r="F320" s="1" t="s">
        <v>1432</v>
      </c>
      <c r="G320" s="1" t="s">
        <v>1433</v>
      </c>
    </row>
    <row r="321" spans="1:7" x14ac:dyDescent="0.35">
      <c r="A321" s="1" t="s">
        <v>1473</v>
      </c>
      <c r="B321" s="1" t="s">
        <v>993</v>
      </c>
      <c r="C321" s="1" t="s">
        <v>83</v>
      </c>
      <c r="D321">
        <v>-7.7839049999999999</v>
      </c>
      <c r="E321">
        <v>14.114281999999999</v>
      </c>
      <c r="F321" s="1" t="s">
        <v>1437</v>
      </c>
      <c r="G321" s="1" t="s">
        <v>1438</v>
      </c>
    </row>
    <row r="322" spans="1:7" x14ac:dyDescent="0.35">
      <c r="A322" s="1" t="s">
        <v>1549</v>
      </c>
      <c r="B322" s="1" t="s">
        <v>1562</v>
      </c>
      <c r="C322" s="1" t="s">
        <v>20</v>
      </c>
      <c r="D322">
        <v>-12.17557</v>
      </c>
      <c r="E322">
        <v>26.678691000000001</v>
      </c>
      <c r="F322" s="1" t="s">
        <v>1435</v>
      </c>
      <c r="G322" s="1" t="s">
        <v>1436</v>
      </c>
    </row>
    <row r="323" spans="1:7" x14ac:dyDescent="0.35">
      <c r="A323" s="1" t="s">
        <v>1488</v>
      </c>
      <c r="B323" s="1" t="s">
        <v>800</v>
      </c>
      <c r="C323" s="1" t="s">
        <v>122</v>
      </c>
      <c r="D323">
        <v>0.82868600000000003</v>
      </c>
      <c r="E323">
        <v>26.958843999999999</v>
      </c>
      <c r="F323" s="1" t="s">
        <v>1432</v>
      </c>
      <c r="G323" s="1" t="s">
        <v>1438</v>
      </c>
    </row>
    <row r="324" spans="1:7" x14ac:dyDescent="0.35">
      <c r="A324" s="1" t="s">
        <v>1473</v>
      </c>
      <c r="B324" s="1" t="s">
        <v>1485</v>
      </c>
      <c r="C324" s="1" t="s">
        <v>35</v>
      </c>
      <c r="D324">
        <v>-6.2712260000000004</v>
      </c>
      <c r="E324">
        <v>21.512366</v>
      </c>
      <c r="F324" s="1" t="s">
        <v>1432</v>
      </c>
      <c r="G324" s="1" t="s">
        <v>1436</v>
      </c>
    </row>
    <row r="325" spans="1:7" x14ac:dyDescent="0.35">
      <c r="A325" s="1" t="s">
        <v>1565</v>
      </c>
      <c r="B325" s="1" t="s">
        <v>882</v>
      </c>
      <c r="C325" s="1" t="s">
        <v>83</v>
      </c>
      <c r="D325">
        <v>-1.342476</v>
      </c>
      <c r="E325">
        <v>15.986086</v>
      </c>
      <c r="F325" s="1" t="s">
        <v>1435</v>
      </c>
      <c r="G325" s="1" t="s">
        <v>1433</v>
      </c>
    </row>
    <row r="326" spans="1:7" x14ac:dyDescent="0.35">
      <c r="A326" s="1" t="s">
        <v>1488</v>
      </c>
      <c r="B326" s="1" t="s">
        <v>1343</v>
      </c>
      <c r="C326" s="1" t="s">
        <v>17</v>
      </c>
      <c r="D326">
        <v>-5.5559329999999996</v>
      </c>
      <c r="E326">
        <v>13.508692999999999</v>
      </c>
      <c r="F326" s="1" t="s">
        <v>1437</v>
      </c>
      <c r="G326" s="1" t="s">
        <v>1445</v>
      </c>
    </row>
    <row r="327" spans="1:7" x14ac:dyDescent="0.35">
      <c r="A327" s="1" t="s">
        <v>1473</v>
      </c>
      <c r="B327" s="1" t="s">
        <v>1474</v>
      </c>
      <c r="C327" s="1" t="s">
        <v>24</v>
      </c>
      <c r="D327">
        <v>-5.9281110000000004</v>
      </c>
      <c r="E327">
        <v>29.607863999999999</v>
      </c>
      <c r="F327" s="1" t="s">
        <v>1435</v>
      </c>
      <c r="G327" s="1" t="s">
        <v>1436</v>
      </c>
    </row>
    <row r="328" spans="1:7" x14ac:dyDescent="0.35">
      <c r="A328" s="1" t="s">
        <v>1549</v>
      </c>
      <c r="B328" s="1" t="s">
        <v>1139</v>
      </c>
      <c r="C328" s="1" t="s">
        <v>59</v>
      </c>
      <c r="D328">
        <v>-9.8208710000000004</v>
      </c>
      <c r="E328">
        <v>23.229807000000001</v>
      </c>
      <c r="F328" s="1" t="s">
        <v>1432</v>
      </c>
      <c r="G328" s="1" t="s">
        <v>1445</v>
      </c>
    </row>
    <row r="329" spans="1:7" x14ac:dyDescent="0.35">
      <c r="A329" s="1" t="s">
        <v>1431</v>
      </c>
      <c r="B329" s="1" t="s">
        <v>1145</v>
      </c>
      <c r="C329" s="1" t="s">
        <v>118</v>
      </c>
      <c r="D329">
        <v>-7.1483749999999997</v>
      </c>
      <c r="E329">
        <v>26.014271000000001</v>
      </c>
      <c r="F329" s="1" t="s">
        <v>1432</v>
      </c>
      <c r="G329" s="1" t="s">
        <v>1436</v>
      </c>
    </row>
    <row r="330" spans="1:7" x14ac:dyDescent="0.35">
      <c r="A330" s="1" t="s">
        <v>1529</v>
      </c>
      <c r="B330" s="1" t="s">
        <v>1381</v>
      </c>
      <c r="C330" s="1" t="s">
        <v>83</v>
      </c>
      <c r="D330">
        <v>-7.8373179999999998</v>
      </c>
      <c r="E330">
        <v>20.527591999999999</v>
      </c>
      <c r="F330" s="1" t="s">
        <v>1435</v>
      </c>
      <c r="G330" s="1" t="s">
        <v>1433</v>
      </c>
    </row>
    <row r="331" spans="1:7" x14ac:dyDescent="0.35">
      <c r="A331" s="1" t="s">
        <v>1604</v>
      </c>
      <c r="B331" s="1" t="s">
        <v>915</v>
      </c>
      <c r="C331" s="1" t="s">
        <v>12</v>
      </c>
      <c r="D331">
        <v>0.52897499999999997</v>
      </c>
      <c r="E331">
        <v>13.849651</v>
      </c>
      <c r="F331" s="1" t="s">
        <v>1437</v>
      </c>
      <c r="G331" s="1" t="s">
        <v>1438</v>
      </c>
    </row>
    <row r="332" spans="1:7" x14ac:dyDescent="0.35">
      <c r="A332" s="1" t="s">
        <v>1458</v>
      </c>
      <c r="B332" s="1" t="s">
        <v>1464</v>
      </c>
      <c r="C332" s="1" t="s">
        <v>54</v>
      </c>
      <c r="D332">
        <v>3.7552780000000001</v>
      </c>
      <c r="E332">
        <v>22.477888</v>
      </c>
      <c r="F332" s="1" t="s">
        <v>1437</v>
      </c>
      <c r="G332" s="1" t="s">
        <v>1445</v>
      </c>
    </row>
    <row r="333" spans="1:7" x14ac:dyDescent="0.35">
      <c r="A333" s="1" t="s">
        <v>1488</v>
      </c>
      <c r="B333" s="1" t="s">
        <v>1169</v>
      </c>
      <c r="C333" s="1" t="s">
        <v>37</v>
      </c>
      <c r="D333">
        <v>-4.6957509999999996</v>
      </c>
      <c r="E333">
        <v>14.233525999999999</v>
      </c>
      <c r="F333" s="1" t="s">
        <v>1435</v>
      </c>
      <c r="G333" s="1" t="s">
        <v>1445</v>
      </c>
    </row>
    <row r="334" spans="1:7" x14ac:dyDescent="0.35">
      <c r="A334" s="1" t="s">
        <v>1488</v>
      </c>
      <c r="B334" s="1" t="s">
        <v>1362</v>
      </c>
      <c r="C334" s="1" t="s">
        <v>122</v>
      </c>
      <c r="D334">
        <v>-10.298385</v>
      </c>
      <c r="E334">
        <v>29.698117</v>
      </c>
      <c r="F334" s="1" t="s">
        <v>1432</v>
      </c>
      <c r="G334" s="1" t="s">
        <v>1445</v>
      </c>
    </row>
    <row r="335" spans="1:7" x14ac:dyDescent="0.35">
      <c r="A335" s="1" t="s">
        <v>1458</v>
      </c>
      <c r="B335" s="1" t="s">
        <v>1291</v>
      </c>
      <c r="C335" s="1" t="s">
        <v>59</v>
      </c>
      <c r="D335">
        <v>-7.1587569999999996</v>
      </c>
      <c r="E335">
        <v>18.975141000000001</v>
      </c>
      <c r="F335" s="1" t="s">
        <v>1432</v>
      </c>
      <c r="G335" s="1" t="s">
        <v>1433</v>
      </c>
    </row>
    <row r="336" spans="1:7" x14ac:dyDescent="0.35">
      <c r="A336" s="1" t="s">
        <v>1604</v>
      </c>
      <c r="B336" s="1" t="s">
        <v>895</v>
      </c>
      <c r="C336" s="1" t="s">
        <v>12</v>
      </c>
      <c r="D336">
        <v>-0.79406600000000005</v>
      </c>
      <c r="E336">
        <v>12.534793000000001</v>
      </c>
      <c r="F336" s="1" t="s">
        <v>1437</v>
      </c>
      <c r="G336" s="1" t="s">
        <v>1436</v>
      </c>
    </row>
    <row r="337" spans="1:7" x14ac:dyDescent="0.35">
      <c r="A337" s="1" t="s">
        <v>1565</v>
      </c>
      <c r="B337" s="1" t="s">
        <v>1587</v>
      </c>
      <c r="C337" s="1" t="s">
        <v>23</v>
      </c>
      <c r="D337">
        <v>-9.8451869999999992</v>
      </c>
      <c r="E337">
        <v>14.508520000000001</v>
      </c>
      <c r="F337" s="1" t="s">
        <v>1432</v>
      </c>
      <c r="G337" s="1" t="s">
        <v>1445</v>
      </c>
    </row>
    <row r="338" spans="1:7" x14ac:dyDescent="0.35">
      <c r="A338" s="1" t="s">
        <v>1565</v>
      </c>
      <c r="B338" s="1" t="s">
        <v>1568</v>
      </c>
      <c r="C338" s="1" t="s">
        <v>1651</v>
      </c>
      <c r="D338">
        <v>-2.947235</v>
      </c>
      <c r="E338">
        <v>16.534020999999999</v>
      </c>
      <c r="F338" s="1" t="s">
        <v>1437</v>
      </c>
      <c r="G338" s="1" t="s">
        <v>1445</v>
      </c>
    </row>
    <row r="339" spans="1:7" x14ac:dyDescent="0.35">
      <c r="A339" s="1" t="s">
        <v>1458</v>
      </c>
      <c r="B339" s="1" t="s">
        <v>1319</v>
      </c>
      <c r="C339" s="1" t="s">
        <v>12</v>
      </c>
      <c r="D339">
        <v>-10.574821</v>
      </c>
      <c r="E339">
        <v>25.324966</v>
      </c>
      <c r="F339" s="1" t="s">
        <v>1432</v>
      </c>
      <c r="G339" s="1" t="s">
        <v>1433</v>
      </c>
    </row>
    <row r="340" spans="1:7" x14ac:dyDescent="0.35">
      <c r="A340" s="1" t="s">
        <v>1565</v>
      </c>
      <c r="B340" s="1" t="s">
        <v>1154</v>
      </c>
      <c r="C340" s="1" t="s">
        <v>61</v>
      </c>
      <c r="D340">
        <v>1.3006180000000001</v>
      </c>
      <c r="E340">
        <v>29.060970999999999</v>
      </c>
      <c r="F340" s="1" t="s">
        <v>1437</v>
      </c>
      <c r="G340" s="1" t="s">
        <v>1438</v>
      </c>
    </row>
    <row r="341" spans="1:7" x14ac:dyDescent="0.35">
      <c r="A341" s="1" t="s">
        <v>1588</v>
      </c>
      <c r="B341" s="1" t="s">
        <v>1180</v>
      </c>
      <c r="C341" s="1" t="s">
        <v>118</v>
      </c>
      <c r="D341">
        <v>-12.488033</v>
      </c>
      <c r="E341">
        <v>16.139648000000001</v>
      </c>
      <c r="F341" s="1" t="s">
        <v>1435</v>
      </c>
      <c r="G341" s="1" t="s">
        <v>1436</v>
      </c>
    </row>
    <row r="342" spans="1:7" x14ac:dyDescent="0.35">
      <c r="A342" s="1" t="s">
        <v>1488</v>
      </c>
      <c r="B342" s="1" t="s">
        <v>1493</v>
      </c>
      <c r="C342" s="1" t="s">
        <v>54</v>
      </c>
      <c r="D342">
        <v>7.6420000000000004E-3</v>
      </c>
      <c r="E342">
        <v>12.109260000000001</v>
      </c>
      <c r="F342" s="1" t="s">
        <v>1435</v>
      </c>
      <c r="G342" s="1" t="s">
        <v>1433</v>
      </c>
    </row>
    <row r="343" spans="1:7" x14ac:dyDescent="0.35">
      <c r="A343" s="1" t="s">
        <v>1604</v>
      </c>
      <c r="B343" s="1" t="s">
        <v>1619</v>
      </c>
      <c r="C343" s="1" t="s">
        <v>122</v>
      </c>
      <c r="D343">
        <v>-1.082322</v>
      </c>
      <c r="E343">
        <v>24.563559999999999</v>
      </c>
      <c r="F343" s="1" t="s">
        <v>1435</v>
      </c>
      <c r="G343" s="1" t="s">
        <v>1438</v>
      </c>
    </row>
    <row r="344" spans="1:7" x14ac:dyDescent="0.35">
      <c r="A344" s="1" t="s">
        <v>1529</v>
      </c>
      <c r="B344" s="1" t="s">
        <v>1036</v>
      </c>
      <c r="C344" s="1" t="s">
        <v>17</v>
      </c>
      <c r="D344">
        <v>0.16327700000000001</v>
      </c>
      <c r="E344">
        <v>14.871577</v>
      </c>
      <c r="F344" s="1" t="s">
        <v>1435</v>
      </c>
      <c r="G344" s="1" t="s">
        <v>1436</v>
      </c>
    </row>
    <row r="345" spans="1:7" x14ac:dyDescent="0.35">
      <c r="A345" s="1" t="s">
        <v>1588</v>
      </c>
      <c r="B345" s="1" t="s">
        <v>1080</v>
      </c>
      <c r="C345" s="1" t="s">
        <v>118</v>
      </c>
      <c r="D345">
        <v>-6.9624990000000002</v>
      </c>
      <c r="E345">
        <v>20.759834999999999</v>
      </c>
      <c r="F345" s="1" t="s">
        <v>1435</v>
      </c>
      <c r="G345" s="1" t="s">
        <v>1436</v>
      </c>
    </row>
    <row r="346" spans="1:7" x14ac:dyDescent="0.35">
      <c r="A346" s="1" t="s">
        <v>1549</v>
      </c>
      <c r="B346" s="1" t="s">
        <v>1554</v>
      </c>
      <c r="C346" s="1" t="s">
        <v>37</v>
      </c>
      <c r="D346">
        <v>-4.9124689999999998</v>
      </c>
      <c r="E346">
        <v>14.683498999999999</v>
      </c>
      <c r="F346" s="1" t="s">
        <v>1437</v>
      </c>
      <c r="G346" s="1" t="s">
        <v>1438</v>
      </c>
    </row>
    <row r="347" spans="1:7" x14ac:dyDescent="0.35">
      <c r="A347" s="1" t="s">
        <v>1458</v>
      </c>
      <c r="B347" s="1" t="s">
        <v>1196</v>
      </c>
      <c r="C347" s="1" t="s">
        <v>57</v>
      </c>
      <c r="D347">
        <v>-12.839263000000001</v>
      </c>
      <c r="E347">
        <v>12.355677</v>
      </c>
      <c r="F347" s="1" t="s">
        <v>1437</v>
      </c>
      <c r="G347" s="1" t="s">
        <v>1436</v>
      </c>
    </row>
    <row r="348" spans="1:7" x14ac:dyDescent="0.35">
      <c r="A348" s="1" t="s">
        <v>1588</v>
      </c>
      <c r="B348" s="1" t="s">
        <v>1594</v>
      </c>
      <c r="C348" s="1" t="s">
        <v>68</v>
      </c>
      <c r="D348">
        <v>-12.88086</v>
      </c>
      <c r="E348">
        <v>18.862106000000001</v>
      </c>
      <c r="F348" s="1" t="s">
        <v>1437</v>
      </c>
      <c r="G348" s="1" t="s">
        <v>1445</v>
      </c>
    </row>
    <row r="349" spans="1:7" x14ac:dyDescent="0.35">
      <c r="A349" s="1" t="s">
        <v>1507</v>
      </c>
      <c r="B349" s="1" t="s">
        <v>1360</v>
      </c>
      <c r="C349" s="1" t="s">
        <v>35</v>
      </c>
      <c r="D349">
        <v>-7.0007840000000003</v>
      </c>
      <c r="E349">
        <v>22.787997000000001</v>
      </c>
      <c r="F349" s="1" t="s">
        <v>1432</v>
      </c>
      <c r="G349" s="1" t="s">
        <v>1438</v>
      </c>
    </row>
    <row r="350" spans="1:7" x14ac:dyDescent="0.35">
      <c r="A350" s="1" t="s">
        <v>1529</v>
      </c>
      <c r="B350" s="1" t="s">
        <v>1546</v>
      </c>
      <c r="C350" s="1" t="s">
        <v>59</v>
      </c>
      <c r="D350">
        <v>-3.89927</v>
      </c>
      <c r="E350">
        <v>30.273492000000001</v>
      </c>
      <c r="F350" s="1" t="s">
        <v>1437</v>
      </c>
      <c r="G350" s="1" t="s">
        <v>1445</v>
      </c>
    </row>
    <row r="351" spans="1:7" x14ac:dyDescent="0.35">
      <c r="A351" s="1" t="s">
        <v>1588</v>
      </c>
      <c r="B351" s="1" t="s">
        <v>1600</v>
      </c>
      <c r="C351" s="1" t="s">
        <v>31</v>
      </c>
      <c r="D351">
        <v>3.3222779999999998</v>
      </c>
      <c r="E351">
        <v>29.497240000000001</v>
      </c>
      <c r="F351" s="1" t="s">
        <v>1437</v>
      </c>
      <c r="G351" s="1" t="s">
        <v>1438</v>
      </c>
    </row>
    <row r="352" spans="1:7" x14ac:dyDescent="0.35">
      <c r="A352" s="1" t="s">
        <v>1588</v>
      </c>
      <c r="B352" s="1" t="s">
        <v>812</v>
      </c>
      <c r="C352" s="1" t="s">
        <v>37</v>
      </c>
      <c r="D352">
        <v>-9.7712979999999998</v>
      </c>
      <c r="E352">
        <v>19.827895999999999</v>
      </c>
      <c r="F352" s="1" t="s">
        <v>1437</v>
      </c>
      <c r="G352" s="1" t="s">
        <v>1438</v>
      </c>
    </row>
    <row r="353" spans="1:7" x14ac:dyDescent="0.35">
      <c r="A353" s="1" t="s">
        <v>1529</v>
      </c>
      <c r="B353" s="1" t="s">
        <v>1194</v>
      </c>
      <c r="C353" s="1" t="s">
        <v>29</v>
      </c>
      <c r="D353">
        <v>-12.050063</v>
      </c>
      <c r="E353">
        <v>26.636987999999999</v>
      </c>
      <c r="F353" s="1" t="s">
        <v>1437</v>
      </c>
      <c r="G353" s="1" t="s">
        <v>1445</v>
      </c>
    </row>
    <row r="354" spans="1:7" x14ac:dyDescent="0.35">
      <c r="A354" s="1" t="s">
        <v>1529</v>
      </c>
      <c r="B354" s="1" t="s">
        <v>1179</v>
      </c>
      <c r="C354" s="1" t="s">
        <v>15</v>
      </c>
      <c r="D354">
        <v>-11.407966</v>
      </c>
      <c r="E354">
        <v>28.378274000000001</v>
      </c>
      <c r="F354" s="1" t="s">
        <v>1435</v>
      </c>
      <c r="G354" s="1" t="s">
        <v>1438</v>
      </c>
    </row>
    <row r="355" spans="1:7" x14ac:dyDescent="0.35">
      <c r="A355" s="1" t="s">
        <v>1549</v>
      </c>
      <c r="B355" s="1" t="s">
        <v>935</v>
      </c>
      <c r="C355" s="1" t="s">
        <v>57</v>
      </c>
      <c r="D355">
        <v>-0.37665700000000002</v>
      </c>
      <c r="E355">
        <v>25.154807999999999</v>
      </c>
      <c r="F355" s="1" t="s">
        <v>1437</v>
      </c>
      <c r="G355" s="1" t="s">
        <v>1445</v>
      </c>
    </row>
    <row r="356" spans="1:7" x14ac:dyDescent="0.35">
      <c r="A356" s="1" t="s">
        <v>1588</v>
      </c>
      <c r="B356" s="1" t="s">
        <v>1278</v>
      </c>
      <c r="C356" s="1" t="s">
        <v>59</v>
      </c>
      <c r="D356">
        <v>1.981107</v>
      </c>
      <c r="E356">
        <v>23.932569000000001</v>
      </c>
      <c r="F356" s="1" t="s">
        <v>1437</v>
      </c>
      <c r="G356" s="1" t="s">
        <v>1445</v>
      </c>
    </row>
    <row r="357" spans="1:7" x14ac:dyDescent="0.35">
      <c r="A357" s="1" t="s">
        <v>1529</v>
      </c>
      <c r="B357" s="1" t="s">
        <v>868</v>
      </c>
      <c r="C357" s="1" t="s">
        <v>83</v>
      </c>
      <c r="D357">
        <v>-7.9987219999999999</v>
      </c>
      <c r="E357">
        <v>12.779335</v>
      </c>
      <c r="F357" s="1" t="s">
        <v>1432</v>
      </c>
      <c r="G357" s="1" t="s">
        <v>1445</v>
      </c>
    </row>
    <row r="358" spans="1:7" x14ac:dyDescent="0.35">
      <c r="A358" s="1" t="s">
        <v>1473</v>
      </c>
      <c r="B358" s="1" t="s">
        <v>1300</v>
      </c>
      <c r="C358" s="1" t="s">
        <v>35</v>
      </c>
      <c r="D358">
        <v>-3.9148719999999999</v>
      </c>
      <c r="E358">
        <v>12.260933</v>
      </c>
      <c r="F358" s="1" t="s">
        <v>1435</v>
      </c>
      <c r="G358" s="1" t="s">
        <v>1433</v>
      </c>
    </row>
    <row r="359" spans="1:7" x14ac:dyDescent="0.35">
      <c r="A359" s="1" t="s">
        <v>1549</v>
      </c>
      <c r="B359" s="1" t="s">
        <v>862</v>
      </c>
      <c r="C359" s="1" t="s">
        <v>54</v>
      </c>
      <c r="D359">
        <v>-12.333232000000001</v>
      </c>
      <c r="E359">
        <v>25.229620000000001</v>
      </c>
      <c r="F359" s="1" t="s">
        <v>1432</v>
      </c>
      <c r="G359" s="1" t="s">
        <v>1445</v>
      </c>
    </row>
    <row r="360" spans="1:7" x14ac:dyDescent="0.35">
      <c r="A360" s="1" t="s">
        <v>1488</v>
      </c>
      <c r="B360" s="1" t="s">
        <v>1127</v>
      </c>
      <c r="C360" s="1" t="s">
        <v>31</v>
      </c>
      <c r="D360">
        <v>-5.8352820000000003</v>
      </c>
      <c r="E360">
        <v>26.603978000000001</v>
      </c>
      <c r="F360" s="1" t="s">
        <v>1435</v>
      </c>
      <c r="G360" s="1" t="s">
        <v>1436</v>
      </c>
    </row>
    <row r="361" spans="1:7" x14ac:dyDescent="0.35">
      <c r="A361" s="1" t="s">
        <v>1604</v>
      </c>
      <c r="B361" s="1" t="s">
        <v>1610</v>
      </c>
      <c r="C361" s="1" t="s">
        <v>9</v>
      </c>
      <c r="D361">
        <v>-4.2784089999999999</v>
      </c>
      <c r="E361">
        <v>22.871994000000001</v>
      </c>
      <c r="F361" s="1" t="s">
        <v>1437</v>
      </c>
      <c r="G361" s="1" t="s">
        <v>1433</v>
      </c>
    </row>
    <row r="362" spans="1:7" x14ac:dyDescent="0.35">
      <c r="A362" s="1" t="s">
        <v>1488</v>
      </c>
      <c r="B362" s="1" t="s">
        <v>742</v>
      </c>
      <c r="C362" s="1" t="s">
        <v>59</v>
      </c>
      <c r="D362">
        <v>-2.8211520000000001</v>
      </c>
      <c r="E362">
        <v>20.651419000000001</v>
      </c>
      <c r="F362" s="1" t="s">
        <v>1432</v>
      </c>
      <c r="G362" s="1" t="s">
        <v>1433</v>
      </c>
    </row>
    <row r="363" spans="1:7" x14ac:dyDescent="0.35">
      <c r="A363" s="1" t="s">
        <v>1488</v>
      </c>
      <c r="B363" s="1" t="s">
        <v>877</v>
      </c>
      <c r="C363" s="1" t="s">
        <v>35</v>
      </c>
      <c r="D363">
        <v>-10.439686999999999</v>
      </c>
      <c r="E363">
        <v>20.714210000000001</v>
      </c>
      <c r="F363" s="1" t="s">
        <v>1435</v>
      </c>
      <c r="G363" s="1" t="s">
        <v>1438</v>
      </c>
    </row>
    <row r="364" spans="1:7" x14ac:dyDescent="0.35">
      <c r="A364" s="1" t="s">
        <v>1529</v>
      </c>
      <c r="B364" s="1" t="s">
        <v>1544</v>
      </c>
      <c r="C364" s="1" t="s">
        <v>9</v>
      </c>
      <c r="D364">
        <v>1.5601240000000001</v>
      </c>
      <c r="E364">
        <v>12.225398</v>
      </c>
      <c r="F364" s="1" t="s">
        <v>1432</v>
      </c>
      <c r="G364" s="1" t="s">
        <v>1445</v>
      </c>
    </row>
    <row r="365" spans="1:7" x14ac:dyDescent="0.35">
      <c r="A365" s="1" t="s">
        <v>1549</v>
      </c>
      <c r="B365" s="1" t="s">
        <v>1553</v>
      </c>
      <c r="C365" s="1" t="s">
        <v>17</v>
      </c>
      <c r="D365">
        <v>-3.2700629999999999</v>
      </c>
      <c r="E365">
        <v>26.520330000000001</v>
      </c>
      <c r="F365" s="1" t="s">
        <v>1432</v>
      </c>
      <c r="G365" s="1" t="s">
        <v>1445</v>
      </c>
    </row>
    <row r="366" spans="1:7" x14ac:dyDescent="0.35">
      <c r="A366" s="1" t="s">
        <v>1507</v>
      </c>
      <c r="B366" s="1" t="s">
        <v>1517</v>
      </c>
      <c r="C366" s="1" t="s">
        <v>33</v>
      </c>
      <c r="D366">
        <v>2.6937519999999999</v>
      </c>
      <c r="E366">
        <v>26.524137</v>
      </c>
      <c r="F366" s="1" t="s">
        <v>1437</v>
      </c>
      <c r="G366" s="1" t="s">
        <v>1433</v>
      </c>
    </row>
    <row r="367" spans="1:7" x14ac:dyDescent="0.35">
      <c r="A367" s="1" t="s">
        <v>1431</v>
      </c>
      <c r="B367" s="1" t="s">
        <v>1212</v>
      </c>
      <c r="C367" s="1" t="s">
        <v>20</v>
      </c>
      <c r="D367">
        <v>2.453036</v>
      </c>
      <c r="E367">
        <v>20.555484</v>
      </c>
      <c r="F367" s="1" t="s">
        <v>1432</v>
      </c>
      <c r="G367" s="1" t="s">
        <v>1433</v>
      </c>
    </row>
    <row r="368" spans="1:7" x14ac:dyDescent="0.35">
      <c r="A368" s="1" t="s">
        <v>1488</v>
      </c>
      <c r="B368" s="1" t="s">
        <v>1151</v>
      </c>
      <c r="C368" s="1" t="s">
        <v>57</v>
      </c>
      <c r="D368">
        <v>-1.1284540000000001</v>
      </c>
      <c r="E368">
        <v>23.000360000000001</v>
      </c>
      <c r="F368" s="1" t="s">
        <v>1432</v>
      </c>
      <c r="G368" s="1" t="s">
        <v>1433</v>
      </c>
    </row>
    <row r="369" spans="1:7" x14ac:dyDescent="0.35">
      <c r="A369" s="1" t="s">
        <v>1458</v>
      </c>
      <c r="B369" s="1" t="s">
        <v>958</v>
      </c>
      <c r="C369" s="1" t="s">
        <v>54</v>
      </c>
      <c r="D369">
        <v>-1.3976519999999999</v>
      </c>
      <c r="E369">
        <v>14.098819000000001</v>
      </c>
      <c r="F369" s="1" t="s">
        <v>1437</v>
      </c>
      <c r="G369" s="1" t="s">
        <v>1433</v>
      </c>
    </row>
    <row r="370" spans="1:7" x14ac:dyDescent="0.35">
      <c r="A370" s="1" t="s">
        <v>1431</v>
      </c>
      <c r="B370" s="1" t="s">
        <v>1456</v>
      </c>
      <c r="C370" s="1" t="s">
        <v>62</v>
      </c>
      <c r="D370">
        <v>-1.4695480000000001</v>
      </c>
      <c r="E370">
        <v>20.876676</v>
      </c>
      <c r="F370" s="1" t="s">
        <v>1432</v>
      </c>
      <c r="G370" s="1" t="s">
        <v>1433</v>
      </c>
    </row>
    <row r="371" spans="1:7" x14ac:dyDescent="0.35">
      <c r="A371" s="1" t="s">
        <v>1431</v>
      </c>
      <c r="B371" s="1" t="s">
        <v>1444</v>
      </c>
      <c r="C371" s="1" t="s">
        <v>122</v>
      </c>
      <c r="D371">
        <v>-3.3883130000000001</v>
      </c>
      <c r="E371">
        <v>26.838507</v>
      </c>
      <c r="F371" s="1" t="s">
        <v>1432</v>
      </c>
      <c r="G371" s="1" t="s">
        <v>1445</v>
      </c>
    </row>
    <row r="372" spans="1:7" x14ac:dyDescent="0.35">
      <c r="A372" s="1" t="s">
        <v>1588</v>
      </c>
      <c r="B372" s="1" t="s">
        <v>1390</v>
      </c>
      <c r="C372" s="1" t="s">
        <v>23</v>
      </c>
      <c r="D372">
        <v>-5.1507670000000001</v>
      </c>
      <c r="E372">
        <v>28.075324999999999</v>
      </c>
      <c r="F372" s="1" t="s">
        <v>1432</v>
      </c>
      <c r="G372" s="1" t="s">
        <v>1436</v>
      </c>
    </row>
    <row r="373" spans="1:7" x14ac:dyDescent="0.35">
      <c r="A373" s="1" t="s">
        <v>1458</v>
      </c>
      <c r="B373" s="1" t="s">
        <v>1242</v>
      </c>
      <c r="C373" s="1" t="s">
        <v>118</v>
      </c>
      <c r="D373">
        <v>-11.924048000000001</v>
      </c>
      <c r="E373">
        <v>24.177174999999998</v>
      </c>
      <c r="F373" s="1" t="s">
        <v>1437</v>
      </c>
      <c r="G373" s="1" t="s">
        <v>1445</v>
      </c>
    </row>
    <row r="374" spans="1:7" x14ac:dyDescent="0.35">
      <c r="A374" s="1" t="s">
        <v>1588</v>
      </c>
      <c r="B374" s="1" t="s">
        <v>1596</v>
      </c>
      <c r="C374" s="1" t="s">
        <v>24</v>
      </c>
      <c r="D374">
        <v>-9.8519260000000006</v>
      </c>
      <c r="E374">
        <v>12.925583</v>
      </c>
      <c r="F374" s="1" t="s">
        <v>1432</v>
      </c>
      <c r="G374" s="1" t="s">
        <v>1433</v>
      </c>
    </row>
    <row r="375" spans="1:7" x14ac:dyDescent="0.35">
      <c r="A375" s="1" t="s">
        <v>1549</v>
      </c>
      <c r="B375" s="1" t="s">
        <v>1564</v>
      </c>
      <c r="C375" s="1" t="s">
        <v>126</v>
      </c>
      <c r="D375">
        <v>-7.4679279999999997</v>
      </c>
      <c r="E375">
        <v>19.828595</v>
      </c>
      <c r="F375" s="1" t="s">
        <v>1432</v>
      </c>
      <c r="G375" s="1" t="s">
        <v>1445</v>
      </c>
    </row>
    <row r="376" spans="1:7" x14ac:dyDescent="0.35">
      <c r="A376" s="1" t="s">
        <v>1473</v>
      </c>
      <c r="B376" s="1" t="s">
        <v>802</v>
      </c>
      <c r="C376" s="1" t="s">
        <v>33</v>
      </c>
      <c r="D376">
        <v>-2.7140689999999998</v>
      </c>
      <c r="E376">
        <v>22.222104000000002</v>
      </c>
      <c r="F376" s="1" t="s">
        <v>1435</v>
      </c>
      <c r="G376" s="1" t="s">
        <v>1445</v>
      </c>
    </row>
    <row r="377" spans="1:7" x14ac:dyDescent="0.35">
      <c r="A377" s="1" t="s">
        <v>1529</v>
      </c>
      <c r="B377" s="1" t="s">
        <v>1079</v>
      </c>
      <c r="C377" s="1" t="s">
        <v>35</v>
      </c>
      <c r="D377">
        <v>-9.9565739999999998</v>
      </c>
      <c r="E377">
        <v>21.017202000000001</v>
      </c>
      <c r="F377" s="1" t="s">
        <v>1435</v>
      </c>
      <c r="G377" s="1" t="s">
        <v>1436</v>
      </c>
    </row>
    <row r="378" spans="1:7" x14ac:dyDescent="0.35">
      <c r="A378" s="1" t="s">
        <v>1604</v>
      </c>
      <c r="B378" s="1" t="s">
        <v>1611</v>
      </c>
      <c r="C378" s="1" t="s">
        <v>33</v>
      </c>
      <c r="D378">
        <v>-7.9799689999999996</v>
      </c>
      <c r="E378">
        <v>21.042310000000001</v>
      </c>
      <c r="F378" s="1" t="s">
        <v>1435</v>
      </c>
      <c r="G378" s="1" t="s">
        <v>1438</v>
      </c>
    </row>
    <row r="379" spans="1:7" x14ac:dyDescent="0.35">
      <c r="A379" s="1" t="s">
        <v>1604</v>
      </c>
      <c r="B379" s="1" t="s">
        <v>850</v>
      </c>
      <c r="C379" s="1" t="s">
        <v>48</v>
      </c>
      <c r="D379">
        <v>2.4741019999999998</v>
      </c>
      <c r="E379">
        <v>29.297391000000001</v>
      </c>
      <c r="F379" s="1" t="s">
        <v>1435</v>
      </c>
      <c r="G379" s="1" t="s">
        <v>1433</v>
      </c>
    </row>
    <row r="380" spans="1:7" x14ac:dyDescent="0.35">
      <c r="A380" s="1" t="s">
        <v>1549</v>
      </c>
      <c r="B380" s="1" t="s">
        <v>925</v>
      </c>
      <c r="C380" s="1" t="s">
        <v>24</v>
      </c>
      <c r="D380">
        <v>1.5278670000000001</v>
      </c>
      <c r="E380">
        <v>13.899388999999999</v>
      </c>
      <c r="F380" s="1" t="s">
        <v>1437</v>
      </c>
      <c r="G380" s="1" t="s">
        <v>1436</v>
      </c>
    </row>
    <row r="381" spans="1:7" x14ac:dyDescent="0.35">
      <c r="A381" s="1" t="s">
        <v>1458</v>
      </c>
      <c r="B381" s="1" t="s">
        <v>1463</v>
      </c>
      <c r="C381" s="1" t="s">
        <v>1651</v>
      </c>
      <c r="D381">
        <v>1.102554</v>
      </c>
      <c r="E381">
        <v>26.744315</v>
      </c>
      <c r="F381" s="1" t="s">
        <v>1437</v>
      </c>
      <c r="G381" s="1" t="s">
        <v>1433</v>
      </c>
    </row>
    <row r="382" spans="1:7" x14ac:dyDescent="0.35">
      <c r="A382" s="1" t="s">
        <v>1458</v>
      </c>
      <c r="B382" s="1" t="s">
        <v>1467</v>
      </c>
      <c r="C382" s="1" t="s">
        <v>17</v>
      </c>
      <c r="D382">
        <v>4.6701629999999996</v>
      </c>
      <c r="E382">
        <v>28.596363</v>
      </c>
      <c r="F382" s="1" t="s">
        <v>1432</v>
      </c>
      <c r="G382" s="1" t="s">
        <v>1433</v>
      </c>
    </row>
    <row r="383" spans="1:7" x14ac:dyDescent="0.35">
      <c r="A383" s="1" t="s">
        <v>1507</v>
      </c>
      <c r="B383" s="1" t="s">
        <v>944</v>
      </c>
      <c r="C383" s="1" t="s">
        <v>29</v>
      </c>
      <c r="D383">
        <v>-12.342053999999999</v>
      </c>
      <c r="E383">
        <v>18.756862000000002</v>
      </c>
      <c r="F383" s="1" t="s">
        <v>1437</v>
      </c>
      <c r="G383" s="1" t="s">
        <v>1433</v>
      </c>
    </row>
    <row r="384" spans="1:7" x14ac:dyDescent="0.35">
      <c r="A384" s="1" t="s">
        <v>1431</v>
      </c>
      <c r="B384" s="1" t="s">
        <v>1039</v>
      </c>
      <c r="C384" s="1" t="s">
        <v>1651</v>
      </c>
      <c r="D384">
        <v>1.5802860000000001</v>
      </c>
      <c r="E384">
        <v>20.99053</v>
      </c>
      <c r="F384" s="1" t="s">
        <v>1435</v>
      </c>
      <c r="G384" s="1" t="s">
        <v>1438</v>
      </c>
    </row>
    <row r="385" spans="1:7" x14ac:dyDescent="0.35">
      <c r="A385" s="1" t="s">
        <v>1507</v>
      </c>
      <c r="B385" s="1" t="s">
        <v>1528</v>
      </c>
      <c r="C385" s="1" t="s">
        <v>31</v>
      </c>
      <c r="D385">
        <v>-12.086929</v>
      </c>
      <c r="E385">
        <v>14.032645</v>
      </c>
      <c r="F385" s="1" t="s">
        <v>1437</v>
      </c>
      <c r="G385" s="1" t="s">
        <v>1438</v>
      </c>
    </row>
    <row r="386" spans="1:7" x14ac:dyDescent="0.35">
      <c r="A386" s="1" t="s">
        <v>1565</v>
      </c>
      <c r="B386" s="1" t="s">
        <v>798</v>
      </c>
      <c r="C386" s="1" t="s">
        <v>23</v>
      </c>
      <c r="D386">
        <v>-2.9417719999999998</v>
      </c>
      <c r="E386">
        <v>18.587305000000001</v>
      </c>
      <c r="F386" s="1" t="s">
        <v>1432</v>
      </c>
      <c r="G386" s="1" t="s">
        <v>1433</v>
      </c>
    </row>
    <row r="387" spans="1:7" x14ac:dyDescent="0.35">
      <c r="A387" s="1" t="s">
        <v>1431</v>
      </c>
      <c r="B387" s="1" t="s">
        <v>1455</v>
      </c>
      <c r="C387" s="1" t="s">
        <v>48</v>
      </c>
      <c r="D387">
        <v>4.2187000000000001</v>
      </c>
      <c r="E387">
        <v>29.390174999999999</v>
      </c>
      <c r="F387" s="1" t="s">
        <v>1435</v>
      </c>
      <c r="G387" s="1" t="s">
        <v>1438</v>
      </c>
    </row>
    <row r="388" spans="1:7" x14ac:dyDescent="0.35">
      <c r="A388" s="1" t="s">
        <v>1431</v>
      </c>
      <c r="B388" s="1" t="s">
        <v>1235</v>
      </c>
      <c r="C388" s="1" t="s">
        <v>1651</v>
      </c>
      <c r="D388">
        <v>-3.8119990000000001</v>
      </c>
      <c r="E388">
        <v>20.420048000000001</v>
      </c>
      <c r="F388" s="1" t="s">
        <v>1437</v>
      </c>
      <c r="G388" s="1" t="s">
        <v>1438</v>
      </c>
    </row>
    <row r="389" spans="1:7" x14ac:dyDescent="0.35">
      <c r="A389" s="1" t="s">
        <v>1507</v>
      </c>
      <c r="B389" s="1" t="s">
        <v>1527</v>
      </c>
      <c r="C389" s="1" t="s">
        <v>41</v>
      </c>
      <c r="D389">
        <v>-3.269612</v>
      </c>
      <c r="E389">
        <v>25.571189</v>
      </c>
      <c r="F389" s="1" t="s">
        <v>1432</v>
      </c>
      <c r="G389" s="1" t="s">
        <v>1433</v>
      </c>
    </row>
    <row r="390" spans="1:7" x14ac:dyDescent="0.35">
      <c r="A390" s="1" t="s">
        <v>1549</v>
      </c>
      <c r="B390" s="1" t="s">
        <v>854</v>
      </c>
      <c r="C390" s="1" t="s">
        <v>118</v>
      </c>
      <c r="D390">
        <v>-12.100756000000001</v>
      </c>
      <c r="E390">
        <v>21.938649999999999</v>
      </c>
      <c r="F390" s="1" t="s">
        <v>1435</v>
      </c>
      <c r="G390" s="1" t="s">
        <v>1436</v>
      </c>
    </row>
    <row r="391" spans="1:7" x14ac:dyDescent="0.35">
      <c r="A391" s="1" t="s">
        <v>1529</v>
      </c>
      <c r="B391" s="1" t="s">
        <v>1542</v>
      </c>
      <c r="C391" s="1" t="s">
        <v>54</v>
      </c>
      <c r="D391">
        <v>1.368018</v>
      </c>
      <c r="E391">
        <v>14.203893000000001</v>
      </c>
      <c r="F391" s="1" t="s">
        <v>1432</v>
      </c>
      <c r="G391" s="1" t="s">
        <v>1436</v>
      </c>
    </row>
    <row r="392" spans="1:7" x14ac:dyDescent="0.35">
      <c r="A392" s="1" t="s">
        <v>1588</v>
      </c>
      <c r="B392" s="1" t="s">
        <v>1031</v>
      </c>
      <c r="C392" s="1" t="s">
        <v>9</v>
      </c>
      <c r="D392">
        <v>-4.1250960000000001</v>
      </c>
      <c r="E392">
        <v>27.799897999999999</v>
      </c>
      <c r="F392" s="1" t="s">
        <v>1437</v>
      </c>
      <c r="G392" s="1" t="s">
        <v>1445</v>
      </c>
    </row>
    <row r="393" spans="1:7" x14ac:dyDescent="0.35">
      <c r="A393" s="1" t="s">
        <v>1565</v>
      </c>
      <c r="B393" s="1" t="s">
        <v>1405</v>
      </c>
      <c r="C393" s="1" t="s">
        <v>9</v>
      </c>
      <c r="D393">
        <v>-4.6426759999999998</v>
      </c>
      <c r="E393">
        <v>22.124254000000001</v>
      </c>
      <c r="F393" s="1" t="s">
        <v>1435</v>
      </c>
      <c r="G393" s="1" t="s">
        <v>1438</v>
      </c>
    </row>
    <row r="394" spans="1:7" x14ac:dyDescent="0.35">
      <c r="A394" s="1" t="s">
        <v>1565</v>
      </c>
      <c r="B394" s="1" t="s">
        <v>1583</v>
      </c>
      <c r="C394" s="1" t="s">
        <v>24</v>
      </c>
      <c r="D394">
        <v>0.24369399999999999</v>
      </c>
      <c r="E394">
        <v>17.242912</v>
      </c>
      <c r="F394" s="1" t="s">
        <v>1435</v>
      </c>
      <c r="G394" s="1" t="s">
        <v>1445</v>
      </c>
    </row>
    <row r="395" spans="1:7" x14ac:dyDescent="0.35">
      <c r="A395" s="1" t="s">
        <v>1458</v>
      </c>
      <c r="B395" s="1" t="s">
        <v>1072</v>
      </c>
      <c r="C395" s="1" t="s">
        <v>1651</v>
      </c>
      <c r="D395">
        <v>-5.125</v>
      </c>
      <c r="E395">
        <v>23.513119</v>
      </c>
      <c r="F395" s="1" t="s">
        <v>1432</v>
      </c>
      <c r="G395" s="1" t="s">
        <v>1436</v>
      </c>
    </row>
    <row r="396" spans="1:7" x14ac:dyDescent="0.35">
      <c r="A396" s="1" t="s">
        <v>1473</v>
      </c>
      <c r="B396" s="1" t="s">
        <v>886</v>
      </c>
      <c r="C396" s="1" t="s">
        <v>122</v>
      </c>
      <c r="D396">
        <v>-2.3102109999999998</v>
      </c>
      <c r="E396">
        <v>12.362488000000001</v>
      </c>
      <c r="F396" s="1" t="s">
        <v>1432</v>
      </c>
      <c r="G396" s="1" t="s">
        <v>1445</v>
      </c>
    </row>
    <row r="397" spans="1:7" x14ac:dyDescent="0.35">
      <c r="A397" s="1" t="s">
        <v>1588</v>
      </c>
      <c r="B397" s="1" t="s">
        <v>1000</v>
      </c>
      <c r="C397" s="1" t="s">
        <v>20</v>
      </c>
      <c r="D397">
        <v>-1.5419050000000001</v>
      </c>
      <c r="E397">
        <v>14.730632999999999</v>
      </c>
      <c r="F397" s="1" t="s">
        <v>1437</v>
      </c>
      <c r="G397" s="1" t="s">
        <v>1438</v>
      </c>
    </row>
    <row r="398" spans="1:7" x14ac:dyDescent="0.35">
      <c r="A398" s="1" t="s">
        <v>1529</v>
      </c>
      <c r="B398" s="1" t="s">
        <v>1008</v>
      </c>
      <c r="C398" s="1" t="s">
        <v>9</v>
      </c>
      <c r="D398">
        <v>-3.7720639999999999</v>
      </c>
      <c r="E398">
        <v>16.006277999999998</v>
      </c>
      <c r="F398" s="1" t="s">
        <v>1432</v>
      </c>
      <c r="G398" s="1" t="s">
        <v>1438</v>
      </c>
    </row>
    <row r="399" spans="1:7" x14ac:dyDescent="0.35">
      <c r="A399" s="1" t="s">
        <v>1549</v>
      </c>
      <c r="B399" s="1" t="s">
        <v>1560</v>
      </c>
      <c r="C399" s="1" t="s">
        <v>15</v>
      </c>
      <c r="D399">
        <v>-4.5180470000000001</v>
      </c>
      <c r="E399">
        <v>19.908223</v>
      </c>
      <c r="F399" s="1" t="s">
        <v>1432</v>
      </c>
      <c r="G399" s="1" t="s">
        <v>1436</v>
      </c>
    </row>
    <row r="400" spans="1:7" x14ac:dyDescent="0.35">
      <c r="A400" s="1" t="s">
        <v>1604</v>
      </c>
      <c r="B400" s="1" t="s">
        <v>1614</v>
      </c>
      <c r="C400" s="1" t="s">
        <v>23</v>
      </c>
      <c r="D400">
        <v>-4.0490719999999998</v>
      </c>
      <c r="E400">
        <v>21.399131000000001</v>
      </c>
      <c r="F400" s="1" t="s">
        <v>1437</v>
      </c>
      <c r="G400" s="1" t="s">
        <v>1438</v>
      </c>
    </row>
    <row r="401" spans="1:7" x14ac:dyDescent="0.35">
      <c r="A401" s="1" t="s">
        <v>1458</v>
      </c>
      <c r="B401" s="1" t="s">
        <v>980</v>
      </c>
      <c r="C401" s="1" t="s">
        <v>122</v>
      </c>
      <c r="D401">
        <v>-10.846306999999999</v>
      </c>
      <c r="E401">
        <v>19.201827999999999</v>
      </c>
      <c r="F401" s="1" t="s">
        <v>1435</v>
      </c>
      <c r="G401" s="1" t="s">
        <v>1433</v>
      </c>
    </row>
    <row r="402" spans="1:7" x14ac:dyDescent="0.35">
      <c r="A402" s="1" t="s">
        <v>1588</v>
      </c>
      <c r="B402" s="1" t="s">
        <v>1599</v>
      </c>
      <c r="C402" s="1" t="s">
        <v>9</v>
      </c>
      <c r="D402">
        <v>-4.1061909999999999</v>
      </c>
      <c r="E402">
        <v>28.054902999999999</v>
      </c>
      <c r="F402" s="1" t="s">
        <v>1437</v>
      </c>
      <c r="G402" s="1" t="s">
        <v>1436</v>
      </c>
    </row>
    <row r="403" spans="1:7" x14ac:dyDescent="0.35">
      <c r="A403" s="1" t="s">
        <v>1507</v>
      </c>
      <c r="B403" s="1" t="s">
        <v>1030</v>
      </c>
      <c r="C403" s="1" t="s">
        <v>15</v>
      </c>
      <c r="D403">
        <v>4.6809229999999999</v>
      </c>
      <c r="E403">
        <v>28.934242000000001</v>
      </c>
      <c r="F403" s="1" t="s">
        <v>1432</v>
      </c>
      <c r="G403" s="1" t="s">
        <v>1445</v>
      </c>
    </row>
    <row r="404" spans="1:7" x14ac:dyDescent="0.35">
      <c r="A404" s="1" t="s">
        <v>1488</v>
      </c>
      <c r="B404" s="1" t="s">
        <v>1492</v>
      </c>
      <c r="C404" s="1" t="s">
        <v>29</v>
      </c>
      <c r="D404">
        <v>-12.01816</v>
      </c>
      <c r="E404">
        <v>23.828645999999999</v>
      </c>
      <c r="F404" s="1" t="s">
        <v>1437</v>
      </c>
      <c r="G404" s="1" t="s">
        <v>1436</v>
      </c>
    </row>
    <row r="405" spans="1:7" x14ac:dyDescent="0.35">
      <c r="A405" s="1" t="s">
        <v>1507</v>
      </c>
      <c r="B405" s="1" t="s">
        <v>1519</v>
      </c>
      <c r="C405" s="1" t="s">
        <v>62</v>
      </c>
      <c r="D405">
        <v>0.419985</v>
      </c>
      <c r="E405">
        <v>13.847996999999999</v>
      </c>
      <c r="F405" s="1" t="s">
        <v>1432</v>
      </c>
      <c r="G405" s="1" t="s">
        <v>1438</v>
      </c>
    </row>
    <row r="406" spans="1:7" x14ac:dyDescent="0.35">
      <c r="A406" s="1" t="s">
        <v>1431</v>
      </c>
      <c r="B406" s="1" t="s">
        <v>1178</v>
      </c>
      <c r="C406" s="1" t="s">
        <v>24</v>
      </c>
      <c r="D406">
        <v>0.40267799999999998</v>
      </c>
      <c r="E406">
        <v>16.000858000000001</v>
      </c>
      <c r="F406" s="1" t="s">
        <v>1437</v>
      </c>
      <c r="G406" s="1" t="s">
        <v>1445</v>
      </c>
    </row>
    <row r="407" spans="1:7" x14ac:dyDescent="0.35">
      <c r="A407" s="1" t="s">
        <v>1488</v>
      </c>
      <c r="B407" s="1" t="s">
        <v>835</v>
      </c>
      <c r="C407" s="1" t="s">
        <v>122</v>
      </c>
      <c r="D407">
        <v>1.017161</v>
      </c>
      <c r="E407">
        <v>16.519689</v>
      </c>
      <c r="F407" s="1" t="s">
        <v>1437</v>
      </c>
      <c r="G407" s="1" t="s">
        <v>1445</v>
      </c>
    </row>
    <row r="408" spans="1:7" x14ac:dyDescent="0.35">
      <c r="A408" s="1" t="s">
        <v>1473</v>
      </c>
      <c r="B408" s="1" t="s">
        <v>1045</v>
      </c>
      <c r="C408" s="1" t="s">
        <v>15</v>
      </c>
      <c r="D408">
        <v>-5.3762689999999997</v>
      </c>
      <c r="E408">
        <v>28.189575999999999</v>
      </c>
      <c r="F408" s="1" t="s">
        <v>1432</v>
      </c>
      <c r="G408" s="1" t="s">
        <v>1436</v>
      </c>
    </row>
    <row r="409" spans="1:7" x14ac:dyDescent="0.35">
      <c r="A409" s="1" t="s">
        <v>1604</v>
      </c>
      <c r="B409" s="1" t="s">
        <v>1220</v>
      </c>
      <c r="C409" s="1" t="s">
        <v>68</v>
      </c>
      <c r="D409">
        <v>-11.265995</v>
      </c>
      <c r="E409">
        <v>28.935514999999999</v>
      </c>
      <c r="F409" s="1" t="s">
        <v>1435</v>
      </c>
      <c r="G409" s="1" t="s">
        <v>1433</v>
      </c>
    </row>
    <row r="410" spans="1:7" x14ac:dyDescent="0.35">
      <c r="A410" s="1" t="s">
        <v>1549</v>
      </c>
      <c r="B410" s="1" t="s">
        <v>1556</v>
      </c>
      <c r="C410" s="1" t="s">
        <v>83</v>
      </c>
      <c r="D410">
        <v>-4.749333</v>
      </c>
      <c r="E410">
        <v>23.636389000000001</v>
      </c>
      <c r="F410" s="1" t="s">
        <v>1437</v>
      </c>
      <c r="G410" s="1" t="s">
        <v>1438</v>
      </c>
    </row>
    <row r="411" spans="1:7" x14ac:dyDescent="0.35">
      <c r="A411" s="1" t="s">
        <v>1507</v>
      </c>
      <c r="B411" s="1" t="s">
        <v>1238</v>
      </c>
      <c r="C411" s="1" t="s">
        <v>37</v>
      </c>
      <c r="D411">
        <v>0.65288900000000005</v>
      </c>
      <c r="E411">
        <v>24.243953999999999</v>
      </c>
      <c r="F411" s="1" t="s">
        <v>1432</v>
      </c>
      <c r="G411" s="1" t="s">
        <v>1433</v>
      </c>
    </row>
    <row r="412" spans="1:7" x14ac:dyDescent="0.35">
      <c r="A412" s="1" t="s">
        <v>1549</v>
      </c>
      <c r="B412" s="1" t="s">
        <v>913</v>
      </c>
      <c r="C412" s="1" t="s">
        <v>126</v>
      </c>
      <c r="D412">
        <v>-10.872631999999999</v>
      </c>
      <c r="E412">
        <v>12.773279</v>
      </c>
      <c r="F412" s="1" t="s">
        <v>1437</v>
      </c>
      <c r="G412" s="1" t="s">
        <v>1438</v>
      </c>
    </row>
    <row r="413" spans="1:7" x14ac:dyDescent="0.35">
      <c r="A413" s="1" t="s">
        <v>1507</v>
      </c>
      <c r="B413" s="1" t="s">
        <v>1371</v>
      </c>
      <c r="C413" s="1" t="s">
        <v>61</v>
      </c>
      <c r="D413">
        <v>-7.1079169999999996</v>
      </c>
      <c r="E413">
        <v>13.636272</v>
      </c>
      <c r="F413" s="1" t="s">
        <v>1432</v>
      </c>
      <c r="G413" s="1" t="s">
        <v>1445</v>
      </c>
    </row>
    <row r="414" spans="1:7" x14ac:dyDescent="0.35">
      <c r="A414" s="1" t="s">
        <v>1431</v>
      </c>
      <c r="B414" s="1" t="s">
        <v>1440</v>
      </c>
      <c r="C414" s="1" t="s">
        <v>72</v>
      </c>
      <c r="D414">
        <v>-4.4862339999999996</v>
      </c>
      <c r="E414">
        <v>17.956159</v>
      </c>
      <c r="F414" s="1" t="s">
        <v>1437</v>
      </c>
      <c r="G414" s="1" t="s">
        <v>1436</v>
      </c>
    </row>
    <row r="415" spans="1:7" x14ac:dyDescent="0.35">
      <c r="A415" s="1" t="s">
        <v>1529</v>
      </c>
      <c r="B415" s="1" t="s">
        <v>1548</v>
      </c>
      <c r="C415" s="1" t="s">
        <v>24</v>
      </c>
      <c r="D415">
        <v>-10.614302</v>
      </c>
      <c r="E415">
        <v>29.436530999999999</v>
      </c>
      <c r="F415" s="1" t="s">
        <v>1437</v>
      </c>
      <c r="G415" s="1" t="s">
        <v>1433</v>
      </c>
    </row>
    <row r="416" spans="1:7" x14ac:dyDescent="0.35">
      <c r="A416" s="1" t="s">
        <v>1473</v>
      </c>
      <c r="B416" s="1" t="s">
        <v>794</v>
      </c>
      <c r="C416" s="1" t="s">
        <v>48</v>
      </c>
      <c r="D416">
        <v>-5.9021970000000001</v>
      </c>
      <c r="E416">
        <v>20.551169999999999</v>
      </c>
      <c r="F416" s="1" t="s">
        <v>1437</v>
      </c>
      <c r="G416" s="1" t="s">
        <v>1436</v>
      </c>
    </row>
    <row r="417" spans="1:7" x14ac:dyDescent="0.35">
      <c r="A417" s="1" t="s">
        <v>1507</v>
      </c>
      <c r="B417" s="1" t="s">
        <v>775</v>
      </c>
      <c r="C417" s="1" t="s">
        <v>20</v>
      </c>
      <c r="D417">
        <v>4.2493650000000001</v>
      </c>
      <c r="E417">
        <v>28.355039999999999</v>
      </c>
      <c r="F417" s="1" t="s">
        <v>1437</v>
      </c>
      <c r="G417" s="1" t="s">
        <v>1438</v>
      </c>
    </row>
    <row r="418" spans="1:7" x14ac:dyDescent="0.35">
      <c r="A418" s="1" t="s">
        <v>1473</v>
      </c>
      <c r="B418" s="1" t="s">
        <v>817</v>
      </c>
      <c r="C418" s="1" t="s">
        <v>15</v>
      </c>
      <c r="D418">
        <v>-11.514188000000001</v>
      </c>
      <c r="E418">
        <v>15.971181</v>
      </c>
      <c r="F418" s="1" t="s">
        <v>1432</v>
      </c>
      <c r="G418" s="1" t="s">
        <v>1433</v>
      </c>
    </row>
    <row r="419" spans="1:7" x14ac:dyDescent="0.35">
      <c r="A419" s="1" t="s">
        <v>1473</v>
      </c>
      <c r="B419" s="1" t="s">
        <v>1033</v>
      </c>
      <c r="C419" s="1" t="s">
        <v>9</v>
      </c>
      <c r="D419">
        <v>-1.9120569999999999</v>
      </c>
      <c r="E419">
        <v>15.236072999999999</v>
      </c>
      <c r="F419" s="1" t="s">
        <v>1432</v>
      </c>
      <c r="G419" s="1" t="s">
        <v>1436</v>
      </c>
    </row>
    <row r="420" spans="1:7" x14ac:dyDescent="0.35">
      <c r="A420" s="1" t="s">
        <v>1488</v>
      </c>
      <c r="B420" s="1" t="s">
        <v>1490</v>
      </c>
      <c r="C420" s="1" t="s">
        <v>1651</v>
      </c>
      <c r="D420">
        <v>-5.3956809999999997</v>
      </c>
      <c r="E420">
        <v>14.49985</v>
      </c>
      <c r="F420" s="1" t="s">
        <v>1435</v>
      </c>
      <c r="G420" s="1" t="s">
        <v>1438</v>
      </c>
    </row>
    <row r="421" spans="1:7" x14ac:dyDescent="0.35">
      <c r="A421" s="1" t="s">
        <v>1431</v>
      </c>
      <c r="B421" s="1" t="s">
        <v>754</v>
      </c>
      <c r="C421" s="1" t="s">
        <v>35</v>
      </c>
      <c r="D421">
        <v>-9.4708620000000003</v>
      </c>
      <c r="E421">
        <v>29.234387999999999</v>
      </c>
      <c r="F421" s="1" t="s">
        <v>1437</v>
      </c>
      <c r="G421" s="1" t="s">
        <v>1438</v>
      </c>
    </row>
    <row r="422" spans="1:7" x14ac:dyDescent="0.35">
      <c r="A422" s="1" t="s">
        <v>1604</v>
      </c>
      <c r="B422" s="1" t="s">
        <v>1615</v>
      </c>
      <c r="C422" s="1" t="s">
        <v>1651</v>
      </c>
      <c r="D422">
        <v>-12.048655999999999</v>
      </c>
      <c r="E422">
        <v>30.577876</v>
      </c>
      <c r="F422" s="1" t="s">
        <v>1432</v>
      </c>
      <c r="G422" s="1" t="s">
        <v>1438</v>
      </c>
    </row>
    <row r="423" spans="1:7" x14ac:dyDescent="0.35">
      <c r="A423" s="1" t="s">
        <v>1488</v>
      </c>
      <c r="B423" s="1" t="s">
        <v>1015</v>
      </c>
      <c r="C423" s="1" t="s">
        <v>118</v>
      </c>
      <c r="D423">
        <v>-4.869434</v>
      </c>
      <c r="E423">
        <v>22.326522000000001</v>
      </c>
      <c r="F423" s="1" t="s">
        <v>1432</v>
      </c>
      <c r="G423" s="1" t="s">
        <v>1433</v>
      </c>
    </row>
    <row r="424" spans="1:7" x14ac:dyDescent="0.35">
      <c r="A424" s="1" t="s">
        <v>1458</v>
      </c>
      <c r="B424" s="1" t="s">
        <v>1198</v>
      </c>
      <c r="C424" s="1" t="s">
        <v>126</v>
      </c>
      <c r="D424">
        <v>-8.0301989999999996</v>
      </c>
      <c r="E424">
        <v>24.122495000000001</v>
      </c>
      <c r="F424" s="1" t="s">
        <v>1432</v>
      </c>
      <c r="G424" s="1" t="s">
        <v>1438</v>
      </c>
    </row>
    <row r="425" spans="1:7" x14ac:dyDescent="0.35">
      <c r="A425" s="1" t="s">
        <v>1431</v>
      </c>
      <c r="B425" s="1" t="s">
        <v>1085</v>
      </c>
      <c r="C425" s="1" t="s">
        <v>57</v>
      </c>
      <c r="D425">
        <v>-9.1215879999999991</v>
      </c>
      <c r="E425">
        <v>16.457916999999998</v>
      </c>
      <c r="F425" s="1" t="s">
        <v>1435</v>
      </c>
      <c r="G425" s="1" t="s">
        <v>1445</v>
      </c>
    </row>
    <row r="426" spans="1:7" x14ac:dyDescent="0.35">
      <c r="A426" s="1" t="s">
        <v>1488</v>
      </c>
      <c r="B426" s="1" t="s">
        <v>1504</v>
      </c>
      <c r="C426" s="1" t="s">
        <v>54</v>
      </c>
      <c r="D426">
        <v>4.0955700000000004</v>
      </c>
      <c r="E426">
        <v>23.610704999999999</v>
      </c>
      <c r="F426" s="1" t="s">
        <v>1435</v>
      </c>
      <c r="G426" s="1" t="s">
        <v>1438</v>
      </c>
    </row>
    <row r="427" spans="1:7" x14ac:dyDescent="0.35">
      <c r="A427" s="1" t="s">
        <v>1565</v>
      </c>
      <c r="B427" s="1" t="s">
        <v>1059</v>
      </c>
      <c r="C427" s="1" t="s">
        <v>54</v>
      </c>
      <c r="D427">
        <v>2.486888</v>
      </c>
      <c r="E427">
        <v>23.798074</v>
      </c>
      <c r="F427" s="1" t="s">
        <v>1432</v>
      </c>
      <c r="G427" s="1" t="s">
        <v>1438</v>
      </c>
    </row>
    <row r="428" spans="1:7" x14ac:dyDescent="0.35">
      <c r="A428" s="1" t="s">
        <v>1604</v>
      </c>
      <c r="B428" s="1" t="s">
        <v>1331</v>
      </c>
      <c r="C428" s="1" t="s">
        <v>17</v>
      </c>
      <c r="D428">
        <v>-3.1608390000000002</v>
      </c>
      <c r="E428">
        <v>13.244503999999999</v>
      </c>
      <c r="F428" s="1" t="s">
        <v>1437</v>
      </c>
      <c r="G428" s="1" t="s">
        <v>1436</v>
      </c>
    </row>
    <row r="429" spans="1:7" x14ac:dyDescent="0.35">
      <c r="A429" s="1" t="s">
        <v>1488</v>
      </c>
      <c r="B429" s="1" t="s">
        <v>1503</v>
      </c>
      <c r="C429" s="1" t="s">
        <v>59</v>
      </c>
      <c r="D429">
        <v>-3.7900040000000002</v>
      </c>
      <c r="E429">
        <v>24.769718999999998</v>
      </c>
      <c r="F429" s="1" t="s">
        <v>1432</v>
      </c>
      <c r="G429" s="1" t="s">
        <v>1436</v>
      </c>
    </row>
    <row r="430" spans="1:7" x14ac:dyDescent="0.35">
      <c r="A430" s="1" t="s">
        <v>1431</v>
      </c>
      <c r="B430" s="1" t="s">
        <v>1457</v>
      </c>
      <c r="C430" s="1" t="s">
        <v>23</v>
      </c>
      <c r="D430">
        <v>3.7141999999999999</v>
      </c>
      <c r="E430">
        <v>28.547066999999998</v>
      </c>
      <c r="F430" s="1" t="s">
        <v>1437</v>
      </c>
      <c r="G430" s="1" t="s">
        <v>1438</v>
      </c>
    </row>
    <row r="431" spans="1:7" x14ac:dyDescent="0.35">
      <c r="A431" s="1" t="s">
        <v>1431</v>
      </c>
      <c r="B431" s="1" t="s">
        <v>1439</v>
      </c>
      <c r="C431" s="1" t="s">
        <v>118</v>
      </c>
      <c r="D431">
        <v>0.29375600000000002</v>
      </c>
      <c r="E431">
        <v>18.528884000000001</v>
      </c>
      <c r="F431" s="1" t="s">
        <v>1432</v>
      </c>
      <c r="G431" s="1" t="s">
        <v>1438</v>
      </c>
    </row>
    <row r="432" spans="1:7" x14ac:dyDescent="0.35">
      <c r="A432" s="1" t="s">
        <v>1549</v>
      </c>
      <c r="B432" s="1" t="s">
        <v>1146</v>
      </c>
      <c r="C432" s="1" t="s">
        <v>122</v>
      </c>
      <c r="D432">
        <v>-6.5332999999999997</v>
      </c>
      <c r="E432">
        <v>20.098018</v>
      </c>
      <c r="F432" s="1" t="s">
        <v>1435</v>
      </c>
      <c r="G432" s="1" t="s">
        <v>1436</v>
      </c>
    </row>
    <row r="433" spans="1:7" x14ac:dyDescent="0.35">
      <c r="A433" s="1" t="s">
        <v>1507</v>
      </c>
      <c r="B433" s="1" t="s">
        <v>1266</v>
      </c>
      <c r="C433" s="1" t="s">
        <v>24</v>
      </c>
      <c r="D433">
        <v>-1.500685</v>
      </c>
      <c r="E433">
        <v>26.563376000000002</v>
      </c>
      <c r="F433" s="1" t="s">
        <v>1432</v>
      </c>
      <c r="G433" s="1" t="s">
        <v>1445</v>
      </c>
    </row>
    <row r="434" spans="1:7" x14ac:dyDescent="0.35">
      <c r="A434" s="1" t="s">
        <v>1473</v>
      </c>
      <c r="B434" s="1" t="s">
        <v>846</v>
      </c>
      <c r="C434" s="1" t="s">
        <v>20</v>
      </c>
      <c r="D434">
        <v>-9.4702129999999993</v>
      </c>
      <c r="E434">
        <v>12.826158</v>
      </c>
      <c r="F434" s="1" t="s">
        <v>1437</v>
      </c>
      <c r="G434" s="1" t="s">
        <v>1433</v>
      </c>
    </row>
    <row r="435" spans="1:7" x14ac:dyDescent="0.35">
      <c r="A435" s="1" t="s">
        <v>1473</v>
      </c>
      <c r="B435" s="1" t="s">
        <v>1481</v>
      </c>
      <c r="C435" s="1" t="s">
        <v>54</v>
      </c>
      <c r="D435">
        <v>0.98189400000000004</v>
      </c>
      <c r="E435">
        <v>13.008620000000001</v>
      </c>
      <c r="F435" s="1" t="s">
        <v>1435</v>
      </c>
      <c r="G435" s="1" t="s">
        <v>1436</v>
      </c>
    </row>
    <row r="436" spans="1:7" x14ac:dyDescent="0.35">
      <c r="A436" s="1" t="s">
        <v>1565</v>
      </c>
      <c r="B436" s="1" t="s">
        <v>1566</v>
      </c>
      <c r="C436" s="1" t="s">
        <v>33</v>
      </c>
      <c r="D436">
        <v>-4.8560549999999996</v>
      </c>
      <c r="E436">
        <v>15.889538999999999</v>
      </c>
      <c r="F436" s="1" t="s">
        <v>1437</v>
      </c>
      <c r="G436" s="1" t="s">
        <v>1436</v>
      </c>
    </row>
    <row r="437" spans="1:7" x14ac:dyDescent="0.35">
      <c r="A437" s="1" t="s">
        <v>1604</v>
      </c>
      <c r="B437" s="1" t="s">
        <v>1606</v>
      </c>
      <c r="C437" s="1" t="s">
        <v>72</v>
      </c>
      <c r="D437">
        <v>-10.790281</v>
      </c>
      <c r="E437">
        <v>12.624336</v>
      </c>
      <c r="F437" s="1" t="s">
        <v>1435</v>
      </c>
      <c r="G437" s="1" t="s">
        <v>1445</v>
      </c>
    </row>
    <row r="438" spans="1:7" x14ac:dyDescent="0.35">
      <c r="A438" s="1" t="s">
        <v>1565</v>
      </c>
      <c r="B438" s="1" t="s">
        <v>1579</v>
      </c>
      <c r="C438" s="1" t="s">
        <v>41</v>
      </c>
      <c r="D438">
        <v>4.0297190000000001</v>
      </c>
      <c r="E438">
        <v>20.699608000000001</v>
      </c>
      <c r="F438" s="1" t="s">
        <v>1435</v>
      </c>
      <c r="G438" s="1" t="s">
        <v>1433</v>
      </c>
    </row>
    <row r="439" spans="1:7" x14ac:dyDescent="0.35">
      <c r="A439" s="1" t="s">
        <v>1458</v>
      </c>
      <c r="B439" s="1" t="s">
        <v>1048</v>
      </c>
      <c r="C439" s="1" t="s">
        <v>122</v>
      </c>
      <c r="D439">
        <v>4.9455159999999996</v>
      </c>
      <c r="E439">
        <v>23.647746000000001</v>
      </c>
      <c r="F439" s="1" t="s">
        <v>1432</v>
      </c>
      <c r="G439" s="1" t="s">
        <v>1436</v>
      </c>
    </row>
    <row r="440" spans="1:7" x14ac:dyDescent="0.35">
      <c r="A440" s="1" t="s">
        <v>1565</v>
      </c>
      <c r="B440" s="1" t="s">
        <v>1570</v>
      </c>
      <c r="C440" s="1" t="s">
        <v>57</v>
      </c>
      <c r="D440">
        <v>-11.366868999999999</v>
      </c>
      <c r="E440">
        <v>26.155318000000001</v>
      </c>
      <c r="F440" s="1" t="s">
        <v>1435</v>
      </c>
      <c r="G440" s="1" t="s">
        <v>1436</v>
      </c>
    </row>
    <row r="441" spans="1:7" x14ac:dyDescent="0.35">
      <c r="A441" s="1" t="s">
        <v>1529</v>
      </c>
      <c r="B441" s="1" t="s">
        <v>1531</v>
      </c>
      <c r="C441" s="1" t="s">
        <v>24</v>
      </c>
      <c r="D441">
        <v>4.7044240000000004</v>
      </c>
      <c r="E441">
        <v>20.486409999999999</v>
      </c>
      <c r="F441" s="1" t="s">
        <v>1435</v>
      </c>
      <c r="G441" s="1" t="s">
        <v>1438</v>
      </c>
    </row>
    <row r="442" spans="1:7" x14ac:dyDescent="0.35">
      <c r="A442" s="1" t="s">
        <v>1488</v>
      </c>
      <c r="B442" s="1" t="s">
        <v>774</v>
      </c>
      <c r="C442" s="1" t="s">
        <v>35</v>
      </c>
      <c r="D442">
        <v>-10.776204</v>
      </c>
      <c r="E442">
        <v>24.672934000000001</v>
      </c>
      <c r="F442" s="1" t="s">
        <v>1435</v>
      </c>
      <c r="G442" s="1" t="s">
        <v>1433</v>
      </c>
    </row>
    <row r="443" spans="1:7" x14ac:dyDescent="0.35">
      <c r="A443" s="1" t="s">
        <v>1588</v>
      </c>
      <c r="B443" s="1" t="s">
        <v>866</v>
      </c>
      <c r="C443" s="1" t="s">
        <v>31</v>
      </c>
      <c r="D443">
        <v>-10.414493</v>
      </c>
      <c r="E443">
        <v>12.333356999999999</v>
      </c>
      <c r="F443" s="1" t="s">
        <v>1437</v>
      </c>
      <c r="G443" s="1" t="s">
        <v>1433</v>
      </c>
    </row>
    <row r="444" spans="1:7" x14ac:dyDescent="0.35">
      <c r="A444" s="1" t="s">
        <v>1604</v>
      </c>
      <c r="B444" s="1" t="s">
        <v>1623</v>
      </c>
      <c r="C444" s="1" t="s">
        <v>72</v>
      </c>
      <c r="D444">
        <v>-6.0946619999999996</v>
      </c>
      <c r="E444">
        <v>20.757277999999999</v>
      </c>
      <c r="F444" s="1" t="s">
        <v>1432</v>
      </c>
      <c r="G444" s="1" t="s">
        <v>1436</v>
      </c>
    </row>
    <row r="445" spans="1:7" x14ac:dyDescent="0.35">
      <c r="A445" s="1" t="s">
        <v>1565</v>
      </c>
      <c r="B445" s="1" t="s">
        <v>1572</v>
      </c>
      <c r="C445" s="1" t="s">
        <v>118</v>
      </c>
      <c r="D445">
        <v>2.7355830000000001</v>
      </c>
      <c r="E445">
        <v>22.006969000000002</v>
      </c>
      <c r="F445" s="1" t="s">
        <v>1432</v>
      </c>
      <c r="G445" s="1" t="s">
        <v>1433</v>
      </c>
    </row>
    <row r="446" spans="1:7" x14ac:dyDescent="0.35">
      <c r="A446" s="1" t="s">
        <v>1431</v>
      </c>
      <c r="B446" s="1" t="s">
        <v>1446</v>
      </c>
      <c r="C446" s="1" t="s">
        <v>83</v>
      </c>
      <c r="D446">
        <v>-7.31691</v>
      </c>
      <c r="E446">
        <v>29.836627</v>
      </c>
      <c r="F446" s="1" t="s">
        <v>1432</v>
      </c>
      <c r="G446" s="1" t="s">
        <v>1438</v>
      </c>
    </row>
    <row r="447" spans="1:7" x14ac:dyDescent="0.35">
      <c r="A447" s="1" t="s">
        <v>1604</v>
      </c>
      <c r="B447" s="1" t="s">
        <v>1616</v>
      </c>
      <c r="C447" s="1" t="s">
        <v>61</v>
      </c>
      <c r="D447">
        <v>-11.771884</v>
      </c>
      <c r="E447">
        <v>18.089172999999999</v>
      </c>
      <c r="F447" s="1" t="s">
        <v>1435</v>
      </c>
      <c r="G447" s="1" t="s">
        <v>1445</v>
      </c>
    </row>
    <row r="448" spans="1:7" x14ac:dyDescent="0.35">
      <c r="A448" s="1" t="s">
        <v>1431</v>
      </c>
      <c r="B448" s="1" t="s">
        <v>832</v>
      </c>
      <c r="C448" s="1" t="s">
        <v>61</v>
      </c>
      <c r="D448">
        <v>-5.4126279999999998</v>
      </c>
      <c r="E448">
        <v>25.498235999999999</v>
      </c>
      <c r="F448" s="1" t="s">
        <v>1432</v>
      </c>
      <c r="G448" s="1" t="s">
        <v>1438</v>
      </c>
    </row>
    <row r="449" spans="1:7" x14ac:dyDescent="0.35">
      <c r="A449" s="1" t="s">
        <v>1431</v>
      </c>
      <c r="B449" s="1" t="s">
        <v>836</v>
      </c>
      <c r="C449" s="1" t="s">
        <v>62</v>
      </c>
      <c r="D449">
        <v>-11.218453999999999</v>
      </c>
      <c r="E449">
        <v>28.230025000000001</v>
      </c>
      <c r="F449" s="1" t="s">
        <v>1432</v>
      </c>
      <c r="G449" s="1" t="s">
        <v>1438</v>
      </c>
    </row>
    <row r="450" spans="1:7" x14ac:dyDescent="0.35">
      <c r="A450" s="1" t="s">
        <v>1565</v>
      </c>
      <c r="B450" s="1" t="s">
        <v>1575</v>
      </c>
      <c r="C450" s="1" t="s">
        <v>54</v>
      </c>
      <c r="D450">
        <v>-11.727425</v>
      </c>
      <c r="E450">
        <v>27.198173000000001</v>
      </c>
      <c r="F450" s="1" t="s">
        <v>1437</v>
      </c>
      <c r="G450" s="1" t="s">
        <v>1433</v>
      </c>
    </row>
    <row r="451" spans="1:7" x14ac:dyDescent="0.35">
      <c r="A451" s="1" t="s">
        <v>1431</v>
      </c>
      <c r="B451" s="1" t="s">
        <v>1453</v>
      </c>
      <c r="C451" s="1" t="s">
        <v>20</v>
      </c>
      <c r="D451">
        <v>-3.3081109999999998</v>
      </c>
      <c r="E451">
        <v>29.700202000000001</v>
      </c>
      <c r="F451" s="1" t="s">
        <v>1435</v>
      </c>
      <c r="G451" s="1" t="s">
        <v>1445</v>
      </c>
    </row>
    <row r="452" spans="1:7" x14ac:dyDescent="0.35">
      <c r="A452" s="1" t="s">
        <v>1588</v>
      </c>
      <c r="B452" s="1" t="s">
        <v>1603</v>
      </c>
      <c r="C452" s="1" t="s">
        <v>9</v>
      </c>
      <c r="D452">
        <v>-0.65356899999999996</v>
      </c>
      <c r="E452">
        <v>25.343032999999998</v>
      </c>
      <c r="F452" s="1" t="s">
        <v>1435</v>
      </c>
      <c r="G452" s="1" t="s">
        <v>1433</v>
      </c>
    </row>
    <row r="453" spans="1:7" x14ac:dyDescent="0.35">
      <c r="A453" s="1" t="s">
        <v>1507</v>
      </c>
      <c r="B453" s="1" t="s">
        <v>1279</v>
      </c>
      <c r="C453" s="1" t="s">
        <v>122</v>
      </c>
      <c r="D453">
        <v>-11.231472</v>
      </c>
      <c r="E453">
        <v>25.388874000000001</v>
      </c>
      <c r="F453" s="1" t="s">
        <v>1435</v>
      </c>
      <c r="G453" s="1" t="s">
        <v>1436</v>
      </c>
    </row>
    <row r="454" spans="1:7" x14ac:dyDescent="0.35">
      <c r="A454" s="1" t="s">
        <v>1549</v>
      </c>
      <c r="B454" s="1" t="s">
        <v>986</v>
      </c>
      <c r="C454" s="1" t="s">
        <v>23</v>
      </c>
      <c r="D454">
        <v>2.016505</v>
      </c>
      <c r="E454">
        <v>14.294164</v>
      </c>
      <c r="F454" s="1" t="s">
        <v>1432</v>
      </c>
      <c r="G454" s="1" t="s">
        <v>1436</v>
      </c>
    </row>
    <row r="455" spans="1:7" x14ac:dyDescent="0.35">
      <c r="A455" s="1" t="s">
        <v>1529</v>
      </c>
      <c r="B455" s="1" t="s">
        <v>1333</v>
      </c>
      <c r="C455" s="1" t="s">
        <v>68</v>
      </c>
      <c r="D455">
        <v>-12.070842000000001</v>
      </c>
      <c r="E455">
        <v>14.757847</v>
      </c>
      <c r="F455" s="1" t="s">
        <v>1435</v>
      </c>
      <c r="G455" s="1" t="s">
        <v>1438</v>
      </c>
    </row>
    <row r="456" spans="1:7" x14ac:dyDescent="0.35">
      <c r="A456" s="1" t="s">
        <v>1588</v>
      </c>
      <c r="B456" s="1" t="s">
        <v>1330</v>
      </c>
      <c r="C456" s="1" t="s">
        <v>118</v>
      </c>
      <c r="D456">
        <v>-2.2199559999999998</v>
      </c>
      <c r="E456">
        <v>22.614449</v>
      </c>
      <c r="F456" s="1" t="s">
        <v>1437</v>
      </c>
      <c r="G456" s="1" t="s">
        <v>1445</v>
      </c>
    </row>
    <row r="457" spans="1:7" x14ac:dyDescent="0.35">
      <c r="A457" s="1" t="s">
        <v>1507</v>
      </c>
      <c r="B457" s="1" t="s">
        <v>813</v>
      </c>
      <c r="C457" s="1" t="s">
        <v>29</v>
      </c>
      <c r="D457">
        <v>-10.914952</v>
      </c>
      <c r="E457">
        <v>26.409648000000001</v>
      </c>
      <c r="F457" s="1" t="s">
        <v>1435</v>
      </c>
      <c r="G457" s="1" t="s">
        <v>1436</v>
      </c>
    </row>
    <row r="458" spans="1:7" x14ac:dyDescent="0.35">
      <c r="A458" s="1" t="s">
        <v>1458</v>
      </c>
      <c r="B458" s="1" t="s">
        <v>788</v>
      </c>
      <c r="C458" s="1" t="s">
        <v>35</v>
      </c>
      <c r="D458">
        <v>-1.864393</v>
      </c>
      <c r="E458">
        <v>21.453434000000001</v>
      </c>
      <c r="F458" s="1" t="s">
        <v>1432</v>
      </c>
      <c r="G458" s="1" t="s">
        <v>1433</v>
      </c>
    </row>
    <row r="459" spans="1:7" x14ac:dyDescent="0.35">
      <c r="A459" s="1" t="s">
        <v>1431</v>
      </c>
      <c r="B459" s="1" t="s">
        <v>840</v>
      </c>
      <c r="C459" s="1" t="s">
        <v>31</v>
      </c>
      <c r="D459">
        <v>-6.6803710000000001</v>
      </c>
      <c r="E459">
        <v>21.955673000000001</v>
      </c>
      <c r="F459" s="1" t="s">
        <v>1435</v>
      </c>
      <c r="G459" s="1" t="s">
        <v>1445</v>
      </c>
    </row>
    <row r="460" spans="1:7" x14ac:dyDescent="0.35">
      <c r="A460" s="1" t="s">
        <v>1473</v>
      </c>
      <c r="B460" s="1" t="s">
        <v>1484</v>
      </c>
      <c r="C460" s="1" t="s">
        <v>68</v>
      </c>
      <c r="D460">
        <v>-9.4056660000000001</v>
      </c>
      <c r="E460">
        <v>15.541930000000001</v>
      </c>
      <c r="F460" s="1" t="s">
        <v>1435</v>
      </c>
      <c r="G460" s="1" t="s">
        <v>1436</v>
      </c>
    </row>
    <row r="461" spans="1:7" x14ac:dyDescent="0.35">
      <c r="A461" s="1" t="s">
        <v>1565</v>
      </c>
      <c r="B461" s="1" t="s">
        <v>1068</v>
      </c>
      <c r="C461" s="1" t="s">
        <v>9</v>
      </c>
      <c r="D461">
        <v>-11.002602</v>
      </c>
      <c r="E461">
        <v>23.918247999999998</v>
      </c>
      <c r="F461" s="1" t="s">
        <v>1432</v>
      </c>
      <c r="G461" s="1" t="s">
        <v>1438</v>
      </c>
    </row>
    <row r="462" spans="1:7" x14ac:dyDescent="0.35">
      <c r="A462" s="1" t="s">
        <v>1473</v>
      </c>
      <c r="B462" s="1" t="s">
        <v>749</v>
      </c>
      <c r="C462" s="1" t="s">
        <v>83</v>
      </c>
      <c r="D462">
        <v>-10.375266999999999</v>
      </c>
      <c r="E462">
        <v>17.993663000000002</v>
      </c>
      <c r="F462" s="1" t="s">
        <v>1432</v>
      </c>
      <c r="G462" s="1" t="s">
        <v>1438</v>
      </c>
    </row>
    <row r="463" spans="1:7" x14ac:dyDescent="0.35">
      <c r="A463" s="1" t="s">
        <v>1507</v>
      </c>
      <c r="B463" s="1" t="s">
        <v>973</v>
      </c>
      <c r="C463" s="1" t="s">
        <v>1651</v>
      </c>
      <c r="D463">
        <v>-10.165072</v>
      </c>
      <c r="E463">
        <v>29.428024000000001</v>
      </c>
      <c r="F463" s="1" t="s">
        <v>1432</v>
      </c>
      <c r="G463" s="1" t="s">
        <v>1436</v>
      </c>
    </row>
    <row r="464" spans="1:7" x14ac:dyDescent="0.35">
      <c r="A464" s="1" t="s">
        <v>1549</v>
      </c>
      <c r="B464" s="1" t="s">
        <v>1559</v>
      </c>
      <c r="C464" s="1" t="s">
        <v>59</v>
      </c>
      <c r="D464">
        <v>-10.451371</v>
      </c>
      <c r="E464">
        <v>24.38336</v>
      </c>
      <c r="F464" s="1" t="s">
        <v>1437</v>
      </c>
      <c r="G464" s="1" t="s">
        <v>1433</v>
      </c>
    </row>
    <row r="465" spans="1:7" x14ac:dyDescent="0.35">
      <c r="A465" s="1" t="s">
        <v>1529</v>
      </c>
      <c r="B465" s="1" t="s">
        <v>1535</v>
      </c>
      <c r="C465" s="1" t="s">
        <v>41</v>
      </c>
      <c r="D465">
        <v>3.0184790000000001</v>
      </c>
      <c r="E465">
        <v>27.188068000000001</v>
      </c>
      <c r="F465" s="1" t="s">
        <v>1432</v>
      </c>
      <c r="G465" s="1" t="s">
        <v>1433</v>
      </c>
    </row>
    <row r="466" spans="1:7" x14ac:dyDescent="0.35">
      <c r="A466" s="1" t="s">
        <v>1488</v>
      </c>
      <c r="B466" s="1" t="s">
        <v>1489</v>
      </c>
      <c r="C466" s="1" t="s">
        <v>126</v>
      </c>
      <c r="D466">
        <v>-7.5180249999999997</v>
      </c>
      <c r="E466">
        <v>20.478905999999998</v>
      </c>
      <c r="F466" s="1" t="s">
        <v>1432</v>
      </c>
      <c r="G466" s="1" t="s">
        <v>1445</v>
      </c>
    </row>
    <row r="467" spans="1:7" x14ac:dyDescent="0.35">
      <c r="A467" s="1" t="s">
        <v>1565</v>
      </c>
      <c r="B467" s="1" t="s">
        <v>1578</v>
      </c>
      <c r="C467" s="1" t="s">
        <v>54</v>
      </c>
      <c r="D467">
        <v>-5.3337589999999997</v>
      </c>
      <c r="E467">
        <v>13.246924</v>
      </c>
      <c r="F467" s="1" t="s">
        <v>1437</v>
      </c>
      <c r="G467" s="1" t="s">
        <v>1433</v>
      </c>
    </row>
    <row r="468" spans="1:7" x14ac:dyDescent="0.35">
      <c r="A468" s="1" t="s">
        <v>1588</v>
      </c>
      <c r="B468" s="1" t="s">
        <v>765</v>
      </c>
      <c r="C468" s="1" t="s">
        <v>35</v>
      </c>
      <c r="D468">
        <v>-2.4662510000000002</v>
      </c>
      <c r="E468">
        <v>18.007998000000001</v>
      </c>
      <c r="F468" s="1" t="s">
        <v>1432</v>
      </c>
      <c r="G468" s="1" t="s">
        <v>1433</v>
      </c>
    </row>
    <row r="469" spans="1:7" x14ac:dyDescent="0.35">
      <c r="A469" s="1" t="s">
        <v>1565</v>
      </c>
      <c r="B469" s="1" t="s">
        <v>1012</v>
      </c>
      <c r="C469" s="1" t="s">
        <v>83</v>
      </c>
      <c r="D469">
        <v>-4.8128659999999996</v>
      </c>
      <c r="E469">
        <v>18.559304999999998</v>
      </c>
      <c r="F469" s="1" t="s">
        <v>1432</v>
      </c>
      <c r="G469" s="1" t="s">
        <v>1438</v>
      </c>
    </row>
    <row r="470" spans="1:7" x14ac:dyDescent="0.35">
      <c r="A470" s="1" t="s">
        <v>1549</v>
      </c>
      <c r="B470" s="1" t="s">
        <v>763</v>
      </c>
      <c r="C470" s="1" t="s">
        <v>68</v>
      </c>
      <c r="D470">
        <v>0.23583499999999999</v>
      </c>
      <c r="E470">
        <v>24.889558999999998</v>
      </c>
      <c r="F470" s="1" t="s">
        <v>1437</v>
      </c>
      <c r="G470" s="1" t="s">
        <v>1438</v>
      </c>
    </row>
    <row r="471" spans="1:7" x14ac:dyDescent="0.35">
      <c r="A471" s="1" t="s">
        <v>1565</v>
      </c>
      <c r="B471" s="1" t="s">
        <v>1586</v>
      </c>
      <c r="C471" s="1" t="s">
        <v>68</v>
      </c>
      <c r="D471">
        <v>-6.419365</v>
      </c>
      <c r="E471">
        <v>17.570219000000002</v>
      </c>
      <c r="F471" s="1" t="s">
        <v>1435</v>
      </c>
      <c r="G471" s="1" t="s">
        <v>1436</v>
      </c>
    </row>
    <row r="472" spans="1:7" x14ac:dyDescent="0.35">
      <c r="A472" s="1" t="s">
        <v>1565</v>
      </c>
      <c r="B472" s="1" t="s">
        <v>1574</v>
      </c>
      <c r="C472" s="1" t="s">
        <v>17</v>
      </c>
      <c r="D472">
        <v>-1.598759</v>
      </c>
      <c r="E472">
        <v>17.553023</v>
      </c>
      <c r="F472" s="1" t="s">
        <v>1435</v>
      </c>
      <c r="G472" s="1" t="s">
        <v>1436</v>
      </c>
    </row>
    <row r="473" spans="1:7" x14ac:dyDescent="0.35">
      <c r="A473" s="1" t="s">
        <v>1473</v>
      </c>
      <c r="B473" s="1" t="s">
        <v>1483</v>
      </c>
      <c r="C473" s="1" t="s">
        <v>59</v>
      </c>
      <c r="D473">
        <v>-1.9080220000000001</v>
      </c>
      <c r="E473">
        <v>19.233322999999999</v>
      </c>
      <c r="F473" s="1" t="s">
        <v>1437</v>
      </c>
      <c r="G473" s="1" t="s">
        <v>1433</v>
      </c>
    </row>
    <row r="474" spans="1:7" x14ac:dyDescent="0.35">
      <c r="A474" s="1" t="s">
        <v>1488</v>
      </c>
      <c r="B474" s="1" t="s">
        <v>932</v>
      </c>
      <c r="C474" s="1" t="s">
        <v>57</v>
      </c>
      <c r="D474">
        <v>3.3289240000000002</v>
      </c>
      <c r="E474">
        <v>24.412261000000001</v>
      </c>
      <c r="F474" s="1" t="s">
        <v>1432</v>
      </c>
      <c r="G474" s="1" t="s">
        <v>1445</v>
      </c>
    </row>
    <row r="475" spans="1:7" x14ac:dyDescent="0.35">
      <c r="A475" s="1" t="s">
        <v>1604</v>
      </c>
      <c r="B475" s="1" t="s">
        <v>772</v>
      </c>
      <c r="C475" s="1" t="s">
        <v>48</v>
      </c>
      <c r="D475">
        <v>-0.77432100000000004</v>
      </c>
      <c r="E475">
        <v>18.628658999999999</v>
      </c>
      <c r="F475" s="1" t="s">
        <v>1435</v>
      </c>
      <c r="G475" s="1" t="s">
        <v>1436</v>
      </c>
    </row>
    <row r="476" spans="1:7" x14ac:dyDescent="0.35">
      <c r="A476" s="1" t="s">
        <v>1529</v>
      </c>
      <c r="B476" s="1" t="s">
        <v>1539</v>
      </c>
      <c r="C476" s="1" t="s">
        <v>9</v>
      </c>
      <c r="D476">
        <v>-7.3750049999999998</v>
      </c>
      <c r="E476">
        <v>30.878126000000002</v>
      </c>
      <c r="F476" s="1" t="s">
        <v>1432</v>
      </c>
      <c r="G476" s="1" t="s">
        <v>1436</v>
      </c>
    </row>
    <row r="477" spans="1:7" x14ac:dyDescent="0.35">
      <c r="A477" s="1" t="s">
        <v>1507</v>
      </c>
      <c r="B477" s="1" t="s">
        <v>1515</v>
      </c>
      <c r="C477" s="1" t="s">
        <v>23</v>
      </c>
      <c r="D477">
        <v>-12.207461</v>
      </c>
      <c r="E477">
        <v>13.492367</v>
      </c>
      <c r="F477" s="1" t="s">
        <v>1437</v>
      </c>
      <c r="G477" s="1" t="s">
        <v>1433</v>
      </c>
    </row>
    <row r="478" spans="1:7" x14ac:dyDescent="0.35">
      <c r="A478" s="1" t="s">
        <v>1473</v>
      </c>
      <c r="B478" s="1" t="s">
        <v>1056</v>
      </c>
      <c r="C478" s="1" t="s">
        <v>17</v>
      </c>
      <c r="D478">
        <v>-7.1785899999999998</v>
      </c>
      <c r="E478">
        <v>24.4404</v>
      </c>
      <c r="F478" s="1" t="s">
        <v>1435</v>
      </c>
      <c r="G478" s="1" t="s">
        <v>1445</v>
      </c>
    </row>
    <row r="479" spans="1:7" x14ac:dyDescent="0.35">
      <c r="A479" s="1" t="s">
        <v>1473</v>
      </c>
      <c r="B479" s="1" t="s">
        <v>1327</v>
      </c>
      <c r="C479" s="1" t="s">
        <v>126</v>
      </c>
      <c r="D479">
        <v>-4.2184999999999997</v>
      </c>
      <c r="E479">
        <v>23.077093999999999</v>
      </c>
      <c r="F479" s="1" t="s">
        <v>1435</v>
      </c>
      <c r="G479" s="1" t="s">
        <v>1433</v>
      </c>
    </row>
    <row r="480" spans="1:7" x14ac:dyDescent="0.35">
      <c r="A480" s="1" t="s">
        <v>1473</v>
      </c>
      <c r="B480" s="1" t="s">
        <v>1478</v>
      </c>
      <c r="C480" s="1" t="s">
        <v>126</v>
      </c>
      <c r="D480">
        <v>-10.572326</v>
      </c>
      <c r="E480">
        <v>25.276349</v>
      </c>
      <c r="F480" s="1" t="s">
        <v>1437</v>
      </c>
      <c r="G480" s="1" t="s">
        <v>1438</v>
      </c>
    </row>
    <row r="481" spans="1:7" x14ac:dyDescent="0.35">
      <c r="A481" s="1" t="s">
        <v>1529</v>
      </c>
      <c r="B481" s="1" t="s">
        <v>1248</v>
      </c>
      <c r="C481" s="1" t="s">
        <v>61</v>
      </c>
      <c r="D481">
        <v>-0.57104900000000003</v>
      </c>
      <c r="E481">
        <v>15.317663</v>
      </c>
      <c r="F481" s="1" t="s">
        <v>1432</v>
      </c>
      <c r="G481" s="1" t="s">
        <v>1445</v>
      </c>
    </row>
    <row r="482" spans="1:7" x14ac:dyDescent="0.35">
      <c r="A482" s="1" t="s">
        <v>1529</v>
      </c>
      <c r="B482" s="1" t="s">
        <v>1213</v>
      </c>
      <c r="C482" s="1" t="s">
        <v>9</v>
      </c>
      <c r="D482">
        <v>-12.364127999999999</v>
      </c>
      <c r="E482">
        <v>19.576150999999999</v>
      </c>
      <c r="F482" s="1" t="s">
        <v>1437</v>
      </c>
      <c r="G482" s="1" t="s">
        <v>1445</v>
      </c>
    </row>
    <row r="483" spans="1:7" x14ac:dyDescent="0.35">
      <c r="A483" s="1" t="s">
        <v>1549</v>
      </c>
      <c r="B483" s="1" t="s">
        <v>781</v>
      </c>
      <c r="C483" s="1" t="s">
        <v>122</v>
      </c>
      <c r="D483">
        <v>-11.866133</v>
      </c>
      <c r="E483">
        <v>27.068932</v>
      </c>
      <c r="F483" s="1" t="s">
        <v>1437</v>
      </c>
      <c r="G483" s="1" t="s">
        <v>1436</v>
      </c>
    </row>
    <row r="484" spans="1:7" x14ac:dyDescent="0.35">
      <c r="A484" s="1" t="s">
        <v>1488</v>
      </c>
      <c r="B484" s="1" t="s">
        <v>1303</v>
      </c>
      <c r="C484" s="1" t="s">
        <v>59</v>
      </c>
      <c r="D484">
        <v>-0.469945</v>
      </c>
      <c r="E484">
        <v>21.038527999999999</v>
      </c>
      <c r="F484" s="1" t="s">
        <v>1437</v>
      </c>
      <c r="G484" s="1" t="s">
        <v>1433</v>
      </c>
    </row>
    <row r="485" spans="1:7" x14ac:dyDescent="0.35">
      <c r="A485" s="1" t="s">
        <v>1473</v>
      </c>
      <c r="B485" s="1" t="s">
        <v>1421</v>
      </c>
      <c r="C485" s="1" t="s">
        <v>17</v>
      </c>
      <c r="D485">
        <v>-5.8145569999999998</v>
      </c>
      <c r="E485">
        <v>21.942052</v>
      </c>
      <c r="F485" s="1" t="s">
        <v>1432</v>
      </c>
      <c r="G485" s="1" t="s">
        <v>1436</v>
      </c>
    </row>
    <row r="486" spans="1:7" x14ac:dyDescent="0.35">
      <c r="A486" s="1" t="s">
        <v>1565</v>
      </c>
      <c r="B486" s="1" t="s">
        <v>1582</v>
      </c>
      <c r="C486" s="1" t="s">
        <v>59</v>
      </c>
      <c r="D486">
        <v>-11.542737000000001</v>
      </c>
      <c r="E486">
        <v>30.175912</v>
      </c>
      <c r="F486" s="1" t="s">
        <v>1435</v>
      </c>
      <c r="G486" s="1" t="s">
        <v>1445</v>
      </c>
    </row>
    <row r="487" spans="1:7" x14ac:dyDescent="0.35">
      <c r="A487" s="1" t="s">
        <v>1488</v>
      </c>
      <c r="B487" s="1" t="s">
        <v>1505</v>
      </c>
      <c r="C487" s="1" t="s">
        <v>17</v>
      </c>
      <c r="D487">
        <v>3.42055</v>
      </c>
      <c r="E487">
        <v>15.370965999999999</v>
      </c>
      <c r="F487" s="1" t="s">
        <v>1435</v>
      </c>
      <c r="G487" s="1" t="s">
        <v>1445</v>
      </c>
    </row>
    <row r="488" spans="1:7" x14ac:dyDescent="0.35">
      <c r="A488" s="1" t="s">
        <v>1604</v>
      </c>
      <c r="B488" s="1" t="s">
        <v>1605</v>
      </c>
      <c r="C488" s="1" t="s">
        <v>59</v>
      </c>
      <c r="D488">
        <v>-2.290705</v>
      </c>
      <c r="E488">
        <v>19.150395</v>
      </c>
      <c r="F488" s="1" t="s">
        <v>1432</v>
      </c>
      <c r="G488" s="1" t="s">
        <v>1433</v>
      </c>
    </row>
    <row r="489" spans="1:7" x14ac:dyDescent="0.35">
      <c r="A489" s="1" t="s">
        <v>1565</v>
      </c>
      <c r="B489" s="1" t="s">
        <v>1270</v>
      </c>
      <c r="C489" s="1" t="s">
        <v>1651</v>
      </c>
      <c r="D489">
        <v>-7.6757720000000003</v>
      </c>
      <c r="E489">
        <v>30.222971000000001</v>
      </c>
      <c r="F489" s="1" t="s">
        <v>1432</v>
      </c>
      <c r="G489" s="1" t="s">
        <v>1433</v>
      </c>
    </row>
    <row r="490" spans="1:7" x14ac:dyDescent="0.35">
      <c r="A490" s="1" t="s">
        <v>1473</v>
      </c>
      <c r="B490" s="1" t="s">
        <v>1101</v>
      </c>
      <c r="C490" s="1" t="s">
        <v>72</v>
      </c>
      <c r="D490">
        <v>1.727095</v>
      </c>
      <c r="E490">
        <v>22.099651999999999</v>
      </c>
      <c r="F490" s="1" t="s">
        <v>1435</v>
      </c>
      <c r="G490" s="1" t="s">
        <v>1436</v>
      </c>
    </row>
    <row r="491" spans="1:7" x14ac:dyDescent="0.35">
      <c r="A491" s="1" t="s">
        <v>1604</v>
      </c>
      <c r="B491" s="1" t="s">
        <v>1130</v>
      </c>
      <c r="C491" s="1" t="s">
        <v>57</v>
      </c>
      <c r="D491">
        <v>-5.7200150000000001</v>
      </c>
      <c r="E491">
        <v>25.022109</v>
      </c>
      <c r="F491" s="1" t="s">
        <v>1432</v>
      </c>
      <c r="G491" s="1" t="s">
        <v>1438</v>
      </c>
    </row>
    <row r="492" spans="1:7" x14ac:dyDescent="0.35">
      <c r="A492" s="1" t="s">
        <v>1529</v>
      </c>
      <c r="B492" s="1" t="s">
        <v>1029</v>
      </c>
      <c r="C492" s="1" t="s">
        <v>23</v>
      </c>
      <c r="D492">
        <v>-11.594525000000001</v>
      </c>
      <c r="E492">
        <v>29.744895</v>
      </c>
      <c r="F492" s="1" t="s">
        <v>1437</v>
      </c>
      <c r="G492" s="1" t="s">
        <v>1438</v>
      </c>
    </row>
    <row r="493" spans="1:7" x14ac:dyDescent="0.35">
      <c r="A493" s="1" t="s">
        <v>1473</v>
      </c>
      <c r="B493" s="1" t="s">
        <v>1006</v>
      </c>
      <c r="C493" s="1" t="s">
        <v>59</v>
      </c>
      <c r="D493">
        <v>-12.112399999999999</v>
      </c>
      <c r="E493">
        <v>15.872226</v>
      </c>
      <c r="F493" s="1" t="s">
        <v>1435</v>
      </c>
      <c r="G493" s="1" t="s">
        <v>1445</v>
      </c>
    </row>
    <row r="494" spans="1:7" x14ac:dyDescent="0.35">
      <c r="A494" s="1" t="s">
        <v>1604</v>
      </c>
      <c r="B494" s="1" t="s">
        <v>979</v>
      </c>
      <c r="C494" s="1" t="s">
        <v>37</v>
      </c>
      <c r="D494">
        <v>-12.431227</v>
      </c>
      <c r="E494">
        <v>18.414290999999999</v>
      </c>
      <c r="F494" s="1" t="s">
        <v>1432</v>
      </c>
      <c r="G494" s="1" t="s">
        <v>1436</v>
      </c>
    </row>
    <row r="495" spans="1:7" x14ac:dyDescent="0.35">
      <c r="A495" s="1" t="s">
        <v>1431</v>
      </c>
      <c r="B495" s="1" t="s">
        <v>1454</v>
      </c>
      <c r="C495" s="1" t="s">
        <v>54</v>
      </c>
      <c r="D495">
        <v>-4.652463</v>
      </c>
      <c r="E495">
        <v>18.779983999999999</v>
      </c>
      <c r="F495" s="1" t="s">
        <v>1437</v>
      </c>
      <c r="G495" s="1" t="s">
        <v>1445</v>
      </c>
    </row>
    <row r="496" spans="1:7" x14ac:dyDescent="0.35">
      <c r="A496" s="1" t="s">
        <v>1458</v>
      </c>
      <c r="B496" s="1" t="s">
        <v>908</v>
      </c>
      <c r="C496" s="1" t="s">
        <v>62</v>
      </c>
      <c r="D496">
        <v>-2.2681789999999999</v>
      </c>
      <c r="E496">
        <v>25.699068</v>
      </c>
      <c r="F496" s="1" t="s">
        <v>1437</v>
      </c>
      <c r="G496" s="1" t="s">
        <v>1438</v>
      </c>
    </row>
    <row r="497" spans="1:7" x14ac:dyDescent="0.35">
      <c r="A497" s="1" t="s">
        <v>1588</v>
      </c>
      <c r="B497" s="1" t="s">
        <v>970</v>
      </c>
      <c r="C497" s="1" t="s">
        <v>33</v>
      </c>
      <c r="D497">
        <v>-7.5969509999999998</v>
      </c>
      <c r="E497">
        <v>22.153986</v>
      </c>
      <c r="F497" s="1" t="s">
        <v>1437</v>
      </c>
      <c r="G497" s="1" t="s">
        <v>1433</v>
      </c>
    </row>
    <row r="498" spans="1:7" x14ac:dyDescent="0.35">
      <c r="A498" s="1" t="s">
        <v>1473</v>
      </c>
      <c r="B498" s="1" t="s">
        <v>938</v>
      </c>
      <c r="C498" s="1" t="s">
        <v>54</v>
      </c>
      <c r="D498">
        <v>0.639208</v>
      </c>
      <c r="E498">
        <v>20.701739</v>
      </c>
      <c r="F498" s="1" t="s">
        <v>1435</v>
      </c>
      <c r="G498" s="1" t="s">
        <v>1436</v>
      </c>
    </row>
    <row r="499" spans="1:7" x14ac:dyDescent="0.35">
      <c r="A499" s="1" t="s">
        <v>1507</v>
      </c>
      <c r="B499" s="1" t="s">
        <v>1510</v>
      </c>
      <c r="C499" s="1" t="s">
        <v>41</v>
      </c>
      <c r="D499">
        <v>2.7298239999999998</v>
      </c>
      <c r="E499">
        <v>12.958664000000001</v>
      </c>
      <c r="F499" s="1" t="s">
        <v>1437</v>
      </c>
      <c r="G499" s="1" t="s">
        <v>1438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65A9-79F9-43A4-909D-6160FF8A9689}">
  <sheetPr>
    <tabColor rgb="FFFF0000"/>
  </sheetPr>
  <dimension ref="B8:M28"/>
  <sheetViews>
    <sheetView topLeftCell="A4" workbookViewId="0">
      <selection activeCell="O6" sqref="O6"/>
    </sheetView>
  </sheetViews>
  <sheetFormatPr baseColWidth="10" defaultRowHeight="14.5" x14ac:dyDescent="0.35"/>
  <cols>
    <col min="1" max="1" width="1.6328125" customWidth="1"/>
    <col min="2" max="2" width="13.1796875" bestFit="1" customWidth="1"/>
    <col min="3" max="3" width="7.81640625" bestFit="1" customWidth="1"/>
    <col min="4" max="4" width="8.6328125" customWidth="1"/>
    <col min="5" max="5" width="32.08984375" bestFit="1" customWidth="1"/>
    <col min="6" max="6" width="7.81640625" bestFit="1" customWidth="1"/>
    <col min="8" max="8" width="22.36328125" bestFit="1" customWidth="1"/>
    <col min="9" max="9" width="22.90625" bestFit="1" customWidth="1"/>
    <col min="10" max="10" width="8.36328125" bestFit="1" customWidth="1"/>
    <col min="12" max="12" width="29.81640625" bestFit="1" customWidth="1"/>
    <col min="13" max="13" width="25.36328125" bestFit="1" customWidth="1"/>
    <col min="14" max="15" width="3.81640625" bestFit="1" customWidth="1"/>
    <col min="16" max="17" width="11.453125" bestFit="1" customWidth="1"/>
  </cols>
  <sheetData>
    <row r="8" spans="2:13" ht="40.5" customHeight="1" x14ac:dyDescent="0.35">
      <c r="B8" s="29" t="s">
        <v>1652</v>
      </c>
      <c r="C8" s="30"/>
      <c r="E8" s="31" t="s">
        <v>1635</v>
      </c>
      <c r="F8" s="31"/>
      <c r="H8" s="31" t="s">
        <v>1636</v>
      </c>
      <c r="I8" s="30"/>
      <c r="J8" s="30"/>
      <c r="L8" s="31" t="s">
        <v>1655</v>
      </c>
      <c r="M8" s="31"/>
    </row>
    <row r="9" spans="2:13" ht="12.5" customHeight="1" x14ac:dyDescent="0.35"/>
    <row r="10" spans="2:13" ht="14.5" customHeight="1" x14ac:dyDescent="0.35"/>
    <row r="11" spans="2:13" ht="34.5" customHeight="1" x14ac:dyDescent="0.35">
      <c r="B11" s="34" t="s">
        <v>1429</v>
      </c>
      <c r="C11" s="33" t="s">
        <v>1637</v>
      </c>
      <c r="E11" s="32" t="s">
        <v>1638</v>
      </c>
      <c r="F11" s="33" t="s">
        <v>1637</v>
      </c>
      <c r="H11" s="35" t="s">
        <v>1639</v>
      </c>
      <c r="I11" s="36" t="s">
        <v>1640</v>
      </c>
      <c r="J11" s="36" t="s">
        <v>1634</v>
      </c>
      <c r="L11" s="20" t="s">
        <v>1654</v>
      </c>
      <c r="M11" s="28" t="s">
        <v>1653</v>
      </c>
    </row>
    <row r="12" spans="2:13" x14ac:dyDescent="0.35">
      <c r="B12" s="21" t="s">
        <v>1437</v>
      </c>
      <c r="C12" s="1">
        <v>3</v>
      </c>
      <c r="E12" s="21" t="s">
        <v>1433</v>
      </c>
      <c r="F12" s="1"/>
      <c r="H12" s="21" t="s">
        <v>740</v>
      </c>
      <c r="I12" s="1">
        <v>7</v>
      </c>
      <c r="J12" s="18">
        <v>0.26923076923076922</v>
      </c>
      <c r="L12" s="21" t="s">
        <v>1433</v>
      </c>
      <c r="M12" s="1"/>
    </row>
    <row r="13" spans="2:13" x14ac:dyDescent="0.35">
      <c r="B13" s="21" t="s">
        <v>1435</v>
      </c>
      <c r="C13" s="1">
        <v>5</v>
      </c>
      <c r="E13" s="22" t="s">
        <v>1432</v>
      </c>
      <c r="F13" s="1">
        <v>1</v>
      </c>
      <c r="H13" s="21" t="s">
        <v>738</v>
      </c>
      <c r="I13" s="1">
        <v>5</v>
      </c>
      <c r="J13" s="18">
        <v>0.19230769230769232</v>
      </c>
      <c r="L13" s="22" t="s">
        <v>1437</v>
      </c>
      <c r="M13" s="1">
        <v>41</v>
      </c>
    </row>
    <row r="14" spans="2:13" x14ac:dyDescent="0.35">
      <c r="B14" s="21" t="s">
        <v>1432</v>
      </c>
      <c r="C14" s="1">
        <v>8</v>
      </c>
      <c r="E14" s="21" t="s">
        <v>1436</v>
      </c>
      <c r="F14" s="1"/>
      <c r="H14" s="23" t="s">
        <v>1632</v>
      </c>
      <c r="I14" s="24">
        <v>12</v>
      </c>
      <c r="J14" s="25">
        <v>0.46153846153846156</v>
      </c>
      <c r="L14" s="22" t="s">
        <v>1435</v>
      </c>
      <c r="M14" s="1">
        <v>55</v>
      </c>
    </row>
    <row r="15" spans="2:13" x14ac:dyDescent="0.35">
      <c r="B15" s="23" t="s">
        <v>1632</v>
      </c>
      <c r="C15" s="24">
        <v>16</v>
      </c>
      <c r="E15" s="22" t="s">
        <v>1437</v>
      </c>
      <c r="F15" s="1">
        <v>1</v>
      </c>
      <c r="L15" s="22" t="s">
        <v>1432</v>
      </c>
      <c r="M15" s="1">
        <v>53</v>
      </c>
    </row>
    <row r="16" spans="2:13" x14ac:dyDescent="0.35">
      <c r="E16" s="22" t="s">
        <v>1435</v>
      </c>
      <c r="F16" s="1">
        <v>3</v>
      </c>
      <c r="L16" s="21" t="s">
        <v>1436</v>
      </c>
      <c r="M16" s="1"/>
    </row>
    <row r="17" spans="5:13" x14ac:dyDescent="0.35">
      <c r="E17" s="22" t="s">
        <v>1432</v>
      </c>
      <c r="F17" s="1">
        <v>5</v>
      </c>
      <c r="L17" s="22" t="s">
        <v>1437</v>
      </c>
      <c r="M17" s="1">
        <v>35</v>
      </c>
    </row>
    <row r="18" spans="5:13" x14ac:dyDescent="0.35">
      <c r="E18" s="21" t="s">
        <v>1445</v>
      </c>
      <c r="F18" s="1"/>
      <c r="L18" s="22" t="s">
        <v>1435</v>
      </c>
      <c r="M18" s="1">
        <v>70</v>
      </c>
    </row>
    <row r="19" spans="5:13" x14ac:dyDescent="0.35">
      <c r="E19" s="22" t="s">
        <v>1432</v>
      </c>
      <c r="F19" s="1">
        <v>2</v>
      </c>
      <c r="L19" s="22" t="s">
        <v>1432</v>
      </c>
      <c r="M19" s="1">
        <v>44</v>
      </c>
    </row>
    <row r="20" spans="5:13" x14ac:dyDescent="0.35">
      <c r="E20" s="21" t="s">
        <v>1438</v>
      </c>
      <c r="F20" s="1"/>
      <c r="L20" s="21" t="s">
        <v>1445</v>
      </c>
      <c r="M20" s="1"/>
    </row>
    <row r="21" spans="5:13" x14ac:dyDescent="0.35">
      <c r="E21" s="22" t="s">
        <v>1437</v>
      </c>
      <c r="F21" s="1">
        <v>2</v>
      </c>
      <c r="L21" s="22" t="s">
        <v>1437</v>
      </c>
      <c r="M21" s="1">
        <v>45</v>
      </c>
    </row>
    <row r="22" spans="5:13" x14ac:dyDescent="0.35">
      <c r="E22" s="22" t="s">
        <v>1435</v>
      </c>
      <c r="F22" s="1">
        <v>2</v>
      </c>
      <c r="L22" s="22" t="s">
        <v>1435</v>
      </c>
      <c r="M22" s="1">
        <v>32</v>
      </c>
    </row>
    <row r="23" spans="5:13" x14ac:dyDescent="0.35">
      <c r="E23" s="23" t="s">
        <v>1632</v>
      </c>
      <c r="F23" s="24">
        <v>16</v>
      </c>
      <c r="L23" s="22" t="s">
        <v>1432</v>
      </c>
      <c r="M23" s="1">
        <v>39</v>
      </c>
    </row>
    <row r="24" spans="5:13" x14ac:dyDescent="0.35">
      <c r="L24" s="21" t="s">
        <v>1438</v>
      </c>
      <c r="M24" s="1"/>
    </row>
    <row r="25" spans="5:13" x14ac:dyDescent="0.35">
      <c r="L25" s="22" t="s">
        <v>1437</v>
      </c>
      <c r="M25" s="1">
        <v>46</v>
      </c>
    </row>
    <row r="26" spans="5:13" x14ac:dyDescent="0.35">
      <c r="L26" s="22" t="s">
        <v>1435</v>
      </c>
      <c r="M26" s="1">
        <v>28</v>
      </c>
    </row>
    <row r="27" spans="5:13" x14ac:dyDescent="0.35">
      <c r="L27" s="22" t="s">
        <v>1432</v>
      </c>
      <c r="M27" s="1">
        <v>59</v>
      </c>
    </row>
    <row r="28" spans="5:13" x14ac:dyDescent="0.35">
      <c r="L28" s="23" t="s">
        <v>1632</v>
      </c>
      <c r="M28" s="24">
        <v>547</v>
      </c>
    </row>
  </sheetData>
  <mergeCells count="4">
    <mergeCell ref="B8:C8"/>
    <mergeCell ref="E8:F8"/>
    <mergeCell ref="H8:J8"/>
    <mergeCell ref="L8:M8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E969C3-3CD0-4918-8833-A4CCD01CEE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Logs_Registre</vt:lpstr>
      <vt:lpstr>TCD_CLIENT</vt:lpstr>
      <vt:lpstr>CLIENT</vt:lpstr>
      <vt:lpstr>ANT_Non_Loc</vt:lpstr>
      <vt:lpstr>LOGS</vt:lpstr>
      <vt:lpstr>REGISTRE</vt:lpstr>
      <vt:lpstr>TCD_Logs_Registre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Luziku</dc:creator>
  <cp:lastModifiedBy>P Luziku</cp:lastModifiedBy>
  <dcterms:created xsi:type="dcterms:W3CDTF">2026-03-27T08:40:05Z</dcterms:created>
  <dcterms:modified xsi:type="dcterms:W3CDTF">2026-04-02T20:38:57Z</dcterms:modified>
</cp:coreProperties>
</file>